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icrosoft\Desktop\"/>
    </mc:Choice>
  </mc:AlternateContent>
  <xr:revisionPtr revIDLastSave="0" documentId="13_ncr:1_{42CEF94E-049D-4D3D-B937-95583DB4B133}" xr6:coauthVersionLast="47" xr6:coauthVersionMax="47" xr10:uidLastSave="{00000000-0000-0000-0000-000000000000}"/>
  <bookViews>
    <workbookView xWindow="-108" yWindow="-108" windowWidth="23256" windowHeight="12456" activeTab="5" xr2:uid="{427F556E-C791-4FA9-8EA0-29D4F52A9071}"/>
  </bookViews>
  <sheets>
    <sheet name="Assumptions" sheetId="1" r:id="rId1"/>
    <sheet name="Raw_Load_Data" sheetId="2" r:id="rId2"/>
    <sheet name="Daily Summary" sheetId="3" r:id="rId3"/>
    <sheet name="Summary_Calcs" sheetId="8" r:id="rId4"/>
    <sheet name="Solar_Analysis" sheetId="4" r:id="rId5"/>
    <sheet name="Dashboard" sheetId="6" r:id="rId6"/>
  </sheets>
  <definedNames>
    <definedName name="_xlnm.Print_Area" localSheetId="5">Dashboard!$A$1:$V$116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7" i="6" l="1"/>
  <c r="F18" i="6"/>
  <c r="F19" i="6"/>
  <c r="F20" i="6"/>
  <c r="F21" i="6"/>
  <c r="B21" i="6"/>
  <c r="N7" i="4"/>
  <c r="N6" i="4"/>
  <c r="B20" i="6"/>
  <c r="B19" i="6"/>
  <c r="B18" i="6"/>
  <c r="B17" i="6"/>
  <c r="N3" i="4"/>
  <c r="N2" i="4"/>
  <c r="J12" i="4"/>
  <c r="J11" i="4"/>
  <c r="J10" i="4"/>
  <c r="J9" i="4"/>
  <c r="J8" i="4"/>
  <c r="J7" i="4"/>
  <c r="J6" i="4"/>
  <c r="J5" i="4"/>
  <c r="J4" i="4"/>
  <c r="J3" i="4"/>
  <c r="J2" i="4"/>
  <c r="C3" i="4"/>
  <c r="D3" i="4" s="1"/>
  <c r="C4" i="4"/>
  <c r="F4" i="4" s="1"/>
  <c r="E4" i="4"/>
  <c r="C5" i="4"/>
  <c r="D5" i="4" s="1"/>
  <c r="F5" i="4"/>
  <c r="C6" i="4"/>
  <c r="C7" i="4"/>
  <c r="E7" i="4" s="1"/>
  <c r="D7" i="4"/>
  <c r="F7" i="4"/>
  <c r="G7" i="4"/>
  <c r="C8" i="4"/>
  <c r="D8" i="4" s="1"/>
  <c r="G8" i="4"/>
  <c r="C9" i="4"/>
  <c r="D9" i="4"/>
  <c r="E9" i="4"/>
  <c r="F9" i="4"/>
  <c r="G9" i="4"/>
  <c r="C10" i="4"/>
  <c r="D10" i="4"/>
  <c r="E10" i="4"/>
  <c r="F10" i="4"/>
  <c r="G10" i="4"/>
  <c r="C11" i="4"/>
  <c r="D11" i="4" s="1"/>
  <c r="C12" i="4"/>
  <c r="C13" i="4"/>
  <c r="D13" i="4" s="1"/>
  <c r="F13" i="4"/>
  <c r="C14" i="4"/>
  <c r="C15" i="4"/>
  <c r="E15" i="4" s="1"/>
  <c r="D15" i="4"/>
  <c r="F15" i="4"/>
  <c r="G15" i="4"/>
  <c r="C16" i="4"/>
  <c r="D16" i="4" s="1"/>
  <c r="G16" i="4"/>
  <c r="C17" i="4"/>
  <c r="D17" i="4"/>
  <c r="E17" i="4"/>
  <c r="F17" i="4"/>
  <c r="G17" i="4"/>
  <c r="C18" i="4"/>
  <c r="D18" i="4"/>
  <c r="E18" i="4"/>
  <c r="F18" i="4"/>
  <c r="G18" i="4"/>
  <c r="C19" i="4"/>
  <c r="D19" i="4" s="1"/>
  <c r="C20" i="4"/>
  <c r="C21" i="4"/>
  <c r="D21" i="4" s="1"/>
  <c r="F21" i="4"/>
  <c r="C22" i="4"/>
  <c r="C23" i="4"/>
  <c r="E23" i="4" s="1"/>
  <c r="D23" i="4"/>
  <c r="F23" i="4"/>
  <c r="G23" i="4"/>
  <c r="C24" i="4"/>
  <c r="D24" i="4" s="1"/>
  <c r="G24" i="4"/>
  <c r="C25" i="4"/>
  <c r="D25" i="4"/>
  <c r="E25" i="4"/>
  <c r="F25" i="4"/>
  <c r="G25" i="4"/>
  <c r="C26" i="4"/>
  <c r="D26" i="4"/>
  <c r="E26" i="4"/>
  <c r="F26" i="4"/>
  <c r="G26" i="4"/>
  <c r="C27" i="4"/>
  <c r="D27" i="4" s="1"/>
  <c r="C28" i="4"/>
  <c r="E28" i="4" s="1"/>
  <c r="C29" i="4"/>
  <c r="D29" i="4" s="1"/>
  <c r="F29" i="4"/>
  <c r="C30" i="4"/>
  <c r="C31" i="4"/>
  <c r="E31" i="4" s="1"/>
  <c r="D31" i="4"/>
  <c r="F31" i="4"/>
  <c r="G31" i="4"/>
  <c r="C32" i="4"/>
  <c r="D32" i="4" s="1"/>
  <c r="G32" i="4"/>
  <c r="C33" i="4"/>
  <c r="D33" i="4"/>
  <c r="E33" i="4"/>
  <c r="F33" i="4"/>
  <c r="G33" i="4"/>
  <c r="C34" i="4"/>
  <c r="D34" i="4"/>
  <c r="E34" i="4"/>
  <c r="F34" i="4"/>
  <c r="G34" i="4"/>
  <c r="C35" i="4"/>
  <c r="D35" i="4" s="1"/>
  <c r="C36" i="4"/>
  <c r="E36" i="4" s="1"/>
  <c r="C37" i="4"/>
  <c r="D37" i="4" s="1"/>
  <c r="F37" i="4"/>
  <c r="C38" i="4"/>
  <c r="C39" i="4"/>
  <c r="E39" i="4" s="1"/>
  <c r="D39" i="4"/>
  <c r="F39" i="4"/>
  <c r="G39" i="4"/>
  <c r="C40" i="4"/>
  <c r="E40" i="4" s="1"/>
  <c r="D40" i="4"/>
  <c r="G40" i="4"/>
  <c r="C41" i="4"/>
  <c r="D41" i="4"/>
  <c r="E41" i="4"/>
  <c r="F41" i="4"/>
  <c r="G41" i="4"/>
  <c r="C42" i="4"/>
  <c r="F42" i="4" s="1"/>
  <c r="D42" i="4"/>
  <c r="E42" i="4"/>
  <c r="G42" i="4"/>
  <c r="C43" i="4"/>
  <c r="D43" i="4" s="1"/>
  <c r="C44" i="4"/>
  <c r="E44" i="4"/>
  <c r="C45" i="4"/>
  <c r="D45" i="4" s="1"/>
  <c r="F45" i="4"/>
  <c r="C46" i="4"/>
  <c r="C47" i="4"/>
  <c r="E47" i="4" s="1"/>
  <c r="D47" i="4"/>
  <c r="F47" i="4"/>
  <c r="G47" i="4"/>
  <c r="C48" i="4"/>
  <c r="E48" i="4" s="1"/>
  <c r="D48" i="4"/>
  <c r="G48" i="4"/>
  <c r="C49" i="4"/>
  <c r="D49" i="4"/>
  <c r="E49" i="4"/>
  <c r="F49" i="4"/>
  <c r="G49" i="4"/>
  <c r="C50" i="4"/>
  <c r="F50" i="4" s="1"/>
  <c r="D50" i="4"/>
  <c r="E50" i="4"/>
  <c r="G50" i="4"/>
  <c r="C51" i="4"/>
  <c r="D51" i="4" s="1"/>
  <c r="C52" i="4"/>
  <c r="C53" i="4"/>
  <c r="D53" i="4" s="1"/>
  <c r="F53" i="4"/>
  <c r="C54" i="4"/>
  <c r="C55" i="4"/>
  <c r="E55" i="4" s="1"/>
  <c r="D55" i="4"/>
  <c r="F55" i="4"/>
  <c r="G55" i="4"/>
  <c r="C56" i="4"/>
  <c r="E56" i="4" s="1"/>
  <c r="D56" i="4"/>
  <c r="G56" i="4"/>
  <c r="C57" i="4"/>
  <c r="D57" i="4"/>
  <c r="E57" i="4"/>
  <c r="F57" i="4"/>
  <c r="G57" i="4"/>
  <c r="C58" i="4"/>
  <c r="F58" i="4" s="1"/>
  <c r="D58" i="4"/>
  <c r="E58" i="4"/>
  <c r="G58" i="4"/>
  <c r="C59" i="4"/>
  <c r="D59" i="4" s="1"/>
  <c r="C60" i="4"/>
  <c r="E60" i="4"/>
  <c r="C61" i="4"/>
  <c r="D61" i="4" s="1"/>
  <c r="F61" i="4"/>
  <c r="C62" i="4"/>
  <c r="C63" i="4"/>
  <c r="E63" i="4" s="1"/>
  <c r="D63" i="4"/>
  <c r="F63" i="4"/>
  <c r="G63" i="4"/>
  <c r="C64" i="4"/>
  <c r="D64" i="4" s="1"/>
  <c r="G64" i="4"/>
  <c r="C65" i="4"/>
  <c r="D65" i="4"/>
  <c r="E65" i="4"/>
  <c r="F65" i="4"/>
  <c r="G65" i="4"/>
  <c r="C66" i="4"/>
  <c r="F66" i="4" s="1"/>
  <c r="D66" i="4"/>
  <c r="E66" i="4"/>
  <c r="G66" i="4"/>
  <c r="C67" i="4"/>
  <c r="D67" i="4" s="1"/>
  <c r="C68" i="4"/>
  <c r="C69" i="4"/>
  <c r="D69" i="4" s="1"/>
  <c r="F69" i="4"/>
  <c r="C70" i="4"/>
  <c r="C71" i="4"/>
  <c r="E71" i="4" s="1"/>
  <c r="D71" i="4"/>
  <c r="F71" i="4"/>
  <c r="G71" i="4"/>
  <c r="C72" i="4"/>
  <c r="D72" i="4" s="1"/>
  <c r="G72" i="4"/>
  <c r="C73" i="4"/>
  <c r="D73" i="4"/>
  <c r="E73" i="4"/>
  <c r="F73" i="4"/>
  <c r="G73" i="4"/>
  <c r="C74" i="4"/>
  <c r="F74" i="4" s="1"/>
  <c r="D74" i="4"/>
  <c r="E74" i="4"/>
  <c r="G74" i="4"/>
  <c r="C75" i="4"/>
  <c r="D75" i="4" s="1"/>
  <c r="C76" i="4"/>
  <c r="F76" i="4"/>
  <c r="C77" i="4"/>
  <c r="D77" i="4" s="1"/>
  <c r="F77" i="4"/>
  <c r="C78" i="4"/>
  <c r="D78" i="4" s="1"/>
  <c r="C79" i="4"/>
  <c r="E79" i="4" s="1"/>
  <c r="D79" i="4"/>
  <c r="F79" i="4"/>
  <c r="G79" i="4"/>
  <c r="C80" i="4"/>
  <c r="D80" i="4" s="1"/>
  <c r="G80" i="4"/>
  <c r="C81" i="4"/>
  <c r="D81" i="4"/>
  <c r="E81" i="4"/>
  <c r="F81" i="4"/>
  <c r="G81" i="4"/>
  <c r="C82" i="4"/>
  <c r="F82" i="4" s="1"/>
  <c r="D82" i="4"/>
  <c r="E82" i="4"/>
  <c r="G82" i="4"/>
  <c r="C83" i="4"/>
  <c r="C84" i="4"/>
  <c r="F84" i="4" s="1"/>
  <c r="E84" i="4"/>
  <c r="C85" i="4"/>
  <c r="D85" i="4" s="1"/>
  <c r="F85" i="4"/>
  <c r="C86" i="4"/>
  <c r="D86" i="4" s="1"/>
  <c r="C87" i="4"/>
  <c r="E87" i="4" s="1"/>
  <c r="D87" i="4"/>
  <c r="F87" i="4"/>
  <c r="G87" i="4"/>
  <c r="C88" i="4"/>
  <c r="E88" i="4" s="1"/>
  <c r="D88" i="4"/>
  <c r="G88" i="4"/>
  <c r="C89" i="4"/>
  <c r="D89" i="4"/>
  <c r="E89" i="4"/>
  <c r="F89" i="4"/>
  <c r="G89" i="4"/>
  <c r="C90" i="4"/>
  <c r="F90" i="4" s="1"/>
  <c r="D90" i="4"/>
  <c r="E90" i="4"/>
  <c r="G90" i="4"/>
  <c r="C91" i="4"/>
  <c r="C92" i="4"/>
  <c r="F92" i="4" s="1"/>
  <c r="E92" i="4"/>
  <c r="C93" i="4"/>
  <c r="D93" i="4" s="1"/>
  <c r="F93" i="4"/>
  <c r="C94" i="4"/>
  <c r="D94" i="4" s="1"/>
  <c r="C95" i="4"/>
  <c r="E95" i="4" s="1"/>
  <c r="D95" i="4"/>
  <c r="F95" i="4"/>
  <c r="G95" i="4"/>
  <c r="C96" i="4"/>
  <c r="E96" i="4" s="1"/>
  <c r="D96" i="4"/>
  <c r="G96" i="4"/>
  <c r="C97" i="4"/>
  <c r="D97" i="4"/>
  <c r="E97" i="4"/>
  <c r="F97" i="4"/>
  <c r="G97" i="4"/>
  <c r="C98" i="4"/>
  <c r="D98" i="4"/>
  <c r="E98" i="4"/>
  <c r="F98" i="4"/>
  <c r="G98" i="4"/>
  <c r="C99" i="4"/>
  <c r="C100" i="4"/>
  <c r="F100" i="4" s="1"/>
  <c r="C101" i="4"/>
  <c r="D101" i="4" s="1"/>
  <c r="F101" i="4"/>
  <c r="C102" i="4"/>
  <c r="D102" i="4" s="1"/>
  <c r="C103" i="4"/>
  <c r="E103" i="4" s="1"/>
  <c r="D103" i="4"/>
  <c r="F103" i="4"/>
  <c r="G103" i="4"/>
  <c r="C104" i="4"/>
  <c r="E104" i="4" s="1"/>
  <c r="D104" i="4"/>
  <c r="G104" i="4"/>
  <c r="C105" i="4"/>
  <c r="D105" i="4"/>
  <c r="E105" i="4"/>
  <c r="F105" i="4"/>
  <c r="G105" i="4"/>
  <c r="C106" i="4"/>
  <c r="F106" i="4" s="1"/>
  <c r="D106" i="4"/>
  <c r="E106" i="4"/>
  <c r="G106" i="4"/>
  <c r="C107" i="4"/>
  <c r="C108" i="4"/>
  <c r="F108" i="4"/>
  <c r="C109" i="4"/>
  <c r="C110" i="4"/>
  <c r="D110" i="4" s="1"/>
  <c r="C111" i="4"/>
  <c r="E111" i="4" s="1"/>
  <c r="D111" i="4"/>
  <c r="F111" i="4"/>
  <c r="G111" i="4"/>
  <c r="C112" i="4"/>
  <c r="E112" i="4" s="1"/>
  <c r="D112" i="4"/>
  <c r="G112" i="4"/>
  <c r="C113" i="4"/>
  <c r="D113" i="4"/>
  <c r="E113" i="4"/>
  <c r="F113" i="4"/>
  <c r="G113" i="4"/>
  <c r="C114" i="4"/>
  <c r="F114" i="4" s="1"/>
  <c r="D114" i="4"/>
  <c r="E114" i="4"/>
  <c r="G114" i="4"/>
  <c r="C115" i="4"/>
  <c r="E115" i="4"/>
  <c r="C116" i="4"/>
  <c r="C117" i="4"/>
  <c r="F117" i="4"/>
  <c r="C118" i="4"/>
  <c r="G118" i="4" s="1"/>
  <c r="D118" i="4"/>
  <c r="E118" i="4"/>
  <c r="F118" i="4"/>
  <c r="C119" i="4"/>
  <c r="E119" i="4" s="1"/>
  <c r="D119" i="4"/>
  <c r="F119" i="4"/>
  <c r="G119" i="4"/>
  <c r="C120" i="4"/>
  <c r="D120" i="4"/>
  <c r="G120" i="4"/>
  <c r="C121" i="4"/>
  <c r="D121" i="4"/>
  <c r="E121" i="4"/>
  <c r="F121" i="4"/>
  <c r="G121" i="4"/>
  <c r="C122" i="4"/>
  <c r="F122" i="4" s="1"/>
  <c r="D122" i="4"/>
  <c r="E122" i="4"/>
  <c r="G122" i="4"/>
  <c r="C123" i="4"/>
  <c r="D123" i="4" s="1"/>
  <c r="C124" i="4"/>
  <c r="F124" i="4"/>
  <c r="C125" i="4"/>
  <c r="F125" i="4" s="1"/>
  <c r="C126" i="4"/>
  <c r="G126" i="4" s="1"/>
  <c r="E126" i="4"/>
  <c r="C127" i="4"/>
  <c r="E127" i="4" s="1"/>
  <c r="D127" i="4"/>
  <c r="F127" i="4"/>
  <c r="G127" i="4"/>
  <c r="C128" i="4"/>
  <c r="D128" i="4" s="1"/>
  <c r="G128" i="4"/>
  <c r="C129" i="4"/>
  <c r="D129" i="4"/>
  <c r="E129" i="4"/>
  <c r="F129" i="4"/>
  <c r="G129" i="4"/>
  <c r="C130" i="4"/>
  <c r="F130" i="4" s="1"/>
  <c r="D130" i="4"/>
  <c r="E130" i="4"/>
  <c r="G130" i="4"/>
  <c r="C131" i="4"/>
  <c r="D131" i="4"/>
  <c r="C132" i="4"/>
  <c r="D132" i="4" s="1"/>
  <c r="G132" i="4"/>
  <c r="C133" i="4"/>
  <c r="F133" i="4"/>
  <c r="C134" i="4"/>
  <c r="C135" i="4"/>
  <c r="E135" i="4" s="1"/>
  <c r="D135" i="4"/>
  <c r="F135" i="4"/>
  <c r="G135" i="4"/>
  <c r="C136" i="4"/>
  <c r="C137" i="4"/>
  <c r="D137" i="4"/>
  <c r="E137" i="4"/>
  <c r="F137" i="4"/>
  <c r="G137" i="4"/>
  <c r="C138" i="4"/>
  <c r="D138" i="4"/>
  <c r="E138" i="4"/>
  <c r="F138" i="4"/>
  <c r="G138" i="4"/>
  <c r="C139" i="4"/>
  <c r="E139" i="4" s="1"/>
  <c r="C140" i="4"/>
  <c r="C141" i="4"/>
  <c r="F141" i="4"/>
  <c r="C142" i="4"/>
  <c r="G142" i="4" s="1"/>
  <c r="D142" i="4"/>
  <c r="E142" i="4"/>
  <c r="F142" i="4"/>
  <c r="C143" i="4"/>
  <c r="E143" i="4" s="1"/>
  <c r="D143" i="4"/>
  <c r="F143" i="4"/>
  <c r="G143" i="4"/>
  <c r="C144" i="4"/>
  <c r="E144" i="4" s="1"/>
  <c r="D144" i="4"/>
  <c r="F144" i="4"/>
  <c r="G144" i="4"/>
  <c r="C145" i="4"/>
  <c r="D145" i="4"/>
  <c r="E145" i="4"/>
  <c r="F145" i="4"/>
  <c r="G145" i="4"/>
  <c r="C146" i="4"/>
  <c r="D146" i="4"/>
  <c r="E146" i="4"/>
  <c r="F146" i="4"/>
  <c r="G146" i="4"/>
  <c r="C147" i="4"/>
  <c r="F147" i="4" s="1"/>
  <c r="D147" i="4"/>
  <c r="G147" i="4"/>
  <c r="C148" i="4"/>
  <c r="C149" i="4"/>
  <c r="F149" i="4" s="1"/>
  <c r="E149" i="4"/>
  <c r="C150" i="4"/>
  <c r="D150" i="4" s="1"/>
  <c r="C151" i="4"/>
  <c r="E151" i="4" s="1"/>
  <c r="F151" i="4"/>
  <c r="C152" i="4"/>
  <c r="D152" i="4"/>
  <c r="C153" i="4"/>
  <c r="D153" i="4"/>
  <c r="E153" i="4"/>
  <c r="F153" i="4"/>
  <c r="G153" i="4"/>
  <c r="C154" i="4"/>
  <c r="F154" i="4" s="1"/>
  <c r="D154" i="4"/>
  <c r="E154" i="4"/>
  <c r="G154" i="4"/>
  <c r="C155" i="4"/>
  <c r="F155" i="4" s="1"/>
  <c r="D155" i="4"/>
  <c r="G155" i="4"/>
  <c r="C156" i="4"/>
  <c r="C157" i="4"/>
  <c r="F157" i="4" s="1"/>
  <c r="E157" i="4"/>
  <c r="C158" i="4"/>
  <c r="C159" i="4"/>
  <c r="E159" i="4" s="1"/>
  <c r="F159" i="4"/>
  <c r="C160" i="4"/>
  <c r="D160" i="4"/>
  <c r="C161" i="4"/>
  <c r="D161" i="4"/>
  <c r="E161" i="4"/>
  <c r="F161" i="4"/>
  <c r="G161" i="4"/>
  <c r="C162" i="4"/>
  <c r="F162" i="4" s="1"/>
  <c r="D162" i="4"/>
  <c r="E162" i="4"/>
  <c r="G162" i="4"/>
  <c r="C163" i="4"/>
  <c r="F163" i="4" s="1"/>
  <c r="D163" i="4"/>
  <c r="G163" i="4"/>
  <c r="C164" i="4"/>
  <c r="C165" i="4"/>
  <c r="F165" i="4" s="1"/>
  <c r="E165" i="4"/>
  <c r="C166" i="4"/>
  <c r="D166" i="4"/>
  <c r="C167" i="4"/>
  <c r="E167" i="4" s="1"/>
  <c r="F167" i="4"/>
  <c r="C168" i="4"/>
  <c r="D168" i="4"/>
  <c r="C169" i="4"/>
  <c r="D169" i="4"/>
  <c r="E169" i="4"/>
  <c r="F169" i="4"/>
  <c r="G169" i="4"/>
  <c r="C170" i="4"/>
  <c r="F170" i="4" s="1"/>
  <c r="D170" i="4"/>
  <c r="E170" i="4"/>
  <c r="G170" i="4"/>
  <c r="C171" i="4"/>
  <c r="F171" i="4" s="1"/>
  <c r="D171" i="4"/>
  <c r="G171" i="4"/>
  <c r="C172" i="4"/>
  <c r="C173" i="4"/>
  <c r="G173" i="4" s="1"/>
  <c r="D173" i="4"/>
  <c r="F173" i="4"/>
  <c r="C174" i="4"/>
  <c r="C175" i="4"/>
  <c r="F175" i="4"/>
  <c r="G175" i="4"/>
  <c r="C176" i="4"/>
  <c r="D176" i="4" s="1"/>
  <c r="G176" i="4"/>
  <c r="C177" i="4"/>
  <c r="D177" i="4"/>
  <c r="E177" i="4"/>
  <c r="F177" i="4"/>
  <c r="G177" i="4"/>
  <c r="C178" i="4"/>
  <c r="D178" i="4" s="1"/>
  <c r="E178" i="4"/>
  <c r="G178" i="4"/>
  <c r="C179" i="4"/>
  <c r="D179" i="4"/>
  <c r="C180" i="4"/>
  <c r="D180" i="4" s="1"/>
  <c r="G180" i="4"/>
  <c r="C181" i="4"/>
  <c r="D181" i="4" s="1"/>
  <c r="F181" i="4"/>
  <c r="C182" i="4"/>
  <c r="G182" i="4" s="1"/>
  <c r="D182" i="4"/>
  <c r="E182" i="4"/>
  <c r="C183" i="4"/>
  <c r="E183" i="4" s="1"/>
  <c r="D183" i="4"/>
  <c r="F183" i="4"/>
  <c r="G183" i="4"/>
  <c r="C184" i="4"/>
  <c r="D184" i="4"/>
  <c r="G184" i="4"/>
  <c r="C185" i="4"/>
  <c r="D185" i="4"/>
  <c r="E185" i="4"/>
  <c r="F185" i="4"/>
  <c r="G185" i="4"/>
  <c r="C186" i="4"/>
  <c r="D186" i="4" s="1"/>
  <c r="E186" i="4"/>
  <c r="G186" i="4"/>
  <c r="C187" i="4"/>
  <c r="D187" i="4"/>
  <c r="E187" i="4"/>
  <c r="C188" i="4"/>
  <c r="D188" i="4" s="1"/>
  <c r="E188" i="4"/>
  <c r="C189" i="4"/>
  <c r="F189" i="4" s="1"/>
  <c r="C190" i="4"/>
  <c r="G190" i="4" s="1"/>
  <c r="D190" i="4"/>
  <c r="E190" i="4"/>
  <c r="F190" i="4"/>
  <c r="C191" i="4"/>
  <c r="E191" i="4" s="1"/>
  <c r="D191" i="4"/>
  <c r="F191" i="4"/>
  <c r="G191" i="4"/>
  <c r="C192" i="4"/>
  <c r="D192" i="4"/>
  <c r="G192" i="4"/>
  <c r="C193" i="4"/>
  <c r="D193" i="4"/>
  <c r="E193" i="4"/>
  <c r="F193" i="4"/>
  <c r="G193" i="4"/>
  <c r="C194" i="4"/>
  <c r="D194" i="4" s="1"/>
  <c r="E194" i="4"/>
  <c r="G194" i="4"/>
  <c r="C195" i="4"/>
  <c r="C196" i="4"/>
  <c r="D196" i="4" s="1"/>
  <c r="G196" i="4"/>
  <c r="C197" i="4"/>
  <c r="F197" i="4"/>
  <c r="C198" i="4"/>
  <c r="G198" i="4" s="1"/>
  <c r="D198" i="4"/>
  <c r="E198" i="4"/>
  <c r="C199" i="4"/>
  <c r="E199" i="4" s="1"/>
  <c r="D199" i="4"/>
  <c r="F199" i="4"/>
  <c r="G199" i="4"/>
  <c r="C200" i="4"/>
  <c r="D200" i="4"/>
  <c r="G200" i="4"/>
  <c r="C201" i="4"/>
  <c r="D201" i="4"/>
  <c r="E201" i="4"/>
  <c r="F201" i="4"/>
  <c r="G201" i="4"/>
  <c r="C202" i="4"/>
  <c r="D202" i="4" s="1"/>
  <c r="E202" i="4"/>
  <c r="G202" i="4"/>
  <c r="C203" i="4"/>
  <c r="D203" i="4"/>
  <c r="E203" i="4"/>
  <c r="C204" i="4"/>
  <c r="D204" i="4" s="1"/>
  <c r="E204" i="4"/>
  <c r="C205" i="4"/>
  <c r="F205" i="4" s="1"/>
  <c r="C206" i="4"/>
  <c r="G206" i="4" s="1"/>
  <c r="D206" i="4"/>
  <c r="E206" i="4"/>
  <c r="F206" i="4"/>
  <c r="C207" i="4"/>
  <c r="E207" i="4" s="1"/>
  <c r="D207" i="4"/>
  <c r="F207" i="4"/>
  <c r="G207" i="4"/>
  <c r="C208" i="4"/>
  <c r="D208" i="4"/>
  <c r="G208" i="4"/>
  <c r="C209" i="4"/>
  <c r="D209" i="4"/>
  <c r="E209" i="4"/>
  <c r="F209" i="4"/>
  <c r="G209" i="4"/>
  <c r="C210" i="4"/>
  <c r="D210" i="4" s="1"/>
  <c r="E210" i="4"/>
  <c r="G210" i="4"/>
  <c r="C211" i="4"/>
  <c r="C212" i="4"/>
  <c r="D212" i="4" s="1"/>
  <c r="G212" i="4"/>
  <c r="C213" i="4"/>
  <c r="F213" i="4"/>
  <c r="C214" i="4"/>
  <c r="G214" i="4" s="1"/>
  <c r="D214" i="4"/>
  <c r="E214" i="4"/>
  <c r="C215" i="4"/>
  <c r="E215" i="4" s="1"/>
  <c r="D215" i="4"/>
  <c r="F215" i="4"/>
  <c r="G215" i="4"/>
  <c r="C216" i="4"/>
  <c r="D216" i="4"/>
  <c r="G216" i="4"/>
  <c r="C217" i="4"/>
  <c r="D217" i="4"/>
  <c r="E217" i="4"/>
  <c r="F217" i="4"/>
  <c r="G217" i="4"/>
  <c r="C218" i="4"/>
  <c r="D218" i="4" s="1"/>
  <c r="E218" i="4"/>
  <c r="G218" i="4"/>
  <c r="C219" i="4"/>
  <c r="D219" i="4"/>
  <c r="E219" i="4"/>
  <c r="C220" i="4"/>
  <c r="D220" i="4" s="1"/>
  <c r="E220" i="4"/>
  <c r="C221" i="4"/>
  <c r="F221" i="4" s="1"/>
  <c r="C222" i="4"/>
  <c r="G222" i="4" s="1"/>
  <c r="D222" i="4"/>
  <c r="E222" i="4"/>
  <c r="F222" i="4"/>
  <c r="C223" i="4"/>
  <c r="E223" i="4" s="1"/>
  <c r="D223" i="4"/>
  <c r="F223" i="4"/>
  <c r="G223" i="4"/>
  <c r="C224" i="4"/>
  <c r="D224" i="4"/>
  <c r="G224" i="4"/>
  <c r="C225" i="4"/>
  <c r="D225" i="4"/>
  <c r="E225" i="4"/>
  <c r="F225" i="4"/>
  <c r="G225" i="4"/>
  <c r="C226" i="4"/>
  <c r="D226" i="4" s="1"/>
  <c r="E226" i="4"/>
  <c r="G226" i="4"/>
  <c r="C227" i="4"/>
  <c r="C228" i="4"/>
  <c r="D228" i="4" s="1"/>
  <c r="G228" i="4"/>
  <c r="C229" i="4"/>
  <c r="F229" i="4"/>
  <c r="C230" i="4"/>
  <c r="G230" i="4" s="1"/>
  <c r="D230" i="4"/>
  <c r="E230" i="4"/>
  <c r="C231" i="4"/>
  <c r="E231" i="4" s="1"/>
  <c r="D231" i="4"/>
  <c r="F231" i="4"/>
  <c r="G231" i="4"/>
  <c r="C232" i="4"/>
  <c r="D232" i="4"/>
  <c r="G232" i="4"/>
  <c r="C233" i="4"/>
  <c r="D233" i="4"/>
  <c r="E233" i="4"/>
  <c r="F233" i="4"/>
  <c r="G233" i="4"/>
  <c r="C234" i="4"/>
  <c r="D234" i="4" s="1"/>
  <c r="E234" i="4"/>
  <c r="G234" i="4"/>
  <c r="C235" i="4"/>
  <c r="D235" i="4"/>
  <c r="E235" i="4"/>
  <c r="C236" i="4"/>
  <c r="D236" i="4" s="1"/>
  <c r="E236" i="4"/>
  <c r="C237" i="4"/>
  <c r="F237" i="4" s="1"/>
  <c r="C238" i="4"/>
  <c r="G238" i="4" s="1"/>
  <c r="D238" i="4"/>
  <c r="E238" i="4"/>
  <c r="F238" i="4"/>
  <c r="C239" i="4"/>
  <c r="E239" i="4" s="1"/>
  <c r="D239" i="4"/>
  <c r="F239" i="4"/>
  <c r="G239" i="4"/>
  <c r="C240" i="4"/>
  <c r="D240" i="4"/>
  <c r="G240" i="4"/>
  <c r="C241" i="4"/>
  <c r="D241" i="4"/>
  <c r="E241" i="4"/>
  <c r="F241" i="4"/>
  <c r="G241" i="4"/>
  <c r="C242" i="4"/>
  <c r="D242" i="4" s="1"/>
  <c r="E242" i="4"/>
  <c r="G242" i="4"/>
  <c r="C243" i="4"/>
  <c r="C244" i="4"/>
  <c r="D244" i="4" s="1"/>
  <c r="G244" i="4"/>
  <c r="C245" i="4"/>
  <c r="F245" i="4"/>
  <c r="C246" i="4"/>
  <c r="G246" i="4" s="1"/>
  <c r="D246" i="4"/>
  <c r="E246" i="4"/>
  <c r="C247" i="4"/>
  <c r="E247" i="4" s="1"/>
  <c r="D247" i="4"/>
  <c r="F247" i="4"/>
  <c r="G247" i="4"/>
  <c r="C248" i="4"/>
  <c r="D248" i="4" s="1"/>
  <c r="G248" i="4"/>
  <c r="C249" i="4"/>
  <c r="D249" i="4"/>
  <c r="E249" i="4"/>
  <c r="F249" i="4"/>
  <c r="G249" i="4"/>
  <c r="C250" i="4"/>
  <c r="D250" i="4" s="1"/>
  <c r="E250" i="4"/>
  <c r="G250" i="4"/>
  <c r="C251" i="4"/>
  <c r="D251" i="4"/>
  <c r="E251" i="4"/>
  <c r="C252" i="4"/>
  <c r="D252" i="4" s="1"/>
  <c r="E252" i="4"/>
  <c r="C253" i="4"/>
  <c r="D253" i="4" s="1"/>
  <c r="C254" i="4"/>
  <c r="F254" i="4" s="1"/>
  <c r="E254" i="4"/>
  <c r="C255" i="4"/>
  <c r="E255" i="4" s="1"/>
  <c r="D255" i="4"/>
  <c r="F255" i="4"/>
  <c r="G255" i="4"/>
  <c r="C256" i="4"/>
  <c r="E256" i="4" s="1"/>
  <c r="D256" i="4"/>
  <c r="C257" i="4"/>
  <c r="D257" i="4"/>
  <c r="E257" i="4"/>
  <c r="F257" i="4"/>
  <c r="G257" i="4"/>
  <c r="C258" i="4"/>
  <c r="F258" i="4" s="1"/>
  <c r="E258" i="4"/>
  <c r="C259" i="4"/>
  <c r="D259" i="4"/>
  <c r="E259" i="4"/>
  <c r="F259" i="4"/>
  <c r="G259" i="4"/>
  <c r="C260" i="4"/>
  <c r="D260" i="4" s="1"/>
  <c r="E260" i="4"/>
  <c r="C261" i="4"/>
  <c r="G261" i="4" s="1"/>
  <c r="E261" i="4"/>
  <c r="C262" i="4"/>
  <c r="E262" i="4" s="1"/>
  <c r="D262" i="4"/>
  <c r="G262" i="4"/>
  <c r="C263" i="4"/>
  <c r="E263" i="4" s="1"/>
  <c r="D263" i="4"/>
  <c r="C264" i="4"/>
  <c r="D264" i="4" s="1"/>
  <c r="F264" i="4"/>
  <c r="G264" i="4"/>
  <c r="C265" i="4"/>
  <c r="D265" i="4"/>
  <c r="E265" i="4"/>
  <c r="F265" i="4"/>
  <c r="G265" i="4"/>
  <c r="C266" i="4"/>
  <c r="F266" i="4" s="1"/>
  <c r="D266" i="4"/>
  <c r="E266" i="4"/>
  <c r="G266" i="4"/>
  <c r="C267" i="4"/>
  <c r="F267" i="4" s="1"/>
  <c r="D267" i="4"/>
  <c r="E267" i="4"/>
  <c r="C268" i="4"/>
  <c r="D268" i="4" s="1"/>
  <c r="F268" i="4"/>
  <c r="C269" i="4"/>
  <c r="G269" i="4" s="1"/>
  <c r="D269" i="4"/>
  <c r="C270" i="4"/>
  <c r="F270" i="4" s="1"/>
  <c r="E270" i="4"/>
  <c r="C271" i="4"/>
  <c r="E271" i="4" s="1"/>
  <c r="G271" i="4"/>
  <c r="C272" i="4"/>
  <c r="E272" i="4" s="1"/>
  <c r="D272" i="4"/>
  <c r="C273" i="4"/>
  <c r="D273" i="4"/>
  <c r="E273" i="4"/>
  <c r="F273" i="4"/>
  <c r="G273" i="4"/>
  <c r="C274" i="4"/>
  <c r="F274" i="4" s="1"/>
  <c r="D274" i="4"/>
  <c r="E274" i="4"/>
  <c r="C275" i="4"/>
  <c r="D275" i="4"/>
  <c r="E275" i="4"/>
  <c r="F275" i="4"/>
  <c r="G275" i="4"/>
  <c r="C276" i="4"/>
  <c r="D276" i="4" s="1"/>
  <c r="E276" i="4"/>
  <c r="C277" i="4"/>
  <c r="G277" i="4" s="1"/>
  <c r="E277" i="4"/>
  <c r="C278" i="4"/>
  <c r="E278" i="4" s="1"/>
  <c r="D278" i="4"/>
  <c r="G278" i="4"/>
  <c r="C279" i="4"/>
  <c r="E279" i="4" s="1"/>
  <c r="D279" i="4"/>
  <c r="C280" i="4"/>
  <c r="D280" i="4" s="1"/>
  <c r="F280" i="4"/>
  <c r="G280" i="4"/>
  <c r="C281" i="4"/>
  <c r="D281" i="4"/>
  <c r="E281" i="4"/>
  <c r="F281" i="4"/>
  <c r="G281" i="4"/>
  <c r="C282" i="4"/>
  <c r="F282" i="4" s="1"/>
  <c r="D282" i="4"/>
  <c r="E282" i="4"/>
  <c r="G282" i="4"/>
  <c r="C283" i="4"/>
  <c r="F283" i="4" s="1"/>
  <c r="D283" i="4"/>
  <c r="E283" i="4"/>
  <c r="C284" i="4"/>
  <c r="D284" i="4" s="1"/>
  <c r="F284" i="4"/>
  <c r="C285" i="4"/>
  <c r="G285" i="4" s="1"/>
  <c r="D285" i="4"/>
  <c r="C286" i="4"/>
  <c r="F286" i="4" s="1"/>
  <c r="E286" i="4"/>
  <c r="C287" i="4"/>
  <c r="E287" i="4" s="1"/>
  <c r="G287" i="4"/>
  <c r="C288" i="4"/>
  <c r="E288" i="4" s="1"/>
  <c r="D288" i="4"/>
  <c r="C289" i="4"/>
  <c r="D289" i="4"/>
  <c r="E289" i="4"/>
  <c r="F289" i="4"/>
  <c r="G289" i="4"/>
  <c r="C290" i="4"/>
  <c r="F290" i="4" s="1"/>
  <c r="D290" i="4"/>
  <c r="E290" i="4"/>
  <c r="C291" i="4"/>
  <c r="D291" i="4"/>
  <c r="E291" i="4"/>
  <c r="F291" i="4"/>
  <c r="G291" i="4"/>
  <c r="C292" i="4"/>
  <c r="D292" i="4" s="1"/>
  <c r="E292" i="4"/>
  <c r="C293" i="4"/>
  <c r="G293" i="4" s="1"/>
  <c r="E293" i="4"/>
  <c r="C294" i="4"/>
  <c r="E294" i="4" s="1"/>
  <c r="D294" i="4"/>
  <c r="G294" i="4"/>
  <c r="C295" i="4"/>
  <c r="E295" i="4" s="1"/>
  <c r="D295" i="4"/>
  <c r="C296" i="4"/>
  <c r="D296" i="4" s="1"/>
  <c r="F296" i="4"/>
  <c r="G296" i="4"/>
  <c r="C297" i="4"/>
  <c r="D297" i="4"/>
  <c r="E297" i="4"/>
  <c r="F297" i="4"/>
  <c r="G297" i="4"/>
  <c r="C298" i="4"/>
  <c r="F298" i="4" s="1"/>
  <c r="D298" i="4"/>
  <c r="E298" i="4"/>
  <c r="G298" i="4"/>
  <c r="C299" i="4"/>
  <c r="F299" i="4" s="1"/>
  <c r="D299" i="4"/>
  <c r="E299" i="4"/>
  <c r="C300" i="4"/>
  <c r="E300" i="4" s="1"/>
  <c r="C301" i="4"/>
  <c r="D301" i="4" s="1"/>
  <c r="F301" i="4"/>
  <c r="G301" i="4"/>
  <c r="C302" i="4"/>
  <c r="C303" i="4"/>
  <c r="D303" i="4"/>
  <c r="E303" i="4"/>
  <c r="F303" i="4"/>
  <c r="G303" i="4"/>
  <c r="C304" i="4"/>
  <c r="E304" i="4" s="1"/>
  <c r="D304" i="4"/>
  <c r="G304" i="4"/>
  <c r="C305" i="4"/>
  <c r="E305" i="4" s="1"/>
  <c r="D305" i="4"/>
  <c r="C306" i="4"/>
  <c r="D306" i="4"/>
  <c r="E306" i="4"/>
  <c r="F306" i="4"/>
  <c r="G306" i="4"/>
  <c r="C307" i="4"/>
  <c r="F307" i="4" s="1"/>
  <c r="D307" i="4"/>
  <c r="E307" i="4"/>
  <c r="C308" i="4"/>
  <c r="E308" i="4" s="1"/>
  <c r="C309" i="4"/>
  <c r="D309" i="4" s="1"/>
  <c r="F309" i="4"/>
  <c r="G309" i="4"/>
  <c r="C310" i="4"/>
  <c r="C311" i="4"/>
  <c r="D311" i="4"/>
  <c r="E311" i="4"/>
  <c r="F311" i="4"/>
  <c r="G311" i="4"/>
  <c r="C312" i="4"/>
  <c r="E312" i="4" s="1"/>
  <c r="D312" i="4"/>
  <c r="G312" i="4"/>
  <c r="C313" i="4"/>
  <c r="E313" i="4" s="1"/>
  <c r="D313" i="4"/>
  <c r="C314" i="4"/>
  <c r="D314" i="4"/>
  <c r="E314" i="4"/>
  <c r="F314" i="4"/>
  <c r="G314" i="4"/>
  <c r="C315" i="4"/>
  <c r="F315" i="4" s="1"/>
  <c r="D315" i="4"/>
  <c r="E315" i="4"/>
  <c r="C316" i="4"/>
  <c r="E316" i="4" s="1"/>
  <c r="C317" i="4"/>
  <c r="D317" i="4" s="1"/>
  <c r="F317" i="4"/>
  <c r="G317" i="4"/>
  <c r="C318" i="4"/>
  <c r="C319" i="4"/>
  <c r="D319" i="4"/>
  <c r="E319" i="4"/>
  <c r="F319" i="4"/>
  <c r="G319" i="4"/>
  <c r="C320" i="4"/>
  <c r="E320" i="4" s="1"/>
  <c r="D320" i="4"/>
  <c r="G320" i="4"/>
  <c r="C321" i="4"/>
  <c r="E321" i="4" s="1"/>
  <c r="D321" i="4"/>
  <c r="C322" i="4"/>
  <c r="D322" i="4"/>
  <c r="E322" i="4"/>
  <c r="F322" i="4"/>
  <c r="G322" i="4"/>
  <c r="C323" i="4"/>
  <c r="F323" i="4" s="1"/>
  <c r="D323" i="4"/>
  <c r="E323" i="4"/>
  <c r="C324" i="4"/>
  <c r="E324" i="4" s="1"/>
  <c r="C325" i="4"/>
  <c r="D325" i="4" s="1"/>
  <c r="F325" i="4"/>
  <c r="G325" i="4"/>
  <c r="C326" i="4"/>
  <c r="C327" i="4"/>
  <c r="D327" i="4"/>
  <c r="E327" i="4"/>
  <c r="F327" i="4"/>
  <c r="G327" i="4"/>
  <c r="C328" i="4"/>
  <c r="E328" i="4" s="1"/>
  <c r="D328" i="4"/>
  <c r="G328" i="4"/>
  <c r="C329" i="4"/>
  <c r="E329" i="4" s="1"/>
  <c r="D329" i="4"/>
  <c r="C330" i="4"/>
  <c r="D330" i="4"/>
  <c r="E330" i="4"/>
  <c r="F330" i="4"/>
  <c r="G330" i="4"/>
  <c r="C331" i="4"/>
  <c r="F331" i="4" s="1"/>
  <c r="D331" i="4"/>
  <c r="E331" i="4"/>
  <c r="C332" i="4"/>
  <c r="D332" i="4" s="1"/>
  <c r="E332" i="4"/>
  <c r="C333" i="4"/>
  <c r="D333" i="4" s="1"/>
  <c r="F333" i="4"/>
  <c r="G333" i="4"/>
  <c r="C334" i="4"/>
  <c r="C335" i="4"/>
  <c r="D335" i="4"/>
  <c r="E335" i="4"/>
  <c r="F335" i="4"/>
  <c r="G335" i="4"/>
  <c r="C336" i="4"/>
  <c r="E336" i="4" s="1"/>
  <c r="D336" i="4"/>
  <c r="G336" i="4"/>
  <c r="C337" i="4"/>
  <c r="C338" i="4"/>
  <c r="D338" i="4"/>
  <c r="E338" i="4"/>
  <c r="F338" i="4"/>
  <c r="G338" i="4"/>
  <c r="C339" i="4"/>
  <c r="F339" i="4" s="1"/>
  <c r="D339" i="4"/>
  <c r="E339" i="4"/>
  <c r="C340" i="4"/>
  <c r="E340" i="4" s="1"/>
  <c r="D340" i="4"/>
  <c r="C341" i="4"/>
  <c r="D341" i="4" s="1"/>
  <c r="F341" i="4"/>
  <c r="G341" i="4"/>
  <c r="C342" i="4"/>
  <c r="C343" i="4"/>
  <c r="D343" i="4"/>
  <c r="E343" i="4"/>
  <c r="F343" i="4"/>
  <c r="G343" i="4"/>
  <c r="C344" i="4"/>
  <c r="E344" i="4" s="1"/>
  <c r="D344" i="4"/>
  <c r="G344" i="4"/>
  <c r="C345" i="4"/>
  <c r="G345" i="4" s="1"/>
  <c r="D345" i="4"/>
  <c r="C346" i="4"/>
  <c r="D346" i="4"/>
  <c r="E346" i="4"/>
  <c r="F346" i="4"/>
  <c r="G346" i="4"/>
  <c r="C347" i="4"/>
  <c r="F347" i="4" s="1"/>
  <c r="D347" i="4"/>
  <c r="E347" i="4"/>
  <c r="C348" i="4"/>
  <c r="C349" i="4"/>
  <c r="C350" i="4"/>
  <c r="F350" i="4" s="1"/>
  <c r="C351" i="4"/>
  <c r="G351" i="4" s="1"/>
  <c r="D351" i="4"/>
  <c r="E351" i="4"/>
  <c r="F351" i="4"/>
  <c r="C352" i="4"/>
  <c r="E352" i="4" s="1"/>
  <c r="D352" i="4"/>
  <c r="G352" i="4"/>
  <c r="C353" i="4"/>
  <c r="E353" i="4" s="1"/>
  <c r="D353" i="4"/>
  <c r="F353" i="4"/>
  <c r="G353" i="4"/>
  <c r="C354" i="4"/>
  <c r="D354" i="4"/>
  <c r="E354" i="4"/>
  <c r="F354" i="4"/>
  <c r="G354" i="4"/>
  <c r="C355" i="4"/>
  <c r="F355" i="4" s="1"/>
  <c r="D355" i="4"/>
  <c r="E355" i="4"/>
  <c r="C356" i="4"/>
  <c r="C357" i="4"/>
  <c r="F357" i="4"/>
  <c r="G357" i="4"/>
  <c r="C358" i="4"/>
  <c r="E358" i="4"/>
  <c r="F358" i="4"/>
  <c r="C359" i="4"/>
  <c r="G359" i="4" s="1"/>
  <c r="D359" i="4"/>
  <c r="E359" i="4"/>
  <c r="F359" i="4"/>
  <c r="C360" i="4"/>
  <c r="D360" i="4" s="1"/>
  <c r="G360" i="4"/>
  <c r="C361" i="4"/>
  <c r="E361" i="4" s="1"/>
  <c r="F361" i="4"/>
  <c r="C362" i="4"/>
  <c r="D362" i="4"/>
  <c r="E362" i="4"/>
  <c r="F362" i="4"/>
  <c r="G362" i="4"/>
  <c r="C363" i="4"/>
  <c r="F363" i="4" s="1"/>
  <c r="D363" i="4"/>
  <c r="E363" i="4"/>
  <c r="C364" i="4"/>
  <c r="G364" i="4"/>
  <c r="C365" i="4"/>
  <c r="F365" i="4" s="1"/>
  <c r="G365" i="4"/>
  <c r="C366" i="4"/>
  <c r="E366" i="4"/>
  <c r="F366" i="4"/>
  <c r="C367" i="4"/>
  <c r="G367" i="4" s="1"/>
  <c r="D367" i="4"/>
  <c r="E367" i="4"/>
  <c r="F367" i="4"/>
  <c r="C368" i="4"/>
  <c r="D368" i="4" s="1"/>
  <c r="G368" i="4"/>
  <c r="C369" i="4"/>
  <c r="E369" i="4" s="1"/>
  <c r="F369" i="4"/>
  <c r="C370" i="4"/>
  <c r="D370" i="4"/>
  <c r="E370" i="4"/>
  <c r="F370" i="4"/>
  <c r="G370" i="4"/>
  <c r="C371" i="4"/>
  <c r="F371" i="4" s="1"/>
  <c r="D371" i="4"/>
  <c r="E371" i="4"/>
  <c r="C372" i="4"/>
  <c r="F372" i="4" s="1"/>
  <c r="D372" i="4"/>
  <c r="G372" i="4"/>
  <c r="C373" i="4"/>
  <c r="F373" i="4" s="1"/>
  <c r="G373" i="4"/>
  <c r="C374" i="4"/>
  <c r="E374" i="4" s="1"/>
  <c r="F374" i="4"/>
  <c r="C375" i="4"/>
  <c r="G375" i="4" s="1"/>
  <c r="D375" i="4"/>
  <c r="E375" i="4"/>
  <c r="F375" i="4"/>
  <c r="C376" i="4"/>
  <c r="C377" i="4"/>
  <c r="E377" i="4" s="1"/>
  <c r="F377" i="4"/>
  <c r="G377" i="4"/>
  <c r="C378" i="4"/>
  <c r="D378" i="4"/>
  <c r="E378" i="4"/>
  <c r="F378" i="4"/>
  <c r="G378" i="4"/>
  <c r="C379" i="4"/>
  <c r="F379" i="4" s="1"/>
  <c r="D379" i="4"/>
  <c r="E379" i="4"/>
  <c r="C380" i="4"/>
  <c r="D380" i="4"/>
  <c r="E380" i="4"/>
  <c r="F380" i="4"/>
  <c r="G380" i="4"/>
  <c r="C381" i="4"/>
  <c r="F381" i="4"/>
  <c r="G381" i="4"/>
  <c r="C382" i="4"/>
  <c r="G382" i="4" s="1"/>
  <c r="D382" i="4"/>
  <c r="E382" i="4"/>
  <c r="F382" i="4"/>
  <c r="C383" i="4"/>
  <c r="D383" i="4"/>
  <c r="E383" i="4"/>
  <c r="F383" i="4"/>
  <c r="G383" i="4"/>
  <c r="C384" i="4"/>
  <c r="C385" i="4"/>
  <c r="D385" i="4"/>
  <c r="E385" i="4"/>
  <c r="F385" i="4"/>
  <c r="G385" i="4"/>
  <c r="C386" i="4"/>
  <c r="D386" i="4"/>
  <c r="E386" i="4"/>
  <c r="F386" i="4"/>
  <c r="G386" i="4"/>
  <c r="C387" i="4"/>
  <c r="F387" i="4" s="1"/>
  <c r="E387" i="4"/>
  <c r="C388" i="4"/>
  <c r="E388" i="4" s="1"/>
  <c r="D388" i="4"/>
  <c r="F388" i="4"/>
  <c r="G388" i="4"/>
  <c r="C389" i="4"/>
  <c r="D389" i="4" s="1"/>
  <c r="E389" i="4"/>
  <c r="F389" i="4"/>
  <c r="G389" i="4"/>
  <c r="C390" i="4"/>
  <c r="G390" i="4" s="1"/>
  <c r="E390" i="4"/>
  <c r="F390" i="4"/>
  <c r="C391" i="4"/>
  <c r="D391" i="4"/>
  <c r="E391" i="4"/>
  <c r="F391" i="4"/>
  <c r="G391" i="4"/>
  <c r="C392" i="4"/>
  <c r="E392" i="4" s="1"/>
  <c r="D392" i="4"/>
  <c r="F392" i="4"/>
  <c r="G392" i="4"/>
  <c r="C393" i="4"/>
  <c r="C394" i="4"/>
  <c r="D394" i="4"/>
  <c r="E394" i="4"/>
  <c r="F394" i="4"/>
  <c r="G394" i="4"/>
  <c r="C395" i="4"/>
  <c r="F395" i="4" s="1"/>
  <c r="D395" i="4"/>
  <c r="G395" i="4"/>
  <c r="C396" i="4"/>
  <c r="F396" i="4" s="1"/>
  <c r="E396" i="4"/>
  <c r="C397" i="4"/>
  <c r="D397" i="4" s="1"/>
  <c r="F397" i="4"/>
  <c r="C398" i="4"/>
  <c r="G398" i="4" s="1"/>
  <c r="D398" i="4"/>
  <c r="E398" i="4"/>
  <c r="F398" i="4"/>
  <c r="C399" i="4"/>
  <c r="D399" i="4" s="1"/>
  <c r="E399" i="4"/>
  <c r="C400" i="4"/>
  <c r="C401" i="4"/>
  <c r="D401" i="4"/>
  <c r="E401" i="4"/>
  <c r="F401" i="4"/>
  <c r="G401" i="4"/>
  <c r="C402" i="4"/>
  <c r="D402" i="4"/>
  <c r="E402" i="4"/>
  <c r="F402" i="4"/>
  <c r="G402" i="4"/>
  <c r="C403" i="4"/>
  <c r="F403" i="4" s="1"/>
  <c r="E403" i="4"/>
  <c r="C404" i="4"/>
  <c r="E404" i="4" s="1"/>
  <c r="D404" i="4"/>
  <c r="F404" i="4"/>
  <c r="G404" i="4"/>
  <c r="C405" i="4"/>
  <c r="D405" i="4" s="1"/>
  <c r="E405" i="4"/>
  <c r="F405" i="4"/>
  <c r="G405" i="4"/>
  <c r="C406" i="4"/>
  <c r="G406" i="4" s="1"/>
  <c r="E406" i="4"/>
  <c r="C407" i="4"/>
  <c r="D407" i="4"/>
  <c r="E407" i="4"/>
  <c r="F407" i="4"/>
  <c r="G407" i="4"/>
  <c r="C408" i="4"/>
  <c r="E408" i="4" s="1"/>
  <c r="D408" i="4"/>
  <c r="F408" i="4"/>
  <c r="G408" i="4"/>
  <c r="C409" i="4"/>
  <c r="C410" i="4"/>
  <c r="D410" i="4"/>
  <c r="E410" i="4"/>
  <c r="F410" i="4"/>
  <c r="G410" i="4"/>
  <c r="C411" i="4"/>
  <c r="F411" i="4" s="1"/>
  <c r="D411" i="4"/>
  <c r="G411" i="4"/>
  <c r="C412" i="4"/>
  <c r="F412" i="4" s="1"/>
  <c r="E412" i="4"/>
  <c r="C413" i="4"/>
  <c r="D413" i="4" s="1"/>
  <c r="F413" i="4"/>
  <c r="C414" i="4"/>
  <c r="G414" i="4" s="1"/>
  <c r="D414" i="4"/>
  <c r="E414" i="4"/>
  <c r="F414" i="4"/>
  <c r="C415" i="4"/>
  <c r="E415" i="4" s="1"/>
  <c r="C416" i="4"/>
  <c r="G416" i="4"/>
  <c r="C417" i="4"/>
  <c r="D417" i="4"/>
  <c r="E417" i="4"/>
  <c r="F417" i="4"/>
  <c r="G417" i="4"/>
  <c r="C418" i="4"/>
  <c r="D418" i="4"/>
  <c r="E418" i="4"/>
  <c r="F418" i="4"/>
  <c r="G418" i="4"/>
  <c r="C419" i="4"/>
  <c r="F419" i="4" s="1"/>
  <c r="E419" i="4"/>
  <c r="C420" i="4"/>
  <c r="E420" i="4" s="1"/>
  <c r="D420" i="4"/>
  <c r="F420" i="4"/>
  <c r="G420" i="4"/>
  <c r="C421" i="4"/>
  <c r="D421" i="4" s="1"/>
  <c r="E421" i="4"/>
  <c r="F421" i="4"/>
  <c r="G421" i="4"/>
  <c r="C422" i="4"/>
  <c r="E422" i="4" s="1"/>
  <c r="C423" i="4"/>
  <c r="D423" i="4"/>
  <c r="E423" i="4"/>
  <c r="F423" i="4"/>
  <c r="G423" i="4"/>
  <c r="C424" i="4"/>
  <c r="E424" i="4" s="1"/>
  <c r="D424" i="4"/>
  <c r="F424" i="4"/>
  <c r="G424" i="4"/>
  <c r="C425" i="4"/>
  <c r="F425" i="4"/>
  <c r="C426" i="4"/>
  <c r="D426" i="4"/>
  <c r="E426" i="4"/>
  <c r="F426" i="4"/>
  <c r="G426" i="4"/>
  <c r="C427" i="4"/>
  <c r="F427" i="4" s="1"/>
  <c r="D427" i="4"/>
  <c r="G427" i="4"/>
  <c r="C428" i="4"/>
  <c r="E428" i="4" s="1"/>
  <c r="C429" i="4"/>
  <c r="F429" i="4" s="1"/>
  <c r="C430" i="4"/>
  <c r="G430" i="4" s="1"/>
  <c r="D430" i="4"/>
  <c r="E430" i="4"/>
  <c r="F430" i="4"/>
  <c r="C431" i="4"/>
  <c r="E431" i="4"/>
  <c r="F431" i="4"/>
  <c r="C432" i="4"/>
  <c r="G432" i="4"/>
  <c r="C433" i="4"/>
  <c r="D433" i="4"/>
  <c r="E433" i="4"/>
  <c r="F433" i="4"/>
  <c r="G433" i="4"/>
  <c r="C434" i="4"/>
  <c r="D434" i="4"/>
  <c r="E434" i="4"/>
  <c r="F434" i="4"/>
  <c r="G434" i="4"/>
  <c r="C435" i="4"/>
  <c r="E435" i="4" s="1"/>
  <c r="C436" i="4"/>
  <c r="E436" i="4" s="1"/>
  <c r="D436" i="4"/>
  <c r="F436" i="4"/>
  <c r="G436" i="4"/>
  <c r="C437" i="4"/>
  <c r="D437" i="4" s="1"/>
  <c r="E437" i="4"/>
  <c r="F437" i="4"/>
  <c r="G437" i="4"/>
  <c r="C438" i="4"/>
  <c r="E438" i="4" s="1"/>
  <c r="C439" i="4"/>
  <c r="D439" i="4"/>
  <c r="E439" i="4"/>
  <c r="F439" i="4"/>
  <c r="G439" i="4"/>
  <c r="C440" i="4"/>
  <c r="E440" i="4" s="1"/>
  <c r="D440" i="4"/>
  <c r="F440" i="4"/>
  <c r="G440" i="4"/>
  <c r="C441" i="4"/>
  <c r="E441" i="4"/>
  <c r="F441" i="4"/>
  <c r="C442" i="4"/>
  <c r="D442" i="4"/>
  <c r="E442" i="4"/>
  <c r="F442" i="4"/>
  <c r="G442" i="4"/>
  <c r="C443" i="4"/>
  <c r="D443" i="4"/>
  <c r="G443" i="4"/>
  <c r="C444" i="4"/>
  <c r="E444" i="4"/>
  <c r="G444" i="4"/>
  <c r="C445" i="4"/>
  <c r="F445" i="4"/>
  <c r="G445" i="4"/>
  <c r="C446" i="4"/>
  <c r="G446" i="4" s="1"/>
  <c r="D446" i="4"/>
  <c r="E446" i="4"/>
  <c r="F446" i="4"/>
  <c r="C447" i="4"/>
  <c r="E447" i="4" s="1"/>
  <c r="F447" i="4"/>
  <c r="C448" i="4"/>
  <c r="F448" i="4"/>
  <c r="G448" i="4"/>
  <c r="C449" i="4"/>
  <c r="D449" i="4"/>
  <c r="E449" i="4"/>
  <c r="F449" i="4"/>
  <c r="G449" i="4"/>
  <c r="C450" i="4"/>
  <c r="D450" i="4"/>
  <c r="E450" i="4"/>
  <c r="F450" i="4"/>
  <c r="G450" i="4"/>
  <c r="C451" i="4"/>
  <c r="E451" i="4" s="1"/>
  <c r="C452" i="4"/>
  <c r="E452" i="4" s="1"/>
  <c r="C453" i="4"/>
  <c r="D453" i="4" s="1"/>
  <c r="E453" i="4"/>
  <c r="F453" i="4"/>
  <c r="G453" i="4"/>
  <c r="C454" i="4"/>
  <c r="E454" i="4" s="1"/>
  <c r="C455" i="4"/>
  <c r="D455" i="4"/>
  <c r="E455" i="4"/>
  <c r="F455" i="4"/>
  <c r="G455" i="4"/>
  <c r="C456" i="4"/>
  <c r="E456" i="4" s="1"/>
  <c r="D456" i="4"/>
  <c r="F456" i="4"/>
  <c r="G456" i="4"/>
  <c r="C457" i="4"/>
  <c r="E457" i="4"/>
  <c r="F457" i="4"/>
  <c r="C458" i="4"/>
  <c r="D458" i="4"/>
  <c r="E458" i="4"/>
  <c r="F458" i="4"/>
  <c r="G458" i="4"/>
  <c r="C459" i="4"/>
  <c r="D459" i="4"/>
  <c r="G459" i="4"/>
  <c r="C460" i="4"/>
  <c r="E460" i="4"/>
  <c r="G460" i="4"/>
  <c r="C461" i="4"/>
  <c r="F461" i="4" s="1"/>
  <c r="C462" i="4"/>
  <c r="G462" i="4" s="1"/>
  <c r="D462" i="4"/>
  <c r="E462" i="4"/>
  <c r="F462" i="4"/>
  <c r="C463" i="4"/>
  <c r="E463" i="4" s="1"/>
  <c r="C464" i="4"/>
  <c r="F464" i="4"/>
  <c r="G464" i="4"/>
  <c r="C465" i="4"/>
  <c r="D465" i="4"/>
  <c r="E465" i="4"/>
  <c r="F465" i="4"/>
  <c r="G465" i="4"/>
  <c r="C466" i="4"/>
  <c r="D466" i="4"/>
  <c r="E466" i="4"/>
  <c r="F466" i="4"/>
  <c r="G466" i="4"/>
  <c r="C467" i="4"/>
  <c r="C468" i="4"/>
  <c r="E468" i="4" s="1"/>
  <c r="F468" i="4"/>
  <c r="C469" i="4"/>
  <c r="D469" i="4" s="1"/>
  <c r="E469" i="4"/>
  <c r="F469" i="4"/>
  <c r="G469" i="4"/>
  <c r="C470" i="4"/>
  <c r="E470" i="4" s="1"/>
  <c r="F470" i="4"/>
  <c r="C471" i="4"/>
  <c r="D471" i="4"/>
  <c r="E471" i="4"/>
  <c r="F471" i="4"/>
  <c r="G471" i="4"/>
  <c r="C472" i="4"/>
  <c r="E472" i="4" s="1"/>
  <c r="D472" i="4"/>
  <c r="F472" i="4"/>
  <c r="G472" i="4"/>
  <c r="C473" i="4"/>
  <c r="E473" i="4"/>
  <c r="F473" i="4"/>
  <c r="C474" i="4"/>
  <c r="D474" i="4"/>
  <c r="E474" i="4"/>
  <c r="F474" i="4"/>
  <c r="G474" i="4"/>
  <c r="C475" i="4"/>
  <c r="D475" i="4"/>
  <c r="G475" i="4"/>
  <c r="C476" i="4"/>
  <c r="E476" i="4" s="1"/>
  <c r="C477" i="4"/>
  <c r="C478" i="4"/>
  <c r="G478" i="4" s="1"/>
  <c r="D478" i="4"/>
  <c r="E478" i="4"/>
  <c r="F478" i="4"/>
  <c r="C479" i="4"/>
  <c r="E479" i="4"/>
  <c r="F479" i="4"/>
  <c r="C480" i="4"/>
  <c r="F480" i="4"/>
  <c r="G480" i="4"/>
  <c r="C481" i="4"/>
  <c r="D481" i="4"/>
  <c r="E481" i="4"/>
  <c r="F481" i="4"/>
  <c r="G481" i="4"/>
  <c r="C482" i="4"/>
  <c r="D482" i="4"/>
  <c r="E482" i="4"/>
  <c r="F482" i="4"/>
  <c r="G482" i="4"/>
  <c r="C483" i="4"/>
  <c r="E483" i="4"/>
  <c r="C484" i="4"/>
  <c r="E484" i="4" s="1"/>
  <c r="F484" i="4"/>
  <c r="G484" i="4"/>
  <c r="C485" i="4"/>
  <c r="D485" i="4" s="1"/>
  <c r="E485" i="4"/>
  <c r="F485" i="4"/>
  <c r="G485" i="4"/>
  <c r="C486" i="4"/>
  <c r="E486" i="4" s="1"/>
  <c r="F486" i="4"/>
  <c r="C487" i="4"/>
  <c r="D487" i="4"/>
  <c r="E487" i="4"/>
  <c r="F487" i="4"/>
  <c r="G487" i="4"/>
  <c r="C488" i="4"/>
  <c r="E488" i="4" s="1"/>
  <c r="D488" i="4"/>
  <c r="F488" i="4"/>
  <c r="G488" i="4"/>
  <c r="C489" i="4"/>
  <c r="F489" i="4" s="1"/>
  <c r="E489" i="4"/>
  <c r="C490" i="4"/>
  <c r="D490" i="4"/>
  <c r="E490" i="4"/>
  <c r="F490" i="4"/>
  <c r="G490" i="4"/>
  <c r="C491" i="4"/>
  <c r="D491" i="4" s="1"/>
  <c r="C492" i="4"/>
  <c r="C493" i="4"/>
  <c r="G493" i="4" s="1"/>
  <c r="F493" i="4"/>
  <c r="C494" i="4"/>
  <c r="G494" i="4" s="1"/>
  <c r="D494" i="4"/>
  <c r="E494" i="4"/>
  <c r="F494" i="4"/>
  <c r="C495" i="4"/>
  <c r="E495" i="4"/>
  <c r="F495" i="4"/>
  <c r="C496" i="4"/>
  <c r="C497" i="4"/>
  <c r="D497" i="4"/>
  <c r="E497" i="4"/>
  <c r="F497" i="4"/>
  <c r="G497" i="4"/>
  <c r="C498" i="4"/>
  <c r="D498" i="4"/>
  <c r="E498" i="4"/>
  <c r="F498" i="4"/>
  <c r="G498" i="4"/>
  <c r="C499" i="4"/>
  <c r="E499" i="4"/>
  <c r="G499" i="4"/>
  <c r="C500" i="4"/>
  <c r="G500" i="4" s="1"/>
  <c r="D500" i="4"/>
  <c r="C501" i="4"/>
  <c r="D501" i="4" s="1"/>
  <c r="E501" i="4"/>
  <c r="F501" i="4"/>
  <c r="G501" i="4"/>
  <c r="C502" i="4"/>
  <c r="E502" i="4" s="1"/>
  <c r="C503" i="4"/>
  <c r="D503" i="4"/>
  <c r="E503" i="4"/>
  <c r="F503" i="4"/>
  <c r="G503" i="4"/>
  <c r="C504" i="4"/>
  <c r="E504" i="4" s="1"/>
  <c r="D504" i="4"/>
  <c r="F504" i="4"/>
  <c r="G504" i="4"/>
  <c r="C505" i="4"/>
  <c r="G505" i="4" s="1"/>
  <c r="E505" i="4"/>
  <c r="F505" i="4"/>
  <c r="C506" i="4"/>
  <c r="D506" i="4"/>
  <c r="E506" i="4"/>
  <c r="F506" i="4"/>
  <c r="G506" i="4"/>
  <c r="C507" i="4"/>
  <c r="D507" i="4"/>
  <c r="G507" i="4"/>
  <c r="C508" i="4"/>
  <c r="E508" i="4" s="1"/>
  <c r="C509" i="4"/>
  <c r="G509" i="4"/>
  <c r="C510" i="4"/>
  <c r="G510" i="4" s="1"/>
  <c r="D510" i="4"/>
  <c r="E510" i="4"/>
  <c r="F510" i="4"/>
  <c r="C511" i="4"/>
  <c r="E511" i="4"/>
  <c r="C512" i="4"/>
  <c r="E512" i="4" s="1"/>
  <c r="D512" i="4"/>
  <c r="C513" i="4"/>
  <c r="D513" i="4"/>
  <c r="E513" i="4"/>
  <c r="F513" i="4"/>
  <c r="G513" i="4"/>
  <c r="C514" i="4"/>
  <c r="D514" i="4"/>
  <c r="E514" i="4"/>
  <c r="F514" i="4"/>
  <c r="G514" i="4"/>
  <c r="C515" i="4"/>
  <c r="G515" i="4"/>
  <c r="C516" i="4"/>
  <c r="F516" i="4" s="1"/>
  <c r="D516" i="4"/>
  <c r="C517" i="4"/>
  <c r="D517" i="4" s="1"/>
  <c r="E517" i="4"/>
  <c r="F517" i="4"/>
  <c r="G517" i="4"/>
  <c r="C518" i="4"/>
  <c r="E518" i="4" s="1"/>
  <c r="F518" i="4"/>
  <c r="C519" i="4"/>
  <c r="D519" i="4"/>
  <c r="E519" i="4"/>
  <c r="F519" i="4"/>
  <c r="G519" i="4"/>
  <c r="C520" i="4"/>
  <c r="E520" i="4" s="1"/>
  <c r="D520" i="4"/>
  <c r="F520" i="4"/>
  <c r="G520" i="4"/>
  <c r="C521" i="4"/>
  <c r="D521" i="4" s="1"/>
  <c r="F521" i="4"/>
  <c r="C522" i="4"/>
  <c r="D522" i="4"/>
  <c r="E522" i="4"/>
  <c r="F522" i="4"/>
  <c r="G522" i="4"/>
  <c r="C523" i="4"/>
  <c r="G523" i="4" s="1"/>
  <c r="C524" i="4"/>
  <c r="E524" i="4" s="1"/>
  <c r="C525" i="4"/>
  <c r="F525" i="4"/>
  <c r="C526" i="4"/>
  <c r="G526" i="4" s="1"/>
  <c r="D526" i="4"/>
  <c r="E526" i="4"/>
  <c r="F526" i="4"/>
  <c r="C527" i="4"/>
  <c r="E527" i="4"/>
  <c r="F527" i="4"/>
  <c r="C528" i="4"/>
  <c r="E528" i="4" s="1"/>
  <c r="D528" i="4"/>
  <c r="F528" i="4"/>
  <c r="G528" i="4"/>
  <c r="C529" i="4"/>
  <c r="D529" i="4"/>
  <c r="E529" i="4"/>
  <c r="F529" i="4"/>
  <c r="G529" i="4"/>
  <c r="C530" i="4"/>
  <c r="D530" i="4"/>
  <c r="E530" i="4"/>
  <c r="F530" i="4"/>
  <c r="G530" i="4"/>
  <c r="C531" i="4"/>
  <c r="E531" i="4" s="1"/>
  <c r="C532" i="4"/>
  <c r="E532" i="4" s="1"/>
  <c r="C533" i="4"/>
  <c r="D533" i="4" s="1"/>
  <c r="E533" i="4"/>
  <c r="F533" i="4"/>
  <c r="G533" i="4"/>
  <c r="C534" i="4"/>
  <c r="E534" i="4" s="1"/>
  <c r="C535" i="4"/>
  <c r="D535" i="4"/>
  <c r="E535" i="4"/>
  <c r="F535" i="4"/>
  <c r="G535" i="4"/>
  <c r="C536" i="4"/>
  <c r="E536" i="4" s="1"/>
  <c r="D536" i="4"/>
  <c r="F536" i="4"/>
  <c r="G536" i="4"/>
  <c r="C537" i="4"/>
  <c r="G537" i="4" s="1"/>
  <c r="D537" i="4"/>
  <c r="E537" i="4"/>
  <c r="C538" i="4"/>
  <c r="D538" i="4"/>
  <c r="E538" i="4"/>
  <c r="F538" i="4"/>
  <c r="G538" i="4"/>
  <c r="C539" i="4"/>
  <c r="D539" i="4" s="1"/>
  <c r="C540" i="4"/>
  <c r="D540" i="4" s="1"/>
  <c r="E540" i="4"/>
  <c r="F540" i="4"/>
  <c r="C541" i="4"/>
  <c r="F541" i="4"/>
  <c r="G541" i="4"/>
  <c r="C542" i="4"/>
  <c r="G542" i="4" s="1"/>
  <c r="D542" i="4"/>
  <c r="E542" i="4"/>
  <c r="F542" i="4"/>
  <c r="C543" i="4"/>
  <c r="F543" i="4"/>
  <c r="G543" i="4"/>
  <c r="C544" i="4"/>
  <c r="E544" i="4" s="1"/>
  <c r="D544" i="4"/>
  <c r="F544" i="4"/>
  <c r="G544" i="4"/>
  <c r="C545" i="4"/>
  <c r="D545" i="4"/>
  <c r="E545" i="4"/>
  <c r="F545" i="4"/>
  <c r="G545" i="4"/>
  <c r="C546" i="4"/>
  <c r="D546" i="4"/>
  <c r="E546" i="4"/>
  <c r="F546" i="4"/>
  <c r="G546" i="4"/>
  <c r="C547" i="4"/>
  <c r="D547" i="4" s="1"/>
  <c r="G547" i="4"/>
  <c r="C548" i="4"/>
  <c r="D548" i="4"/>
  <c r="F548" i="4"/>
  <c r="C549" i="4"/>
  <c r="E549" i="4" s="1"/>
  <c r="C550" i="4"/>
  <c r="F550" i="4" s="1"/>
  <c r="E550" i="4"/>
  <c r="C551" i="4"/>
  <c r="F551" i="4" s="1"/>
  <c r="D551" i="4"/>
  <c r="E551" i="4"/>
  <c r="G551" i="4"/>
  <c r="C552" i="4"/>
  <c r="E552" i="4" s="1"/>
  <c r="D552" i="4"/>
  <c r="F552" i="4"/>
  <c r="G552" i="4"/>
  <c r="C553" i="4"/>
  <c r="D553" i="4" s="1"/>
  <c r="F553" i="4"/>
  <c r="C554" i="4"/>
  <c r="D554" i="4"/>
  <c r="E554" i="4"/>
  <c r="F554" i="4"/>
  <c r="G554" i="4"/>
  <c r="C555" i="4"/>
  <c r="G555" i="4" s="1"/>
  <c r="C556" i="4"/>
  <c r="F556" i="4" s="1"/>
  <c r="C557" i="4"/>
  <c r="G557" i="4" s="1"/>
  <c r="C558" i="4"/>
  <c r="D558" i="4" s="1"/>
  <c r="C559" i="4"/>
  <c r="E559" i="4"/>
  <c r="G559" i="4"/>
  <c r="C560" i="4"/>
  <c r="D560" i="4" s="1"/>
  <c r="C561" i="4"/>
  <c r="D561" i="4"/>
  <c r="E561" i="4"/>
  <c r="F561" i="4"/>
  <c r="G561" i="4"/>
  <c r="C562" i="4"/>
  <c r="D562" i="4" s="1"/>
  <c r="C563" i="4"/>
  <c r="D563" i="4" s="1"/>
  <c r="E563" i="4"/>
  <c r="C564" i="4"/>
  <c r="G564" i="4" s="1"/>
  <c r="F564" i="4"/>
  <c r="C565" i="4"/>
  <c r="G565" i="4" s="1"/>
  <c r="D565" i="4"/>
  <c r="E565" i="4"/>
  <c r="F565" i="4"/>
  <c r="C566" i="4"/>
  <c r="E566" i="4" s="1"/>
  <c r="F566" i="4"/>
  <c r="C567" i="4"/>
  <c r="E567" i="4" s="1"/>
  <c r="D567" i="4"/>
  <c r="F567" i="4"/>
  <c r="G567" i="4"/>
  <c r="C568" i="4"/>
  <c r="F568" i="4" s="1"/>
  <c r="D568" i="4"/>
  <c r="E568" i="4"/>
  <c r="G568" i="4"/>
  <c r="C569" i="4"/>
  <c r="D569" i="4"/>
  <c r="E569" i="4"/>
  <c r="F569" i="4"/>
  <c r="G569" i="4"/>
  <c r="C570" i="4"/>
  <c r="E570" i="4" s="1"/>
  <c r="G570" i="4"/>
  <c r="C571" i="4"/>
  <c r="E571" i="4" s="1"/>
  <c r="D571" i="4"/>
  <c r="F571" i="4"/>
  <c r="G571" i="4"/>
  <c r="C572" i="4"/>
  <c r="D572" i="4" s="1"/>
  <c r="E572" i="4"/>
  <c r="F572" i="4"/>
  <c r="G572" i="4"/>
  <c r="C573" i="4"/>
  <c r="E573" i="4"/>
  <c r="F573" i="4"/>
  <c r="C574" i="4"/>
  <c r="D574" i="4"/>
  <c r="E574" i="4"/>
  <c r="F574" i="4"/>
  <c r="G574" i="4"/>
  <c r="C575" i="4"/>
  <c r="E575" i="4" s="1"/>
  <c r="D575" i="4"/>
  <c r="F575" i="4"/>
  <c r="C576" i="4"/>
  <c r="G576" i="4" s="1"/>
  <c r="C577" i="4"/>
  <c r="D577" i="4"/>
  <c r="E577" i="4"/>
  <c r="F577" i="4"/>
  <c r="G577" i="4"/>
  <c r="C578" i="4"/>
  <c r="D578" i="4"/>
  <c r="G578" i="4"/>
  <c r="C579" i="4"/>
  <c r="D579" i="4" s="1"/>
  <c r="C580" i="4"/>
  <c r="F580" i="4" s="1"/>
  <c r="C581" i="4"/>
  <c r="G581" i="4" s="1"/>
  <c r="D581" i="4"/>
  <c r="E581" i="4"/>
  <c r="F581" i="4"/>
  <c r="C582" i="4"/>
  <c r="F582" i="4" s="1"/>
  <c r="E582" i="4"/>
  <c r="C583" i="4"/>
  <c r="G583" i="4" s="1"/>
  <c r="E583" i="4"/>
  <c r="C584" i="4"/>
  <c r="E584" i="4" s="1"/>
  <c r="D584" i="4"/>
  <c r="F584" i="4"/>
  <c r="C585" i="4"/>
  <c r="E585" i="4" s="1"/>
  <c r="F585" i="4"/>
  <c r="C586" i="4"/>
  <c r="D586" i="4"/>
  <c r="E586" i="4"/>
  <c r="F586" i="4"/>
  <c r="G586" i="4"/>
  <c r="C587" i="4"/>
  <c r="F587" i="4" s="1"/>
  <c r="D587" i="4"/>
  <c r="E587" i="4"/>
  <c r="G587" i="4"/>
  <c r="C588" i="4"/>
  <c r="F588" i="4" s="1"/>
  <c r="D588" i="4"/>
  <c r="C589" i="4"/>
  <c r="D589" i="4" s="1"/>
  <c r="E589" i="4"/>
  <c r="G589" i="4"/>
  <c r="C590" i="4"/>
  <c r="E590" i="4" s="1"/>
  <c r="C591" i="4"/>
  <c r="G591" i="4" s="1"/>
  <c r="E591" i="4"/>
  <c r="C592" i="4"/>
  <c r="E592" i="4" s="1"/>
  <c r="D592" i="4"/>
  <c r="F592" i="4"/>
  <c r="C593" i="4"/>
  <c r="E593" i="4" s="1"/>
  <c r="F593" i="4"/>
  <c r="C594" i="4"/>
  <c r="D594" i="4"/>
  <c r="E594" i="4"/>
  <c r="F594" i="4"/>
  <c r="G594" i="4"/>
  <c r="C595" i="4"/>
  <c r="F595" i="4" s="1"/>
  <c r="D595" i="4"/>
  <c r="E595" i="4"/>
  <c r="G595" i="4"/>
  <c r="C596" i="4"/>
  <c r="F596" i="4" s="1"/>
  <c r="C597" i="4"/>
  <c r="D597" i="4" s="1"/>
  <c r="E597" i="4"/>
  <c r="G597" i="4"/>
  <c r="C598" i="4"/>
  <c r="E598" i="4" s="1"/>
  <c r="C599" i="4"/>
  <c r="G599" i="4" s="1"/>
  <c r="E599" i="4"/>
  <c r="C600" i="4"/>
  <c r="E600" i="4" s="1"/>
  <c r="D600" i="4"/>
  <c r="C601" i="4"/>
  <c r="E601" i="4" s="1"/>
  <c r="F601" i="4"/>
  <c r="C602" i="4"/>
  <c r="D602" i="4"/>
  <c r="E602" i="4"/>
  <c r="F602" i="4"/>
  <c r="G602" i="4"/>
  <c r="C603" i="4"/>
  <c r="D603" i="4"/>
  <c r="E603" i="4"/>
  <c r="F603" i="4"/>
  <c r="G603" i="4"/>
  <c r="C604" i="4"/>
  <c r="F604" i="4" s="1"/>
  <c r="C605" i="4"/>
  <c r="D605" i="4" s="1"/>
  <c r="G605" i="4"/>
  <c r="C606" i="4"/>
  <c r="E606" i="4" s="1"/>
  <c r="C607" i="4"/>
  <c r="G607" i="4" s="1"/>
  <c r="D607" i="4"/>
  <c r="F607" i="4"/>
  <c r="C608" i="4"/>
  <c r="E608" i="4" s="1"/>
  <c r="C609" i="4"/>
  <c r="E609" i="4" s="1"/>
  <c r="D609" i="4"/>
  <c r="G609" i="4"/>
  <c r="C610" i="4"/>
  <c r="D610" i="4"/>
  <c r="E610" i="4"/>
  <c r="F610" i="4"/>
  <c r="G610" i="4"/>
  <c r="C611" i="4"/>
  <c r="D611" i="4"/>
  <c r="E611" i="4"/>
  <c r="F611" i="4"/>
  <c r="G611" i="4"/>
  <c r="C612" i="4"/>
  <c r="F612" i="4" s="1"/>
  <c r="D612" i="4"/>
  <c r="E612" i="4"/>
  <c r="G612" i="4"/>
  <c r="C613" i="4"/>
  <c r="D613" i="4" s="1"/>
  <c r="E613" i="4"/>
  <c r="F613" i="4"/>
  <c r="G613" i="4"/>
  <c r="C614" i="4"/>
  <c r="E614" i="4"/>
  <c r="F614" i="4"/>
  <c r="C615" i="4"/>
  <c r="G615" i="4" s="1"/>
  <c r="F615" i="4"/>
  <c r="C616" i="4"/>
  <c r="E616" i="4" s="1"/>
  <c r="C617" i="4"/>
  <c r="E617" i="4" s="1"/>
  <c r="G617" i="4"/>
  <c r="C618" i="4"/>
  <c r="D618" i="4"/>
  <c r="E618" i="4"/>
  <c r="F618" i="4"/>
  <c r="G618" i="4"/>
  <c r="C619" i="4"/>
  <c r="D619" i="4"/>
  <c r="E619" i="4"/>
  <c r="F619" i="4"/>
  <c r="G619" i="4"/>
  <c r="C620" i="4"/>
  <c r="F620" i="4" s="1"/>
  <c r="E620" i="4"/>
  <c r="C621" i="4"/>
  <c r="D621" i="4" s="1"/>
  <c r="E621" i="4"/>
  <c r="F621" i="4"/>
  <c r="C622" i="4"/>
  <c r="E622" i="4" s="1"/>
  <c r="F622" i="4"/>
  <c r="C623" i="4"/>
  <c r="G623" i="4" s="1"/>
  <c r="D623" i="4"/>
  <c r="E623" i="4"/>
  <c r="F623" i="4"/>
  <c r="C624" i="4"/>
  <c r="E624" i="4" s="1"/>
  <c r="D624" i="4"/>
  <c r="F624" i="4"/>
  <c r="G624" i="4"/>
  <c r="C625" i="4"/>
  <c r="E625" i="4" s="1"/>
  <c r="D625" i="4"/>
  <c r="F625" i="4"/>
  <c r="G625" i="4"/>
  <c r="C626" i="4"/>
  <c r="D626" i="4"/>
  <c r="E626" i="4"/>
  <c r="F626" i="4"/>
  <c r="G626" i="4"/>
  <c r="C627" i="4"/>
  <c r="D627" i="4"/>
  <c r="E627" i="4"/>
  <c r="F627" i="4"/>
  <c r="G627" i="4"/>
  <c r="C628" i="4"/>
  <c r="F628" i="4" s="1"/>
  <c r="D628" i="4"/>
  <c r="G628" i="4"/>
  <c r="C629" i="4"/>
  <c r="D629" i="4" s="1"/>
  <c r="C630" i="4"/>
  <c r="F630" i="4" s="1"/>
  <c r="E630" i="4"/>
  <c r="C631" i="4"/>
  <c r="G631" i="4" s="1"/>
  <c r="D631" i="4"/>
  <c r="E631" i="4"/>
  <c r="C632" i="4"/>
  <c r="E632" i="4" s="1"/>
  <c r="F632" i="4"/>
  <c r="C633" i="4"/>
  <c r="E633" i="4" s="1"/>
  <c r="D633" i="4"/>
  <c r="F633" i="4"/>
  <c r="C634" i="4"/>
  <c r="D634" i="4"/>
  <c r="E634" i="4"/>
  <c r="F634" i="4"/>
  <c r="G634" i="4"/>
  <c r="C635" i="4"/>
  <c r="D635" i="4"/>
  <c r="E635" i="4"/>
  <c r="F635" i="4"/>
  <c r="G635" i="4"/>
  <c r="C636" i="4"/>
  <c r="F636" i="4" s="1"/>
  <c r="G636" i="4"/>
  <c r="C637" i="4"/>
  <c r="D637" i="4" s="1"/>
  <c r="C638" i="4"/>
  <c r="E638" i="4" s="1"/>
  <c r="C639" i="4"/>
  <c r="G639" i="4" s="1"/>
  <c r="C640" i="4"/>
  <c r="E640" i="4" s="1"/>
  <c r="D640" i="4"/>
  <c r="G640" i="4"/>
  <c r="C641" i="4"/>
  <c r="E641" i="4" s="1"/>
  <c r="C642" i="4"/>
  <c r="D642" i="4"/>
  <c r="E642" i="4"/>
  <c r="F642" i="4"/>
  <c r="G642" i="4"/>
  <c r="C643" i="4"/>
  <c r="D643" i="4"/>
  <c r="E643" i="4"/>
  <c r="F643" i="4"/>
  <c r="G643" i="4"/>
  <c r="C644" i="4"/>
  <c r="F644" i="4" s="1"/>
  <c r="D644" i="4"/>
  <c r="E644" i="4"/>
  <c r="G644" i="4"/>
  <c r="C645" i="4"/>
  <c r="D645" i="4" s="1"/>
  <c r="E645" i="4"/>
  <c r="F645" i="4"/>
  <c r="G645" i="4"/>
  <c r="C646" i="4"/>
  <c r="E646" i="4"/>
  <c r="F646" i="4"/>
  <c r="C647" i="4"/>
  <c r="G647" i="4" s="1"/>
  <c r="C648" i="4"/>
  <c r="E648" i="4" s="1"/>
  <c r="G648" i="4"/>
  <c r="C649" i="4"/>
  <c r="E649" i="4" s="1"/>
  <c r="C650" i="4"/>
  <c r="D650" i="4"/>
  <c r="E650" i="4"/>
  <c r="F650" i="4"/>
  <c r="G650" i="4"/>
  <c r="C651" i="4"/>
  <c r="D651" i="4"/>
  <c r="E651" i="4"/>
  <c r="F651" i="4"/>
  <c r="G651" i="4"/>
  <c r="C652" i="4"/>
  <c r="F652" i="4" s="1"/>
  <c r="D652" i="4"/>
  <c r="E652" i="4"/>
  <c r="C653" i="4"/>
  <c r="D653" i="4" s="1"/>
  <c r="F653" i="4"/>
  <c r="C654" i="4"/>
  <c r="E654" i="4"/>
  <c r="F654" i="4"/>
  <c r="C655" i="4"/>
  <c r="G655" i="4" s="1"/>
  <c r="D655" i="4"/>
  <c r="E655" i="4"/>
  <c r="F655" i="4"/>
  <c r="C656" i="4"/>
  <c r="E656" i="4" s="1"/>
  <c r="D656" i="4"/>
  <c r="F656" i="4"/>
  <c r="G656" i="4"/>
  <c r="C657" i="4"/>
  <c r="E657" i="4" s="1"/>
  <c r="D657" i="4"/>
  <c r="F657" i="4"/>
  <c r="G657" i="4"/>
  <c r="C658" i="4"/>
  <c r="D658" i="4"/>
  <c r="E658" i="4"/>
  <c r="F658" i="4"/>
  <c r="G658" i="4"/>
  <c r="C659" i="4"/>
  <c r="D659" i="4"/>
  <c r="E659" i="4"/>
  <c r="F659" i="4"/>
  <c r="G659" i="4"/>
  <c r="C660" i="4"/>
  <c r="F660" i="4" s="1"/>
  <c r="C661" i="4"/>
  <c r="D661" i="4" s="1"/>
  <c r="E661" i="4"/>
  <c r="G661" i="4"/>
  <c r="C662" i="4"/>
  <c r="E662" i="4" s="1"/>
  <c r="C663" i="4"/>
  <c r="G663" i="4" s="1"/>
  <c r="E663" i="4"/>
  <c r="C664" i="4"/>
  <c r="E664" i="4" s="1"/>
  <c r="D664" i="4"/>
  <c r="F664" i="4"/>
  <c r="C665" i="4"/>
  <c r="E665" i="4" s="1"/>
  <c r="F665" i="4"/>
  <c r="C666" i="4"/>
  <c r="D666" i="4"/>
  <c r="E666" i="4"/>
  <c r="F666" i="4"/>
  <c r="G666" i="4"/>
  <c r="C667" i="4"/>
  <c r="D667" i="4"/>
  <c r="E667" i="4"/>
  <c r="F667" i="4"/>
  <c r="G667" i="4"/>
  <c r="C668" i="4"/>
  <c r="F668" i="4" s="1"/>
  <c r="C669" i="4"/>
  <c r="D669" i="4" s="1"/>
  <c r="G669" i="4"/>
  <c r="C670" i="4"/>
  <c r="E670" i="4" s="1"/>
  <c r="C671" i="4"/>
  <c r="G671" i="4" s="1"/>
  <c r="D671" i="4"/>
  <c r="F671" i="4"/>
  <c r="C672" i="4"/>
  <c r="E672" i="4" s="1"/>
  <c r="C673" i="4"/>
  <c r="E673" i="4" s="1"/>
  <c r="D673" i="4"/>
  <c r="G673" i="4"/>
  <c r="C674" i="4"/>
  <c r="D674" i="4"/>
  <c r="E674" i="4"/>
  <c r="F674" i="4"/>
  <c r="G674" i="4"/>
  <c r="C675" i="4"/>
  <c r="F675" i="4" s="1"/>
  <c r="D675" i="4"/>
  <c r="E675" i="4"/>
  <c r="G675" i="4"/>
  <c r="C676" i="4"/>
  <c r="F676" i="4" s="1"/>
  <c r="C677" i="4"/>
  <c r="D677" i="4" s="1"/>
  <c r="G677" i="4"/>
  <c r="C678" i="4"/>
  <c r="E678" i="4" s="1"/>
  <c r="C679" i="4"/>
  <c r="G679" i="4" s="1"/>
  <c r="D679" i="4"/>
  <c r="F679" i="4"/>
  <c r="C680" i="4"/>
  <c r="E680" i="4" s="1"/>
  <c r="C681" i="4"/>
  <c r="E681" i="4" s="1"/>
  <c r="D681" i="4"/>
  <c r="G681" i="4"/>
  <c r="C682" i="4"/>
  <c r="D682" i="4"/>
  <c r="E682" i="4"/>
  <c r="F682" i="4"/>
  <c r="G682" i="4"/>
  <c r="C683" i="4"/>
  <c r="F683" i="4" s="1"/>
  <c r="D683" i="4"/>
  <c r="E683" i="4"/>
  <c r="G683" i="4"/>
  <c r="C684" i="4"/>
  <c r="F684" i="4" s="1"/>
  <c r="C685" i="4"/>
  <c r="D685" i="4" s="1"/>
  <c r="G685" i="4"/>
  <c r="C686" i="4"/>
  <c r="E686" i="4" s="1"/>
  <c r="C687" i="4"/>
  <c r="G687" i="4" s="1"/>
  <c r="D687" i="4"/>
  <c r="C688" i="4"/>
  <c r="E688" i="4" s="1"/>
  <c r="C689" i="4"/>
  <c r="E689" i="4" s="1"/>
  <c r="D689" i="4"/>
  <c r="C690" i="4"/>
  <c r="D690" i="4"/>
  <c r="E690" i="4"/>
  <c r="F690" i="4"/>
  <c r="G690" i="4"/>
  <c r="C691" i="4"/>
  <c r="D691" i="4"/>
  <c r="E691" i="4"/>
  <c r="F691" i="4"/>
  <c r="G691" i="4"/>
  <c r="C692" i="4"/>
  <c r="F692" i="4" s="1"/>
  <c r="D692" i="4"/>
  <c r="E692" i="4"/>
  <c r="G692" i="4"/>
  <c r="C693" i="4"/>
  <c r="D693" i="4" s="1"/>
  <c r="E693" i="4"/>
  <c r="F693" i="4"/>
  <c r="G693" i="4"/>
  <c r="C694" i="4"/>
  <c r="E694" i="4"/>
  <c r="F694" i="4"/>
  <c r="C695" i="4"/>
  <c r="G695" i="4" s="1"/>
  <c r="F695" i="4"/>
  <c r="C696" i="4"/>
  <c r="E696" i="4" s="1"/>
  <c r="C697" i="4"/>
  <c r="E697" i="4" s="1"/>
  <c r="G697" i="4"/>
  <c r="C698" i="4"/>
  <c r="D698" i="4"/>
  <c r="E698" i="4"/>
  <c r="F698" i="4"/>
  <c r="G698" i="4"/>
  <c r="C699" i="4"/>
  <c r="D699" i="4"/>
  <c r="E699" i="4"/>
  <c r="F699" i="4"/>
  <c r="G699" i="4"/>
  <c r="C700" i="4"/>
  <c r="F700" i="4" s="1"/>
  <c r="D700" i="4"/>
  <c r="E700" i="4"/>
  <c r="C701" i="4"/>
  <c r="D701" i="4" s="1"/>
  <c r="E701" i="4"/>
  <c r="F701" i="4"/>
  <c r="C702" i="4"/>
  <c r="E702" i="4"/>
  <c r="F702" i="4"/>
  <c r="C703" i="4"/>
  <c r="G703" i="4" s="1"/>
  <c r="D703" i="4"/>
  <c r="E703" i="4"/>
  <c r="F703" i="4"/>
  <c r="C704" i="4"/>
  <c r="D704" i="4"/>
  <c r="E704" i="4"/>
  <c r="F704" i="4"/>
  <c r="G704" i="4"/>
  <c r="C705" i="4"/>
  <c r="E705" i="4" s="1"/>
  <c r="D705" i="4"/>
  <c r="F705" i="4"/>
  <c r="C706" i="4"/>
  <c r="F706" i="4" s="1"/>
  <c r="D706" i="4"/>
  <c r="E706" i="4"/>
  <c r="C707" i="4"/>
  <c r="F707" i="4" s="1"/>
  <c r="C708" i="4"/>
  <c r="D708" i="4" s="1"/>
  <c r="F708" i="4"/>
  <c r="C709" i="4"/>
  <c r="D709" i="4"/>
  <c r="E709" i="4"/>
  <c r="F709" i="4"/>
  <c r="G709" i="4"/>
  <c r="C710" i="4"/>
  <c r="G710" i="4" s="1"/>
  <c r="D710" i="4"/>
  <c r="E710" i="4"/>
  <c r="C711" i="4"/>
  <c r="E711" i="4" s="1"/>
  <c r="D711" i="4"/>
  <c r="G711" i="4"/>
  <c r="C712" i="4"/>
  <c r="E712" i="4" s="1"/>
  <c r="G712" i="4"/>
  <c r="C713" i="4"/>
  <c r="G713" i="4" s="1"/>
  <c r="D713" i="4"/>
  <c r="E713" i="4"/>
  <c r="F713" i="4"/>
  <c r="C714" i="4"/>
  <c r="F714" i="4" s="1"/>
  <c r="D714" i="4"/>
  <c r="E714" i="4"/>
  <c r="G714" i="4"/>
  <c r="C715" i="4"/>
  <c r="F715" i="4" s="1"/>
  <c r="C716" i="4"/>
  <c r="D716" i="4" s="1"/>
  <c r="F716" i="4"/>
  <c r="C717" i="4"/>
  <c r="D717" i="4"/>
  <c r="E717" i="4"/>
  <c r="F717" i="4"/>
  <c r="G717" i="4"/>
  <c r="C718" i="4"/>
  <c r="G718" i="4" s="1"/>
  <c r="D718" i="4"/>
  <c r="E718" i="4"/>
  <c r="C719" i="4"/>
  <c r="E719" i="4" s="1"/>
  <c r="D719" i="4"/>
  <c r="G719" i="4"/>
  <c r="C720" i="4"/>
  <c r="E720" i="4" s="1"/>
  <c r="G720" i="4"/>
  <c r="C721" i="4"/>
  <c r="G721" i="4" s="1"/>
  <c r="D721" i="4"/>
  <c r="E721" i="4"/>
  <c r="F721" i="4"/>
  <c r="C722" i="4"/>
  <c r="F722" i="4" s="1"/>
  <c r="D722" i="4"/>
  <c r="E722" i="4"/>
  <c r="G722" i="4"/>
  <c r="C723" i="4"/>
  <c r="F723" i="4" s="1"/>
  <c r="C724" i="4"/>
  <c r="D724" i="4" s="1"/>
  <c r="F724" i="4"/>
  <c r="C725" i="4"/>
  <c r="G725" i="4" s="1"/>
  <c r="D725" i="4"/>
  <c r="E725" i="4"/>
  <c r="F725" i="4"/>
  <c r="C726" i="4"/>
  <c r="G726" i="4" s="1"/>
  <c r="D726" i="4"/>
  <c r="E726" i="4"/>
  <c r="C727" i="4"/>
  <c r="E727" i="4" s="1"/>
  <c r="D727" i="4"/>
  <c r="G727" i="4"/>
  <c r="C728" i="4"/>
  <c r="E728" i="4" s="1"/>
  <c r="G728" i="4"/>
  <c r="C729" i="4"/>
  <c r="G729" i="4" s="1"/>
  <c r="D729" i="4"/>
  <c r="E729" i="4"/>
  <c r="F729" i="4"/>
  <c r="C730" i="4"/>
  <c r="F730" i="4" s="1"/>
  <c r="D730" i="4"/>
  <c r="E730" i="4"/>
  <c r="G730" i="4"/>
  <c r="C731" i="4"/>
  <c r="F731" i="4" s="1"/>
  <c r="C732" i="4"/>
  <c r="D732" i="4" s="1"/>
  <c r="F732" i="4"/>
  <c r="C733" i="4"/>
  <c r="G733" i="4" s="1"/>
  <c r="D733" i="4"/>
  <c r="E733" i="4"/>
  <c r="F733" i="4"/>
  <c r="C734" i="4"/>
  <c r="G734" i="4" s="1"/>
  <c r="D734" i="4"/>
  <c r="E734" i="4"/>
  <c r="C735" i="4"/>
  <c r="E735" i="4" s="1"/>
  <c r="D735" i="4"/>
  <c r="G735" i="4"/>
  <c r="C736" i="4"/>
  <c r="E736" i="4" s="1"/>
  <c r="G736" i="4"/>
  <c r="C737" i="4"/>
  <c r="G737" i="4" s="1"/>
  <c r="D737" i="4"/>
  <c r="E737" i="4"/>
  <c r="F737" i="4"/>
  <c r="C738" i="4"/>
  <c r="F738" i="4" s="1"/>
  <c r="D738" i="4"/>
  <c r="E738" i="4"/>
  <c r="G738" i="4"/>
  <c r="C739" i="4"/>
  <c r="F739" i="4" s="1"/>
  <c r="C740" i="4"/>
  <c r="D740" i="4" s="1"/>
  <c r="F740" i="4"/>
  <c r="C741" i="4"/>
  <c r="G741" i="4" s="1"/>
  <c r="D741" i="4"/>
  <c r="E741" i="4"/>
  <c r="F741" i="4"/>
  <c r="C742" i="4"/>
  <c r="G742" i="4" s="1"/>
  <c r="D742" i="4"/>
  <c r="E742" i="4"/>
  <c r="C743" i="4"/>
  <c r="E743" i="4" s="1"/>
  <c r="D743" i="4"/>
  <c r="G743" i="4"/>
  <c r="C744" i="4"/>
  <c r="E744" i="4" s="1"/>
  <c r="F744" i="4"/>
  <c r="G744" i="4"/>
  <c r="C745" i="4"/>
  <c r="G745" i="4" s="1"/>
  <c r="D745" i="4"/>
  <c r="E745" i="4"/>
  <c r="F745" i="4"/>
  <c r="C746" i="4"/>
  <c r="F746" i="4" s="1"/>
  <c r="D746" i="4"/>
  <c r="E746" i="4"/>
  <c r="G746" i="4"/>
  <c r="C747" i="4"/>
  <c r="C748" i="4"/>
  <c r="D748" i="4" s="1"/>
  <c r="F748" i="4"/>
  <c r="C749" i="4"/>
  <c r="D749" i="4"/>
  <c r="E749" i="4"/>
  <c r="F749" i="4"/>
  <c r="G749" i="4"/>
  <c r="C750" i="4"/>
  <c r="G750" i="4" s="1"/>
  <c r="D750" i="4"/>
  <c r="E750" i="4"/>
  <c r="C751" i="4"/>
  <c r="D751" i="4" s="1"/>
  <c r="G751" i="4"/>
  <c r="C752" i="4"/>
  <c r="E752" i="4" s="1"/>
  <c r="F752" i="4"/>
  <c r="G752" i="4"/>
  <c r="C753" i="4"/>
  <c r="G753" i="4" s="1"/>
  <c r="D753" i="4"/>
  <c r="E753" i="4"/>
  <c r="F753" i="4"/>
  <c r="C754" i="4"/>
  <c r="F754" i="4" s="1"/>
  <c r="D754" i="4"/>
  <c r="E754" i="4"/>
  <c r="G754" i="4"/>
  <c r="C755" i="4"/>
  <c r="C756" i="4"/>
  <c r="D756" i="4" s="1"/>
  <c r="F756" i="4"/>
  <c r="C757" i="4"/>
  <c r="D757" i="4"/>
  <c r="E757" i="4"/>
  <c r="F757" i="4"/>
  <c r="G757" i="4"/>
  <c r="C758" i="4"/>
  <c r="G758" i="4" s="1"/>
  <c r="D758" i="4"/>
  <c r="E758" i="4"/>
  <c r="C759" i="4"/>
  <c r="D759" i="4" s="1"/>
  <c r="G759" i="4"/>
  <c r="C760" i="4"/>
  <c r="E760" i="4" s="1"/>
  <c r="F760" i="4"/>
  <c r="G760" i="4"/>
  <c r="C761" i="4"/>
  <c r="G761" i="4" s="1"/>
  <c r="D761" i="4"/>
  <c r="E761" i="4"/>
  <c r="F761" i="4"/>
  <c r="C762" i="4"/>
  <c r="F762" i="4" s="1"/>
  <c r="D762" i="4"/>
  <c r="E762" i="4"/>
  <c r="G762" i="4"/>
  <c r="C763" i="4"/>
  <c r="C764" i="4"/>
  <c r="D764" i="4" s="1"/>
  <c r="F764" i="4"/>
  <c r="C765" i="4"/>
  <c r="D765" i="4"/>
  <c r="E765" i="4"/>
  <c r="F765" i="4"/>
  <c r="G765" i="4"/>
  <c r="C766" i="4"/>
  <c r="G766" i="4" s="1"/>
  <c r="D766" i="4"/>
  <c r="E766" i="4"/>
  <c r="C767" i="4"/>
  <c r="D767" i="4" s="1"/>
  <c r="G767" i="4"/>
  <c r="C768" i="4"/>
  <c r="E768" i="4" s="1"/>
  <c r="F768" i="4"/>
  <c r="G768" i="4"/>
  <c r="C769" i="4"/>
  <c r="G769" i="4" s="1"/>
  <c r="D769" i="4"/>
  <c r="E769" i="4"/>
  <c r="F769" i="4"/>
  <c r="C770" i="4"/>
  <c r="F770" i="4" s="1"/>
  <c r="D770" i="4"/>
  <c r="E770" i="4"/>
  <c r="G770" i="4"/>
  <c r="C771" i="4"/>
  <c r="C772" i="4"/>
  <c r="D772" i="4" s="1"/>
  <c r="F772" i="4"/>
  <c r="C773" i="4"/>
  <c r="D773" i="4"/>
  <c r="E773" i="4"/>
  <c r="F773" i="4"/>
  <c r="G773" i="4"/>
  <c r="C774" i="4"/>
  <c r="G774" i="4" s="1"/>
  <c r="D774" i="4"/>
  <c r="E774" i="4"/>
  <c r="C775" i="4"/>
  <c r="D775" i="4" s="1"/>
  <c r="G775" i="4"/>
  <c r="C776" i="4"/>
  <c r="E776" i="4" s="1"/>
  <c r="F776" i="4"/>
  <c r="G776" i="4"/>
  <c r="C777" i="4"/>
  <c r="G777" i="4" s="1"/>
  <c r="D777" i="4"/>
  <c r="E777" i="4"/>
  <c r="F777" i="4"/>
  <c r="C778" i="4"/>
  <c r="F778" i="4" s="1"/>
  <c r="D778" i="4"/>
  <c r="E778" i="4"/>
  <c r="G778" i="4"/>
  <c r="C779" i="4"/>
  <c r="C780" i="4"/>
  <c r="D780" i="4" s="1"/>
  <c r="F780" i="4"/>
  <c r="C781" i="4"/>
  <c r="D781" i="4"/>
  <c r="E781" i="4"/>
  <c r="F781" i="4"/>
  <c r="G781" i="4"/>
  <c r="C782" i="4"/>
  <c r="G782" i="4" s="1"/>
  <c r="D782" i="4"/>
  <c r="E782" i="4"/>
  <c r="C783" i="4"/>
  <c r="D783" i="4" s="1"/>
  <c r="G783" i="4"/>
  <c r="C784" i="4"/>
  <c r="E784" i="4" s="1"/>
  <c r="F784" i="4"/>
  <c r="G784" i="4"/>
  <c r="C785" i="4"/>
  <c r="G785" i="4" s="1"/>
  <c r="D785" i="4"/>
  <c r="E785" i="4"/>
  <c r="F785" i="4"/>
  <c r="C786" i="4"/>
  <c r="F786" i="4" s="1"/>
  <c r="D786" i="4"/>
  <c r="E786" i="4"/>
  <c r="G786" i="4"/>
  <c r="C787" i="4"/>
  <c r="G787" i="4"/>
  <c r="C788" i="4"/>
  <c r="D788" i="4" s="1"/>
  <c r="F788" i="4"/>
  <c r="C789" i="4"/>
  <c r="D789" i="4"/>
  <c r="E789" i="4"/>
  <c r="F789" i="4"/>
  <c r="G789" i="4"/>
  <c r="C790" i="4"/>
  <c r="G790" i="4" s="1"/>
  <c r="D790" i="4"/>
  <c r="E790" i="4"/>
  <c r="C791" i="4"/>
  <c r="D791" i="4"/>
  <c r="G791" i="4"/>
  <c r="C792" i="4"/>
  <c r="E792" i="4" s="1"/>
  <c r="F792" i="4"/>
  <c r="G792" i="4"/>
  <c r="C793" i="4"/>
  <c r="G793" i="4" s="1"/>
  <c r="D793" i="4"/>
  <c r="E793" i="4"/>
  <c r="F793" i="4"/>
  <c r="C794" i="4"/>
  <c r="F794" i="4" s="1"/>
  <c r="D794" i="4"/>
  <c r="E794" i="4"/>
  <c r="G794" i="4"/>
  <c r="C795" i="4"/>
  <c r="G795" i="4" s="1"/>
  <c r="C796" i="4"/>
  <c r="F796" i="4"/>
  <c r="C797" i="4"/>
  <c r="D797" i="4"/>
  <c r="E797" i="4"/>
  <c r="F797" i="4"/>
  <c r="G797" i="4"/>
  <c r="C798" i="4"/>
  <c r="G798" i="4" s="1"/>
  <c r="D798" i="4"/>
  <c r="E798" i="4"/>
  <c r="C799" i="4"/>
  <c r="D799" i="4" s="1"/>
  <c r="C800" i="4"/>
  <c r="E800" i="4" s="1"/>
  <c r="F800" i="4"/>
  <c r="G800" i="4"/>
  <c r="C801" i="4"/>
  <c r="G801" i="4" s="1"/>
  <c r="D801" i="4"/>
  <c r="E801" i="4"/>
  <c r="F801" i="4"/>
  <c r="C802" i="4"/>
  <c r="F802" i="4" s="1"/>
  <c r="D802" i="4"/>
  <c r="E802" i="4"/>
  <c r="G802" i="4"/>
  <c r="C803" i="4"/>
  <c r="D803" i="4"/>
  <c r="G803" i="4"/>
  <c r="C804" i="4"/>
  <c r="F804" i="4" s="1"/>
  <c r="C805" i="4"/>
  <c r="D805" i="4"/>
  <c r="E805" i="4"/>
  <c r="F805" i="4"/>
  <c r="G805" i="4"/>
  <c r="C806" i="4"/>
  <c r="G806" i="4" s="1"/>
  <c r="D806" i="4"/>
  <c r="E806" i="4"/>
  <c r="C807" i="4"/>
  <c r="D807" i="4" s="1"/>
  <c r="C808" i="4"/>
  <c r="F808" i="4"/>
  <c r="G808" i="4"/>
  <c r="C809" i="4"/>
  <c r="G809" i="4" s="1"/>
  <c r="D809" i="4"/>
  <c r="E809" i="4"/>
  <c r="F809" i="4"/>
  <c r="C810" i="4"/>
  <c r="F810" i="4" s="1"/>
  <c r="D810" i="4"/>
  <c r="E810" i="4"/>
  <c r="G810" i="4"/>
  <c r="C811" i="4"/>
  <c r="D811" i="4"/>
  <c r="G811" i="4"/>
  <c r="C812" i="4"/>
  <c r="F812" i="4" s="1"/>
  <c r="G812" i="4"/>
  <c r="C813" i="4"/>
  <c r="D813" i="4"/>
  <c r="E813" i="4"/>
  <c r="F813" i="4"/>
  <c r="G813" i="4"/>
  <c r="C814" i="4"/>
  <c r="G814" i="4" s="1"/>
  <c r="D814" i="4"/>
  <c r="E814" i="4"/>
  <c r="C815" i="4"/>
  <c r="E815" i="4" s="1"/>
  <c r="C816" i="4"/>
  <c r="F816" i="4" s="1"/>
  <c r="C817" i="4"/>
  <c r="G817" i="4" s="1"/>
  <c r="D817" i="4"/>
  <c r="E817" i="4"/>
  <c r="F817" i="4"/>
  <c r="C818" i="4"/>
  <c r="F818" i="4" s="1"/>
  <c r="D818" i="4"/>
  <c r="E818" i="4"/>
  <c r="G818" i="4"/>
  <c r="C819" i="4"/>
  <c r="G819" i="4" s="1"/>
  <c r="D819" i="4"/>
  <c r="C820" i="4"/>
  <c r="D820" i="4" s="1"/>
  <c r="E820" i="4"/>
  <c r="F820" i="4"/>
  <c r="G820" i="4"/>
  <c r="C821" i="4"/>
  <c r="D821" i="4"/>
  <c r="E821" i="4"/>
  <c r="F821" i="4"/>
  <c r="G821" i="4"/>
  <c r="C822" i="4"/>
  <c r="E822" i="4" s="1"/>
  <c r="D822" i="4"/>
  <c r="C823" i="4"/>
  <c r="E823" i="4" s="1"/>
  <c r="D823" i="4"/>
  <c r="F823" i="4"/>
  <c r="G823" i="4"/>
  <c r="C824" i="4"/>
  <c r="F824" i="4"/>
  <c r="G824" i="4"/>
  <c r="C825" i="4"/>
  <c r="G825" i="4" s="1"/>
  <c r="D825" i="4"/>
  <c r="E825" i="4"/>
  <c r="F825" i="4"/>
  <c r="C826" i="4"/>
  <c r="F826" i="4" s="1"/>
  <c r="D826" i="4"/>
  <c r="E826" i="4"/>
  <c r="G826" i="4"/>
  <c r="C827" i="4"/>
  <c r="E827" i="4" s="1"/>
  <c r="F827" i="4"/>
  <c r="G827" i="4"/>
  <c r="C828" i="4"/>
  <c r="D828" i="4" s="1"/>
  <c r="G828" i="4"/>
  <c r="C829" i="4"/>
  <c r="D829" i="4"/>
  <c r="E829" i="4"/>
  <c r="F829" i="4"/>
  <c r="G829" i="4"/>
  <c r="C830" i="4"/>
  <c r="F830" i="4" s="1"/>
  <c r="D830" i="4"/>
  <c r="E830" i="4"/>
  <c r="G830" i="4"/>
  <c r="C831" i="4"/>
  <c r="E831" i="4" s="1"/>
  <c r="D831" i="4"/>
  <c r="F831" i="4"/>
  <c r="G831" i="4"/>
  <c r="C832" i="4"/>
  <c r="D832" i="4" s="1"/>
  <c r="E832" i="4"/>
  <c r="F832" i="4"/>
  <c r="G832" i="4"/>
  <c r="C833" i="4"/>
  <c r="G833" i="4" s="1"/>
  <c r="D833" i="4"/>
  <c r="E833" i="4"/>
  <c r="F833" i="4"/>
  <c r="C834" i="4"/>
  <c r="F834" i="4" s="1"/>
  <c r="D834" i="4"/>
  <c r="E834" i="4"/>
  <c r="G834" i="4"/>
  <c r="C835" i="4"/>
  <c r="E835" i="4" s="1"/>
  <c r="D835" i="4"/>
  <c r="F835" i="4"/>
  <c r="G835" i="4"/>
  <c r="C836" i="4"/>
  <c r="D836" i="4" s="1"/>
  <c r="E836" i="4"/>
  <c r="F836" i="4"/>
  <c r="G836" i="4"/>
  <c r="C837" i="4"/>
  <c r="D837" i="4"/>
  <c r="E837" i="4"/>
  <c r="F837" i="4"/>
  <c r="G837" i="4"/>
  <c r="C838" i="4"/>
  <c r="F838" i="4" s="1"/>
  <c r="D838" i="4"/>
  <c r="C839" i="4"/>
  <c r="E839" i="4" s="1"/>
  <c r="D839" i="4"/>
  <c r="C840" i="4"/>
  <c r="D840" i="4" s="1"/>
  <c r="E840" i="4"/>
  <c r="C841" i="4"/>
  <c r="G841" i="4" s="1"/>
  <c r="D841" i="4"/>
  <c r="E841" i="4"/>
  <c r="F841" i="4"/>
  <c r="C842" i="4"/>
  <c r="F842" i="4" s="1"/>
  <c r="D842" i="4"/>
  <c r="C843" i="4"/>
  <c r="E843" i="4" s="1"/>
  <c r="D843" i="4"/>
  <c r="C844" i="4"/>
  <c r="D844" i="4" s="1"/>
  <c r="E844" i="4"/>
  <c r="C845" i="4"/>
  <c r="D845" i="4"/>
  <c r="E845" i="4"/>
  <c r="F845" i="4"/>
  <c r="G845" i="4"/>
  <c r="C846" i="4"/>
  <c r="F846" i="4" s="1"/>
  <c r="C847" i="4"/>
  <c r="E847" i="4" s="1"/>
  <c r="C848" i="4"/>
  <c r="D848" i="4" s="1"/>
  <c r="C849" i="4"/>
  <c r="G849" i="4" s="1"/>
  <c r="D849" i="4"/>
  <c r="E849" i="4"/>
  <c r="F849" i="4"/>
  <c r="C850" i="4"/>
  <c r="F850" i="4" s="1"/>
  <c r="C851" i="4"/>
  <c r="E851" i="4" s="1"/>
  <c r="C852" i="4"/>
  <c r="D852" i="4" s="1"/>
  <c r="C853" i="4"/>
  <c r="G853" i="4" s="1"/>
  <c r="D853" i="4"/>
  <c r="E853" i="4"/>
  <c r="F853" i="4"/>
  <c r="C854" i="4"/>
  <c r="F854" i="4" s="1"/>
  <c r="C855" i="4"/>
  <c r="E855" i="4" s="1"/>
  <c r="C856" i="4"/>
  <c r="D856" i="4" s="1"/>
  <c r="C857" i="4"/>
  <c r="G857" i="4" s="1"/>
  <c r="D857" i="4"/>
  <c r="E857" i="4"/>
  <c r="F857" i="4"/>
  <c r="C858" i="4"/>
  <c r="F858" i="4" s="1"/>
  <c r="C859" i="4"/>
  <c r="E859" i="4" s="1"/>
  <c r="C860" i="4"/>
  <c r="D860" i="4" s="1"/>
  <c r="C861" i="4"/>
  <c r="G861" i="4" s="1"/>
  <c r="D861" i="4"/>
  <c r="E861" i="4"/>
  <c r="F861" i="4"/>
  <c r="C862" i="4"/>
  <c r="F862" i="4" s="1"/>
  <c r="C863" i="4"/>
  <c r="E863" i="4" s="1"/>
  <c r="C864" i="4"/>
  <c r="D864" i="4" s="1"/>
  <c r="C865" i="4"/>
  <c r="G865" i="4" s="1"/>
  <c r="D865" i="4"/>
  <c r="E865" i="4"/>
  <c r="F865" i="4"/>
  <c r="C866" i="4"/>
  <c r="F866" i="4" s="1"/>
  <c r="C867" i="4"/>
  <c r="E867" i="4" s="1"/>
  <c r="C868" i="4"/>
  <c r="D868" i="4" s="1"/>
  <c r="C869" i="4"/>
  <c r="G869" i="4" s="1"/>
  <c r="D869" i="4"/>
  <c r="E869" i="4"/>
  <c r="F869" i="4"/>
  <c r="C870" i="4"/>
  <c r="F870" i="4" s="1"/>
  <c r="C871" i="4"/>
  <c r="E871" i="4" s="1"/>
  <c r="C872" i="4"/>
  <c r="D872" i="4" s="1"/>
  <c r="C873" i="4"/>
  <c r="G873" i="4" s="1"/>
  <c r="D873" i="4"/>
  <c r="E873" i="4"/>
  <c r="F873" i="4"/>
  <c r="C874" i="4"/>
  <c r="F874" i="4" s="1"/>
  <c r="C875" i="4"/>
  <c r="E875" i="4" s="1"/>
  <c r="C876" i="4"/>
  <c r="D876" i="4" s="1"/>
  <c r="C877" i="4"/>
  <c r="G877" i="4" s="1"/>
  <c r="D877" i="4"/>
  <c r="E877" i="4"/>
  <c r="F877" i="4"/>
  <c r="C878" i="4"/>
  <c r="F878" i="4" s="1"/>
  <c r="C879" i="4"/>
  <c r="E879" i="4" s="1"/>
  <c r="C880" i="4"/>
  <c r="D880" i="4" s="1"/>
  <c r="C881" i="4"/>
  <c r="G881" i="4" s="1"/>
  <c r="D881" i="4"/>
  <c r="E881" i="4"/>
  <c r="F881" i="4"/>
  <c r="C882" i="4"/>
  <c r="F882" i="4" s="1"/>
  <c r="C883" i="4"/>
  <c r="E883" i="4" s="1"/>
  <c r="C884" i="4"/>
  <c r="D884" i="4" s="1"/>
  <c r="C885" i="4"/>
  <c r="G885" i="4" s="1"/>
  <c r="D885" i="4"/>
  <c r="E885" i="4"/>
  <c r="F885" i="4"/>
  <c r="C886" i="4"/>
  <c r="F886" i="4" s="1"/>
  <c r="C887" i="4"/>
  <c r="E887" i="4" s="1"/>
  <c r="C888" i="4"/>
  <c r="D888" i="4" s="1"/>
  <c r="C889" i="4"/>
  <c r="G889" i="4" s="1"/>
  <c r="D889" i="4"/>
  <c r="E889" i="4"/>
  <c r="F889" i="4"/>
  <c r="C890" i="4"/>
  <c r="F890" i="4" s="1"/>
  <c r="C891" i="4"/>
  <c r="E891" i="4" s="1"/>
  <c r="C892" i="4"/>
  <c r="D892" i="4" s="1"/>
  <c r="C893" i="4"/>
  <c r="G893" i="4" s="1"/>
  <c r="D893" i="4"/>
  <c r="E893" i="4"/>
  <c r="F893" i="4"/>
  <c r="C894" i="4"/>
  <c r="F894" i="4" s="1"/>
  <c r="C895" i="4"/>
  <c r="E895" i="4" s="1"/>
  <c r="C896" i="4"/>
  <c r="D896" i="4" s="1"/>
  <c r="C897" i="4"/>
  <c r="G897" i="4" s="1"/>
  <c r="D897" i="4"/>
  <c r="E897" i="4"/>
  <c r="F897" i="4"/>
  <c r="C898" i="4"/>
  <c r="F898" i="4" s="1"/>
  <c r="C899" i="4"/>
  <c r="E899" i="4" s="1"/>
  <c r="C900" i="4"/>
  <c r="D900" i="4" s="1"/>
  <c r="C901" i="4"/>
  <c r="G901" i="4" s="1"/>
  <c r="D901" i="4"/>
  <c r="E901" i="4"/>
  <c r="F901" i="4"/>
  <c r="C902" i="4"/>
  <c r="F902" i="4" s="1"/>
  <c r="C903" i="4"/>
  <c r="E903" i="4" s="1"/>
  <c r="C904" i="4"/>
  <c r="D904" i="4" s="1"/>
  <c r="C905" i="4"/>
  <c r="G905" i="4" s="1"/>
  <c r="D905" i="4"/>
  <c r="E905" i="4"/>
  <c r="F905" i="4"/>
  <c r="C906" i="4"/>
  <c r="F906" i="4" s="1"/>
  <c r="C907" i="4"/>
  <c r="E907" i="4" s="1"/>
  <c r="C908" i="4"/>
  <c r="D908" i="4" s="1"/>
  <c r="C909" i="4"/>
  <c r="G909" i="4" s="1"/>
  <c r="D909" i="4"/>
  <c r="E909" i="4"/>
  <c r="F909" i="4"/>
  <c r="C910" i="4"/>
  <c r="F910" i="4" s="1"/>
  <c r="C911" i="4"/>
  <c r="E911" i="4" s="1"/>
  <c r="C912" i="4"/>
  <c r="D912" i="4" s="1"/>
  <c r="C913" i="4"/>
  <c r="G913" i="4" s="1"/>
  <c r="D913" i="4"/>
  <c r="E913" i="4"/>
  <c r="F913" i="4"/>
  <c r="C914" i="4"/>
  <c r="F914" i="4" s="1"/>
  <c r="C915" i="4"/>
  <c r="E915" i="4" s="1"/>
  <c r="C916" i="4"/>
  <c r="D916" i="4" s="1"/>
  <c r="C917" i="4"/>
  <c r="G917" i="4" s="1"/>
  <c r="D917" i="4"/>
  <c r="E917" i="4"/>
  <c r="F917" i="4"/>
  <c r="C918" i="4"/>
  <c r="F918" i="4" s="1"/>
  <c r="C919" i="4"/>
  <c r="E919" i="4" s="1"/>
  <c r="C920" i="4"/>
  <c r="C921" i="4"/>
  <c r="G921" i="4" s="1"/>
  <c r="D921" i="4"/>
  <c r="E921" i="4"/>
  <c r="F921" i="4"/>
  <c r="C922" i="4"/>
  <c r="C923" i="4"/>
  <c r="E923" i="4" s="1"/>
  <c r="C924" i="4"/>
  <c r="C925" i="4"/>
  <c r="G925" i="4" s="1"/>
  <c r="D925" i="4"/>
  <c r="E925" i="4"/>
  <c r="F925" i="4"/>
  <c r="C926" i="4"/>
  <c r="C927" i="4"/>
  <c r="E927" i="4" s="1"/>
  <c r="C928" i="4"/>
  <c r="C929" i="4"/>
  <c r="G929" i="4" s="1"/>
  <c r="D929" i="4"/>
  <c r="E929" i="4"/>
  <c r="F929" i="4"/>
  <c r="C930" i="4"/>
  <c r="C931" i="4"/>
  <c r="E931" i="4" s="1"/>
  <c r="C932" i="4"/>
  <c r="C933" i="4"/>
  <c r="G933" i="4" s="1"/>
  <c r="D933" i="4"/>
  <c r="E933" i="4"/>
  <c r="F933" i="4"/>
  <c r="C934" i="4"/>
  <c r="C935" i="4"/>
  <c r="E935" i="4" s="1"/>
  <c r="C936" i="4"/>
  <c r="C937" i="4"/>
  <c r="G937" i="4" s="1"/>
  <c r="D937" i="4"/>
  <c r="E937" i="4"/>
  <c r="F937" i="4"/>
  <c r="C938" i="4"/>
  <c r="C939" i="4"/>
  <c r="E939" i="4" s="1"/>
  <c r="C940" i="4"/>
  <c r="C941" i="4"/>
  <c r="G941" i="4" s="1"/>
  <c r="D941" i="4"/>
  <c r="E941" i="4"/>
  <c r="F941" i="4"/>
  <c r="C942" i="4"/>
  <c r="C943" i="4"/>
  <c r="E943" i="4" s="1"/>
  <c r="C944" i="4"/>
  <c r="C945" i="4"/>
  <c r="D945" i="4"/>
  <c r="E945" i="4"/>
  <c r="F945" i="4"/>
  <c r="G945" i="4"/>
  <c r="C946" i="4"/>
  <c r="D946" i="4" s="1"/>
  <c r="F946" i="4"/>
  <c r="C947" i="4"/>
  <c r="G947" i="4" s="1"/>
  <c r="D947" i="4"/>
  <c r="E947" i="4"/>
  <c r="F947" i="4"/>
  <c r="C948" i="4"/>
  <c r="E948" i="4" s="1"/>
  <c r="D948" i="4"/>
  <c r="G948" i="4"/>
  <c r="C949" i="4"/>
  <c r="C950" i="4"/>
  <c r="D950" i="4" s="1"/>
  <c r="E950" i="4"/>
  <c r="F950" i="4"/>
  <c r="G950" i="4"/>
  <c r="C951" i="4"/>
  <c r="D951" i="4"/>
  <c r="E951" i="4"/>
  <c r="F951" i="4"/>
  <c r="G951" i="4"/>
  <c r="C952" i="4"/>
  <c r="F952" i="4" s="1"/>
  <c r="D952" i="4"/>
  <c r="E952" i="4"/>
  <c r="C953" i="4"/>
  <c r="F953" i="4" s="1"/>
  <c r="G953" i="4"/>
  <c r="C954" i="4"/>
  <c r="D954" i="4" s="1"/>
  <c r="F954" i="4"/>
  <c r="C955" i="4"/>
  <c r="G955" i="4" s="1"/>
  <c r="D955" i="4"/>
  <c r="E955" i="4"/>
  <c r="F955" i="4"/>
  <c r="C956" i="4"/>
  <c r="E956" i="4" s="1"/>
  <c r="D956" i="4"/>
  <c r="G956" i="4"/>
  <c r="C957" i="4"/>
  <c r="C958" i="4"/>
  <c r="D958" i="4" s="1"/>
  <c r="E958" i="4"/>
  <c r="F958" i="4"/>
  <c r="G958" i="4"/>
  <c r="C959" i="4"/>
  <c r="D959" i="4"/>
  <c r="E959" i="4"/>
  <c r="F959" i="4"/>
  <c r="G959" i="4"/>
  <c r="C960" i="4"/>
  <c r="F960" i="4" s="1"/>
  <c r="D960" i="4"/>
  <c r="E960" i="4"/>
  <c r="C961" i="4"/>
  <c r="F961" i="4" s="1"/>
  <c r="G961" i="4"/>
  <c r="C962" i="4"/>
  <c r="D962" i="4" s="1"/>
  <c r="F962" i="4"/>
  <c r="C963" i="4"/>
  <c r="G963" i="4" s="1"/>
  <c r="D963" i="4"/>
  <c r="E963" i="4"/>
  <c r="F963" i="4"/>
  <c r="C964" i="4"/>
  <c r="E964" i="4" s="1"/>
  <c r="D964" i="4"/>
  <c r="G964" i="4"/>
  <c r="C965" i="4"/>
  <c r="C966" i="4"/>
  <c r="D966" i="4" s="1"/>
  <c r="E966" i="4"/>
  <c r="F966" i="4"/>
  <c r="G966" i="4"/>
  <c r="C967" i="4"/>
  <c r="D967" i="4"/>
  <c r="E967" i="4"/>
  <c r="F967" i="4"/>
  <c r="G967" i="4"/>
  <c r="C968" i="4"/>
  <c r="F968" i="4" s="1"/>
  <c r="D968" i="4"/>
  <c r="E968" i="4"/>
  <c r="C969" i="4"/>
  <c r="F969" i="4" s="1"/>
  <c r="G969" i="4"/>
  <c r="C970" i="4"/>
  <c r="D970" i="4" s="1"/>
  <c r="F970" i="4"/>
  <c r="C971" i="4"/>
  <c r="G971" i="4" s="1"/>
  <c r="D971" i="4"/>
  <c r="E971" i="4"/>
  <c r="F971" i="4"/>
  <c r="C972" i="4"/>
  <c r="E972" i="4" s="1"/>
  <c r="D972" i="4"/>
  <c r="G972" i="4"/>
  <c r="C973" i="4"/>
  <c r="C974" i="4"/>
  <c r="D974" i="4" s="1"/>
  <c r="E974" i="4"/>
  <c r="F974" i="4"/>
  <c r="G974" i="4"/>
  <c r="C975" i="4"/>
  <c r="D975" i="4"/>
  <c r="E975" i="4"/>
  <c r="F975" i="4"/>
  <c r="G975" i="4"/>
  <c r="C976" i="4"/>
  <c r="F976" i="4" s="1"/>
  <c r="D976" i="4"/>
  <c r="E976" i="4"/>
  <c r="C977" i="4"/>
  <c r="F977" i="4" s="1"/>
  <c r="G977" i="4"/>
  <c r="C978" i="4"/>
  <c r="D978" i="4" s="1"/>
  <c r="F978" i="4"/>
  <c r="C979" i="4"/>
  <c r="G979" i="4" s="1"/>
  <c r="D979" i="4"/>
  <c r="E979" i="4"/>
  <c r="F979" i="4"/>
  <c r="C980" i="4"/>
  <c r="E980" i="4" s="1"/>
  <c r="D980" i="4"/>
  <c r="G980" i="4"/>
  <c r="C981" i="4"/>
  <c r="C982" i="4"/>
  <c r="D982" i="4" s="1"/>
  <c r="E982" i="4"/>
  <c r="F982" i="4"/>
  <c r="G982" i="4"/>
  <c r="C983" i="4"/>
  <c r="D983" i="4"/>
  <c r="E983" i="4"/>
  <c r="F983" i="4"/>
  <c r="G983" i="4"/>
  <c r="C984" i="4"/>
  <c r="F984" i="4" s="1"/>
  <c r="D984" i="4"/>
  <c r="E984" i="4"/>
  <c r="C985" i="4"/>
  <c r="F985" i="4" s="1"/>
  <c r="G985" i="4"/>
  <c r="C986" i="4"/>
  <c r="D986" i="4" s="1"/>
  <c r="F986" i="4"/>
  <c r="C987" i="4"/>
  <c r="G987" i="4" s="1"/>
  <c r="D987" i="4"/>
  <c r="E987" i="4"/>
  <c r="F987" i="4"/>
  <c r="C988" i="4"/>
  <c r="E988" i="4" s="1"/>
  <c r="D988" i="4"/>
  <c r="G988" i="4"/>
  <c r="C989" i="4"/>
  <c r="C990" i="4"/>
  <c r="D990" i="4" s="1"/>
  <c r="E990" i="4"/>
  <c r="F990" i="4"/>
  <c r="G990" i="4"/>
  <c r="C991" i="4"/>
  <c r="D991" i="4"/>
  <c r="E991" i="4"/>
  <c r="F991" i="4"/>
  <c r="G991" i="4"/>
  <c r="C992" i="4"/>
  <c r="F992" i="4" s="1"/>
  <c r="D992" i="4"/>
  <c r="E992" i="4"/>
  <c r="C993" i="4"/>
  <c r="F993" i="4" s="1"/>
  <c r="G993" i="4"/>
  <c r="C994" i="4"/>
  <c r="D994" i="4" s="1"/>
  <c r="F994" i="4"/>
  <c r="C995" i="4"/>
  <c r="G995" i="4" s="1"/>
  <c r="D995" i="4"/>
  <c r="E995" i="4"/>
  <c r="F995" i="4"/>
  <c r="C996" i="4"/>
  <c r="E996" i="4" s="1"/>
  <c r="D996" i="4"/>
  <c r="G996" i="4"/>
  <c r="C997" i="4"/>
  <c r="G997" i="4" s="1"/>
  <c r="C998" i="4"/>
  <c r="D998" i="4" s="1"/>
  <c r="E998" i="4"/>
  <c r="F998" i="4"/>
  <c r="G998" i="4"/>
  <c r="C999" i="4"/>
  <c r="D999" i="4"/>
  <c r="E999" i="4"/>
  <c r="F999" i="4"/>
  <c r="G999" i="4"/>
  <c r="C1000" i="4"/>
  <c r="F1000" i="4" s="1"/>
  <c r="D1000" i="4"/>
  <c r="E1000" i="4"/>
  <c r="C1001" i="4"/>
  <c r="G1001" i="4" s="1"/>
  <c r="C1002" i="4"/>
  <c r="D1002" i="4" s="1"/>
  <c r="F1002" i="4"/>
  <c r="C1003" i="4"/>
  <c r="G1003" i="4" s="1"/>
  <c r="D1003" i="4"/>
  <c r="E1003" i="4"/>
  <c r="F1003" i="4"/>
  <c r="C1004" i="4"/>
  <c r="E1004" i="4" s="1"/>
  <c r="D1004" i="4"/>
  <c r="G1004" i="4"/>
  <c r="C1005" i="4"/>
  <c r="G1005" i="4"/>
  <c r="C1006" i="4"/>
  <c r="D1006" i="4" s="1"/>
  <c r="E1006" i="4"/>
  <c r="F1006" i="4"/>
  <c r="G1006" i="4"/>
  <c r="C1007" i="4"/>
  <c r="D1007" i="4"/>
  <c r="E1007" i="4"/>
  <c r="F1007" i="4"/>
  <c r="G1007" i="4"/>
  <c r="C1008" i="4"/>
  <c r="F1008" i="4" s="1"/>
  <c r="D1008" i="4"/>
  <c r="E1008" i="4"/>
  <c r="C1009" i="4"/>
  <c r="G1009" i="4"/>
  <c r="C1010" i="4"/>
  <c r="D1010" i="4" s="1"/>
  <c r="F1010" i="4"/>
  <c r="C1011" i="4"/>
  <c r="G1011" i="4" s="1"/>
  <c r="D1011" i="4"/>
  <c r="E1011" i="4"/>
  <c r="F1011" i="4"/>
  <c r="C1012" i="4"/>
  <c r="E1012" i="4" s="1"/>
  <c r="D1012" i="4"/>
  <c r="G1012" i="4"/>
  <c r="C1013" i="4"/>
  <c r="G1013" i="4"/>
  <c r="C1014" i="4"/>
  <c r="D1014" i="4" s="1"/>
  <c r="E1014" i="4"/>
  <c r="F1014" i="4"/>
  <c r="G1014" i="4"/>
  <c r="C1015" i="4"/>
  <c r="D1015" i="4"/>
  <c r="E1015" i="4"/>
  <c r="F1015" i="4"/>
  <c r="G1015" i="4"/>
  <c r="C1016" i="4"/>
  <c r="F1016" i="4" s="1"/>
  <c r="D1016" i="4"/>
  <c r="E1016" i="4"/>
  <c r="C1017" i="4"/>
  <c r="G1017" i="4" s="1"/>
  <c r="C1018" i="4"/>
  <c r="D1018" i="4" s="1"/>
  <c r="F1018" i="4"/>
  <c r="C1019" i="4"/>
  <c r="G1019" i="4" s="1"/>
  <c r="D1019" i="4"/>
  <c r="E1019" i="4"/>
  <c r="F1019" i="4"/>
  <c r="C1020" i="4"/>
  <c r="E1020" i="4" s="1"/>
  <c r="D1020" i="4"/>
  <c r="G1020" i="4"/>
  <c r="C1021" i="4"/>
  <c r="G1021" i="4" s="1"/>
  <c r="C1022" i="4"/>
  <c r="D1022" i="4" s="1"/>
  <c r="E1022" i="4"/>
  <c r="F1022" i="4"/>
  <c r="G1022" i="4"/>
  <c r="C1023" i="4"/>
  <c r="D1023" i="4"/>
  <c r="E1023" i="4"/>
  <c r="F1023" i="4"/>
  <c r="G1023" i="4"/>
  <c r="C1024" i="4"/>
  <c r="F1024" i="4" s="1"/>
  <c r="D1024" i="4"/>
  <c r="E1024" i="4"/>
  <c r="C1025" i="4"/>
  <c r="G1025" i="4"/>
  <c r="C1026" i="4"/>
  <c r="D1026" i="4" s="1"/>
  <c r="F1026" i="4"/>
  <c r="C1027" i="4"/>
  <c r="G1027" i="4" s="1"/>
  <c r="D1027" i="4"/>
  <c r="E1027" i="4"/>
  <c r="F1027" i="4"/>
  <c r="C1028" i="4"/>
  <c r="E1028" i="4" s="1"/>
  <c r="D1028" i="4"/>
  <c r="G1028" i="4"/>
  <c r="C1029" i="4"/>
  <c r="C1030" i="4"/>
  <c r="D1030" i="4" s="1"/>
  <c r="E1030" i="4"/>
  <c r="F1030" i="4"/>
  <c r="G1030" i="4"/>
  <c r="C1031" i="4"/>
  <c r="D1031" i="4"/>
  <c r="E1031" i="4"/>
  <c r="F1031" i="4"/>
  <c r="G1031" i="4"/>
  <c r="C1032" i="4"/>
  <c r="F1032" i="4" s="1"/>
  <c r="D1032" i="4"/>
  <c r="E1032" i="4"/>
  <c r="C1033" i="4"/>
  <c r="G1033" i="4" s="1"/>
  <c r="C1034" i="4"/>
  <c r="D1034" i="4" s="1"/>
  <c r="F1034" i="4"/>
  <c r="C1035" i="4"/>
  <c r="G1035" i="4" s="1"/>
  <c r="D1035" i="4"/>
  <c r="E1035" i="4"/>
  <c r="F1035" i="4"/>
  <c r="C1036" i="4"/>
  <c r="F1036" i="4" s="1"/>
  <c r="D1036" i="4"/>
  <c r="E1036" i="4"/>
  <c r="G1036" i="4"/>
  <c r="C1037" i="4"/>
  <c r="G1037" i="4" s="1"/>
  <c r="C1038" i="4"/>
  <c r="D1038" i="4" s="1"/>
  <c r="E1038" i="4"/>
  <c r="F1038" i="4"/>
  <c r="G1038" i="4"/>
  <c r="C1039" i="4"/>
  <c r="D1039" i="4"/>
  <c r="E1039" i="4"/>
  <c r="F1039" i="4"/>
  <c r="G1039" i="4"/>
  <c r="C1040" i="4"/>
  <c r="F1040" i="4" s="1"/>
  <c r="D1040" i="4"/>
  <c r="E1040" i="4"/>
  <c r="C1041" i="4"/>
  <c r="C1042" i="4"/>
  <c r="D1042" i="4" s="1"/>
  <c r="F1042" i="4"/>
  <c r="C1043" i="4"/>
  <c r="G1043" i="4" s="1"/>
  <c r="D1043" i="4"/>
  <c r="E1043" i="4"/>
  <c r="F1043" i="4"/>
  <c r="C1044" i="4"/>
  <c r="F1044" i="4" s="1"/>
  <c r="D1044" i="4"/>
  <c r="E1044" i="4"/>
  <c r="G1044" i="4"/>
  <c r="C1045" i="4"/>
  <c r="G1045" i="4" s="1"/>
  <c r="C1046" i="4"/>
  <c r="E1046" i="4" s="1"/>
  <c r="F1046" i="4"/>
  <c r="C1047" i="4"/>
  <c r="D1047" i="4"/>
  <c r="E1047" i="4"/>
  <c r="F1047" i="4"/>
  <c r="G1047" i="4"/>
  <c r="C1048" i="4"/>
  <c r="F1048" i="4" s="1"/>
  <c r="D1048" i="4"/>
  <c r="E1048" i="4"/>
  <c r="C1049" i="4"/>
  <c r="C1050" i="4"/>
  <c r="D1050" i="4" s="1"/>
  <c r="F1050" i="4"/>
  <c r="G1050" i="4"/>
  <c r="C1051" i="4"/>
  <c r="G1051" i="4" s="1"/>
  <c r="D1051" i="4"/>
  <c r="E1051" i="4"/>
  <c r="F1051" i="4"/>
  <c r="C1052" i="4"/>
  <c r="F1052" i="4" s="1"/>
  <c r="D1052" i="4"/>
  <c r="E1052" i="4"/>
  <c r="G1052" i="4"/>
  <c r="C1053" i="4"/>
  <c r="G1053" i="4" s="1"/>
  <c r="C1054" i="4"/>
  <c r="C1055" i="4"/>
  <c r="D1055" i="4"/>
  <c r="E1055" i="4"/>
  <c r="F1055" i="4"/>
  <c r="G1055" i="4"/>
  <c r="C1056" i="4"/>
  <c r="F1056" i="4" s="1"/>
  <c r="D1056" i="4"/>
  <c r="E1056" i="4"/>
  <c r="C1057" i="4"/>
  <c r="D1057" i="4" s="1"/>
  <c r="C1058" i="4"/>
  <c r="D1058" i="4" s="1"/>
  <c r="F1058" i="4"/>
  <c r="G1058" i="4"/>
  <c r="C1059" i="4"/>
  <c r="G1059" i="4" s="1"/>
  <c r="D1059" i="4"/>
  <c r="E1059" i="4"/>
  <c r="F1059" i="4"/>
  <c r="C1060" i="4"/>
  <c r="F1060" i="4" s="1"/>
  <c r="D1060" i="4"/>
  <c r="E1060" i="4"/>
  <c r="G1060" i="4"/>
  <c r="C1061" i="4"/>
  <c r="C1062" i="4"/>
  <c r="F1062" i="4" s="1"/>
  <c r="C1063" i="4"/>
  <c r="D1063" i="4"/>
  <c r="E1063" i="4"/>
  <c r="F1063" i="4"/>
  <c r="G1063" i="4"/>
  <c r="C1064" i="4"/>
  <c r="F1064" i="4" s="1"/>
  <c r="D1064" i="4"/>
  <c r="E1064" i="4"/>
  <c r="C1065" i="4"/>
  <c r="D1065" i="4" s="1"/>
  <c r="G1065" i="4"/>
  <c r="C1066" i="4"/>
  <c r="D1066" i="4" s="1"/>
  <c r="F1066" i="4"/>
  <c r="G1066" i="4"/>
  <c r="C1067" i="4"/>
  <c r="G1067" i="4" s="1"/>
  <c r="D1067" i="4"/>
  <c r="E1067" i="4"/>
  <c r="F1067" i="4"/>
  <c r="C1068" i="4"/>
  <c r="F1068" i="4" s="1"/>
  <c r="D1068" i="4"/>
  <c r="E1068" i="4"/>
  <c r="G1068" i="4"/>
  <c r="C1069" i="4"/>
  <c r="G1069" i="4" s="1"/>
  <c r="C1070" i="4"/>
  <c r="F1070" i="4" s="1"/>
  <c r="C1071" i="4"/>
  <c r="D1071" i="4"/>
  <c r="E1071" i="4"/>
  <c r="F1071" i="4"/>
  <c r="G1071" i="4"/>
  <c r="C1072" i="4"/>
  <c r="F1072" i="4" s="1"/>
  <c r="D1072" i="4"/>
  <c r="E1072" i="4"/>
  <c r="C1073" i="4"/>
  <c r="D1073" i="4" s="1"/>
  <c r="G1073" i="4"/>
  <c r="C1074" i="4"/>
  <c r="D1074" i="4" s="1"/>
  <c r="F1074" i="4"/>
  <c r="G1074" i="4"/>
  <c r="C1075" i="4"/>
  <c r="G1075" i="4" s="1"/>
  <c r="D1075" i="4"/>
  <c r="E1075" i="4"/>
  <c r="F1075" i="4"/>
  <c r="C1076" i="4"/>
  <c r="F1076" i="4" s="1"/>
  <c r="D1076" i="4"/>
  <c r="E1076" i="4"/>
  <c r="G1076" i="4"/>
  <c r="C1077" i="4"/>
  <c r="G1077" i="4" s="1"/>
  <c r="C1078" i="4"/>
  <c r="F1078" i="4"/>
  <c r="C1079" i="4"/>
  <c r="D1079" i="4"/>
  <c r="E1079" i="4"/>
  <c r="F1079" i="4"/>
  <c r="G1079" i="4"/>
  <c r="C1080" i="4"/>
  <c r="F1080" i="4" s="1"/>
  <c r="D1080" i="4"/>
  <c r="E1080" i="4"/>
  <c r="C1081" i="4"/>
  <c r="C1082" i="4"/>
  <c r="D1082" i="4" s="1"/>
  <c r="F1082" i="4"/>
  <c r="G1082" i="4"/>
  <c r="C1083" i="4"/>
  <c r="G1083" i="4" s="1"/>
  <c r="D1083" i="4"/>
  <c r="E1083" i="4"/>
  <c r="F1083" i="4"/>
  <c r="C1084" i="4"/>
  <c r="F1084" i="4" s="1"/>
  <c r="D1084" i="4"/>
  <c r="E1084" i="4"/>
  <c r="G1084" i="4"/>
  <c r="C1085" i="4"/>
  <c r="G1085" i="4" s="1"/>
  <c r="C1086" i="4"/>
  <c r="C1087" i="4"/>
  <c r="D1087" i="4"/>
  <c r="E1087" i="4"/>
  <c r="F1087" i="4"/>
  <c r="G1087" i="4"/>
  <c r="C1088" i="4"/>
  <c r="F1088" i="4" s="1"/>
  <c r="D1088" i="4"/>
  <c r="E1088" i="4"/>
  <c r="C1089" i="4"/>
  <c r="C1090" i="4"/>
  <c r="D1090" i="4" s="1"/>
  <c r="F1090" i="4"/>
  <c r="G1090" i="4"/>
  <c r="C1091" i="4"/>
  <c r="G1091" i="4" s="1"/>
  <c r="D1091" i="4"/>
  <c r="E1091" i="4"/>
  <c r="F1091" i="4"/>
  <c r="C1092" i="4"/>
  <c r="F1092" i="4" s="1"/>
  <c r="D1092" i="4"/>
  <c r="E1092" i="4"/>
  <c r="G1092" i="4"/>
  <c r="C1093" i="4"/>
  <c r="C1094" i="4"/>
  <c r="C1095" i="4"/>
  <c r="D1095" i="4"/>
  <c r="E1095" i="4"/>
  <c r="F1095" i="4"/>
  <c r="G1095" i="4"/>
  <c r="C1096" i="4"/>
  <c r="F1096" i="4" s="1"/>
  <c r="D1096" i="4"/>
  <c r="E1096" i="4"/>
  <c r="C1097" i="4"/>
  <c r="D1097" i="4" s="1"/>
  <c r="G1097" i="4"/>
  <c r="C1098" i="4"/>
  <c r="D1098" i="4" s="1"/>
  <c r="F1098" i="4"/>
  <c r="G1098" i="4"/>
  <c r="C1099" i="4"/>
  <c r="G1099" i="4" s="1"/>
  <c r="D1099" i="4"/>
  <c r="E1099" i="4"/>
  <c r="F1099" i="4"/>
  <c r="C1100" i="4"/>
  <c r="F1100" i="4" s="1"/>
  <c r="D1100" i="4"/>
  <c r="E1100" i="4"/>
  <c r="G1100" i="4"/>
  <c r="C1101" i="4"/>
  <c r="C1102" i="4"/>
  <c r="F1102" i="4" s="1"/>
  <c r="G1102" i="4"/>
  <c r="C1103" i="4"/>
  <c r="D1103" i="4"/>
  <c r="E1103" i="4"/>
  <c r="F1103" i="4"/>
  <c r="G1103" i="4"/>
  <c r="C1104" i="4"/>
  <c r="F1104" i="4" s="1"/>
  <c r="D1104" i="4"/>
  <c r="E1104" i="4"/>
  <c r="C1105" i="4"/>
  <c r="D1105" i="4"/>
  <c r="C1106" i="4"/>
  <c r="C1107" i="4"/>
  <c r="G1107" i="4" s="1"/>
  <c r="D1107" i="4"/>
  <c r="E1107" i="4"/>
  <c r="F1107" i="4"/>
  <c r="C1108" i="4"/>
  <c r="F1108" i="4" s="1"/>
  <c r="D1108" i="4"/>
  <c r="E1108" i="4"/>
  <c r="G1108" i="4"/>
  <c r="C1109" i="4"/>
  <c r="D1109" i="4"/>
  <c r="G1109" i="4"/>
  <c r="C1110" i="4"/>
  <c r="G1110" i="4"/>
  <c r="C1111" i="4"/>
  <c r="D1111" i="4"/>
  <c r="E1111" i="4"/>
  <c r="F1111" i="4"/>
  <c r="G1111" i="4"/>
  <c r="C1112" i="4"/>
  <c r="F1112" i="4" s="1"/>
  <c r="D1112" i="4"/>
  <c r="E1112" i="4"/>
  <c r="C1113" i="4"/>
  <c r="D1113" i="4" s="1"/>
  <c r="C1114" i="4"/>
  <c r="G1114" i="4" s="1"/>
  <c r="F1114" i="4"/>
  <c r="C1115" i="4"/>
  <c r="G1115" i="4" s="1"/>
  <c r="D1115" i="4"/>
  <c r="E1115" i="4"/>
  <c r="F1115" i="4"/>
  <c r="C1116" i="4"/>
  <c r="F1116" i="4" s="1"/>
  <c r="D1116" i="4"/>
  <c r="E1116" i="4"/>
  <c r="G1116" i="4"/>
  <c r="C1117" i="4"/>
  <c r="D1117" i="4"/>
  <c r="G1117" i="4"/>
  <c r="C1118" i="4"/>
  <c r="F1118" i="4" s="1"/>
  <c r="G1118" i="4"/>
  <c r="C1119" i="4"/>
  <c r="D1119" i="4"/>
  <c r="E1119" i="4"/>
  <c r="F1119" i="4"/>
  <c r="G1119" i="4"/>
  <c r="C1120" i="4"/>
  <c r="F1120" i="4" s="1"/>
  <c r="D1120" i="4"/>
  <c r="E1120" i="4"/>
  <c r="C1121" i="4"/>
  <c r="D1121" i="4"/>
  <c r="C1122" i="4"/>
  <c r="C1123" i="4"/>
  <c r="G1123" i="4" s="1"/>
  <c r="D1123" i="4"/>
  <c r="E1123" i="4"/>
  <c r="F1123" i="4"/>
  <c r="C1124" i="4"/>
  <c r="F1124" i="4" s="1"/>
  <c r="D1124" i="4"/>
  <c r="E1124" i="4"/>
  <c r="G1124" i="4"/>
  <c r="C1125" i="4"/>
  <c r="D1125" i="4"/>
  <c r="G1125" i="4"/>
  <c r="C1126" i="4"/>
  <c r="G1126" i="4" s="1"/>
  <c r="C1127" i="4"/>
  <c r="D1127" i="4"/>
  <c r="E1127" i="4"/>
  <c r="F1127" i="4"/>
  <c r="G1127" i="4"/>
  <c r="C1128" i="4"/>
  <c r="F1128" i="4" s="1"/>
  <c r="D1128" i="4"/>
  <c r="E1128" i="4"/>
  <c r="C1129" i="4"/>
  <c r="D1129" i="4" s="1"/>
  <c r="C1130" i="4"/>
  <c r="F1130" i="4" s="1"/>
  <c r="G1130" i="4"/>
  <c r="C1131" i="4"/>
  <c r="G1131" i="4" s="1"/>
  <c r="D1131" i="4"/>
  <c r="E1131" i="4"/>
  <c r="F1131" i="4"/>
  <c r="C1132" i="4"/>
  <c r="F1132" i="4" s="1"/>
  <c r="D1132" i="4"/>
  <c r="E1132" i="4"/>
  <c r="G1132" i="4"/>
  <c r="C1133" i="4"/>
  <c r="D1133" i="4"/>
  <c r="G1133" i="4"/>
  <c r="C1134" i="4"/>
  <c r="F1134" i="4" s="1"/>
  <c r="G1134" i="4"/>
  <c r="C1135" i="4"/>
  <c r="D1135" i="4"/>
  <c r="E1135" i="4"/>
  <c r="F1135" i="4"/>
  <c r="G1135" i="4"/>
  <c r="C1136" i="4"/>
  <c r="F1136" i="4" s="1"/>
  <c r="D1136" i="4"/>
  <c r="E1136" i="4"/>
  <c r="C1137" i="4"/>
  <c r="D1137" i="4" s="1"/>
  <c r="C1138" i="4"/>
  <c r="C1139" i="4"/>
  <c r="G1139" i="4" s="1"/>
  <c r="D1139" i="4"/>
  <c r="E1139" i="4"/>
  <c r="F1139" i="4"/>
  <c r="C1140" i="4"/>
  <c r="F1140" i="4" s="1"/>
  <c r="D1140" i="4"/>
  <c r="E1140" i="4"/>
  <c r="G1140" i="4"/>
  <c r="C1141" i="4"/>
  <c r="D1141" i="4"/>
  <c r="G1141" i="4"/>
  <c r="C1142" i="4"/>
  <c r="G1142" i="4"/>
  <c r="C1143" i="4"/>
  <c r="D1143" i="4"/>
  <c r="E1143" i="4"/>
  <c r="F1143" i="4"/>
  <c r="G1143" i="4"/>
  <c r="C1144" i="4"/>
  <c r="F1144" i="4" s="1"/>
  <c r="D1144" i="4"/>
  <c r="E1144" i="4"/>
  <c r="C1145" i="4"/>
  <c r="D1145" i="4" s="1"/>
  <c r="C1146" i="4"/>
  <c r="F1146" i="4"/>
  <c r="G1146" i="4"/>
  <c r="C1147" i="4"/>
  <c r="G1147" i="4" s="1"/>
  <c r="D1147" i="4"/>
  <c r="E1147" i="4"/>
  <c r="F1147" i="4"/>
  <c r="C1148" i="4"/>
  <c r="F1148" i="4" s="1"/>
  <c r="D1148" i="4"/>
  <c r="E1148" i="4"/>
  <c r="G1148" i="4"/>
  <c r="C1149" i="4"/>
  <c r="D1149" i="4"/>
  <c r="G1149" i="4"/>
  <c r="C1150" i="4"/>
  <c r="F1150" i="4" s="1"/>
  <c r="G1150" i="4"/>
  <c r="C1151" i="4"/>
  <c r="D1151" i="4"/>
  <c r="E1151" i="4"/>
  <c r="F1151" i="4"/>
  <c r="G1151" i="4"/>
  <c r="C1152" i="4"/>
  <c r="F1152" i="4" s="1"/>
  <c r="D1152" i="4"/>
  <c r="E1152" i="4"/>
  <c r="C1153" i="4"/>
  <c r="D1153" i="4"/>
  <c r="C1154" i="4"/>
  <c r="C1155" i="4"/>
  <c r="G1155" i="4" s="1"/>
  <c r="D1155" i="4"/>
  <c r="E1155" i="4"/>
  <c r="F1155" i="4"/>
  <c r="C1156" i="4"/>
  <c r="F1156" i="4" s="1"/>
  <c r="D1156" i="4"/>
  <c r="E1156" i="4"/>
  <c r="G1156" i="4"/>
  <c r="C1157" i="4"/>
  <c r="D1157" i="4"/>
  <c r="G1157" i="4"/>
  <c r="C1158" i="4"/>
  <c r="G1158" i="4"/>
  <c r="C1159" i="4"/>
  <c r="D1159" i="4"/>
  <c r="E1159" i="4"/>
  <c r="F1159" i="4"/>
  <c r="G1159" i="4"/>
  <c r="C1160" i="4"/>
  <c r="F1160" i="4" s="1"/>
  <c r="D1160" i="4"/>
  <c r="E1160" i="4"/>
  <c r="C1161" i="4"/>
  <c r="D1161" i="4" s="1"/>
  <c r="C1162" i="4"/>
  <c r="C1163" i="4"/>
  <c r="G1163" i="4" s="1"/>
  <c r="D1163" i="4"/>
  <c r="E1163" i="4"/>
  <c r="F1163" i="4"/>
  <c r="C1164" i="4"/>
  <c r="F1164" i="4" s="1"/>
  <c r="D1164" i="4"/>
  <c r="E1164" i="4"/>
  <c r="G1164" i="4"/>
  <c r="C1165" i="4"/>
  <c r="D1165" i="4"/>
  <c r="G1165" i="4"/>
  <c r="C1166" i="4"/>
  <c r="F1166" i="4" s="1"/>
  <c r="G1166" i="4"/>
  <c r="C1167" i="4"/>
  <c r="G1167" i="4" s="1"/>
  <c r="D1167" i="4"/>
  <c r="E1167" i="4"/>
  <c r="F1167" i="4"/>
  <c r="C1168" i="4"/>
  <c r="F1168" i="4" s="1"/>
  <c r="D1168" i="4"/>
  <c r="E1168" i="4"/>
  <c r="C1169" i="4"/>
  <c r="D1169" i="4"/>
  <c r="F1169" i="4"/>
  <c r="C1170" i="4"/>
  <c r="C1171" i="4"/>
  <c r="G1171" i="4" s="1"/>
  <c r="D1171" i="4"/>
  <c r="E1171" i="4"/>
  <c r="F1171" i="4"/>
  <c r="C1172" i="4"/>
  <c r="F1172" i="4" s="1"/>
  <c r="D1172" i="4"/>
  <c r="E1172" i="4"/>
  <c r="G1172" i="4"/>
  <c r="C1173" i="4"/>
  <c r="D1173" i="4"/>
  <c r="G1173" i="4"/>
  <c r="C1174" i="4"/>
  <c r="F1174" i="4" s="1"/>
  <c r="C1175" i="4"/>
  <c r="G1175" i="4" s="1"/>
  <c r="D1175" i="4"/>
  <c r="E1175" i="4"/>
  <c r="F1175" i="4"/>
  <c r="C1176" i="4"/>
  <c r="E1176" i="4"/>
  <c r="C1177" i="4"/>
  <c r="E1177" i="4" s="1"/>
  <c r="G1177" i="4"/>
  <c r="C1178" i="4"/>
  <c r="C1179" i="4"/>
  <c r="G1179" i="4" s="1"/>
  <c r="D1179" i="4"/>
  <c r="E1179" i="4"/>
  <c r="F1179" i="4"/>
  <c r="C1180" i="4"/>
  <c r="F1180" i="4" s="1"/>
  <c r="D1180" i="4"/>
  <c r="E1180" i="4"/>
  <c r="G1180" i="4"/>
  <c r="C1181" i="4"/>
  <c r="C1182" i="4"/>
  <c r="D1182" i="4" s="1"/>
  <c r="E1182" i="4"/>
  <c r="F1182" i="4"/>
  <c r="G1182" i="4"/>
  <c r="C1183" i="4"/>
  <c r="G1183" i="4" s="1"/>
  <c r="D1183" i="4"/>
  <c r="E1183" i="4"/>
  <c r="F1183" i="4"/>
  <c r="C1184" i="4"/>
  <c r="D1184" i="4"/>
  <c r="E1184" i="4"/>
  <c r="C1185" i="4"/>
  <c r="F1185" i="4" s="1"/>
  <c r="C1186" i="4"/>
  <c r="F1186" i="4" s="1"/>
  <c r="G1186" i="4"/>
  <c r="C1187" i="4"/>
  <c r="G1187" i="4" s="1"/>
  <c r="D1187" i="4"/>
  <c r="E1187" i="4"/>
  <c r="F1187" i="4"/>
  <c r="C1188" i="4"/>
  <c r="F1188" i="4" s="1"/>
  <c r="D1188" i="4"/>
  <c r="E1188" i="4"/>
  <c r="G1188" i="4"/>
  <c r="C1189" i="4"/>
  <c r="D1189" i="4"/>
  <c r="C1190" i="4"/>
  <c r="C1191" i="4"/>
  <c r="G1191" i="4" s="1"/>
  <c r="D1191" i="4"/>
  <c r="E1191" i="4"/>
  <c r="F1191" i="4"/>
  <c r="C1192" i="4"/>
  <c r="C1193" i="4"/>
  <c r="E1193" i="4" s="1"/>
  <c r="D1193" i="4"/>
  <c r="F1193" i="4"/>
  <c r="G1193" i="4"/>
  <c r="C1194" i="4"/>
  <c r="F1194" i="4"/>
  <c r="G1194" i="4"/>
  <c r="C1195" i="4"/>
  <c r="G1195" i="4" s="1"/>
  <c r="D1195" i="4"/>
  <c r="E1195" i="4"/>
  <c r="F1195" i="4"/>
  <c r="C1196" i="4"/>
  <c r="F1196" i="4" s="1"/>
  <c r="D1196" i="4"/>
  <c r="E1196" i="4"/>
  <c r="G1196" i="4"/>
  <c r="C1197" i="4"/>
  <c r="D1197" i="4" s="1"/>
  <c r="G1197" i="4"/>
  <c r="C1198" i="4"/>
  <c r="E1198" i="4" s="1"/>
  <c r="C1199" i="4"/>
  <c r="G1199" i="4" s="1"/>
  <c r="D1199" i="4"/>
  <c r="E1199" i="4"/>
  <c r="F1199" i="4"/>
  <c r="C1200" i="4"/>
  <c r="D1200" i="4"/>
  <c r="C1201" i="4"/>
  <c r="C1202" i="4"/>
  <c r="G1202" i="4" s="1"/>
  <c r="F1202" i="4"/>
  <c r="C1203" i="4"/>
  <c r="G1203" i="4" s="1"/>
  <c r="D1203" i="4"/>
  <c r="E1203" i="4"/>
  <c r="F1203" i="4"/>
  <c r="C1204" i="4"/>
  <c r="F1204" i="4" s="1"/>
  <c r="D1204" i="4"/>
  <c r="E1204" i="4"/>
  <c r="G1204" i="4"/>
  <c r="C1205" i="4"/>
  <c r="D1205" i="4"/>
  <c r="G1205" i="4"/>
  <c r="C1206" i="4"/>
  <c r="D1206" i="4" s="1"/>
  <c r="F1206" i="4"/>
  <c r="G1206" i="4"/>
  <c r="C1207" i="4"/>
  <c r="G1207" i="4" s="1"/>
  <c r="D1207" i="4"/>
  <c r="E1207" i="4"/>
  <c r="F1207" i="4"/>
  <c r="C1208" i="4"/>
  <c r="D1208" i="4" s="1"/>
  <c r="E1208" i="4"/>
  <c r="C1209" i="4"/>
  <c r="D1209" i="4"/>
  <c r="G1209" i="4"/>
  <c r="C1210" i="4"/>
  <c r="C1211" i="4"/>
  <c r="G1211" i="4" s="1"/>
  <c r="D1211" i="4"/>
  <c r="E1211" i="4"/>
  <c r="F1211" i="4"/>
  <c r="C1212" i="4"/>
  <c r="D1212" i="4"/>
  <c r="C1213" i="4"/>
  <c r="D1213" i="4" s="1"/>
  <c r="F1213" i="4"/>
  <c r="C1214" i="4"/>
  <c r="E1214" i="4" s="1"/>
  <c r="C1215" i="4"/>
  <c r="G1215" i="4" s="1"/>
  <c r="D1215" i="4"/>
  <c r="E1215" i="4"/>
  <c r="F1215" i="4"/>
  <c r="C1216" i="4"/>
  <c r="D1216" i="4"/>
  <c r="C1217" i="4"/>
  <c r="D1217" i="4" s="1"/>
  <c r="C1218" i="4"/>
  <c r="E1218" i="4"/>
  <c r="C1219" i="4"/>
  <c r="G1219" i="4" s="1"/>
  <c r="D1219" i="4"/>
  <c r="E1219" i="4"/>
  <c r="F1219" i="4"/>
  <c r="C1220" i="4"/>
  <c r="D1220" i="4"/>
  <c r="C1221" i="4"/>
  <c r="D1221" i="4"/>
  <c r="F1221" i="4"/>
  <c r="C1222" i="4"/>
  <c r="E1222" i="4"/>
  <c r="C1223" i="4"/>
  <c r="G1223" i="4" s="1"/>
  <c r="D1223" i="4"/>
  <c r="E1223" i="4"/>
  <c r="F1223" i="4"/>
  <c r="C1224" i="4"/>
  <c r="D1224" i="4"/>
  <c r="C1225" i="4"/>
  <c r="D1225" i="4"/>
  <c r="F1225" i="4"/>
  <c r="C1226" i="4"/>
  <c r="E1226" i="4"/>
  <c r="C1227" i="4"/>
  <c r="G1227" i="4" s="1"/>
  <c r="D1227" i="4"/>
  <c r="E1227" i="4"/>
  <c r="F1227" i="4"/>
  <c r="C1228" i="4"/>
  <c r="C1229" i="4"/>
  <c r="F1229" i="4" s="1"/>
  <c r="D1229" i="4"/>
  <c r="C1230" i="4"/>
  <c r="E1230" i="4"/>
  <c r="C1231" i="4"/>
  <c r="G1231" i="4" s="1"/>
  <c r="D1231" i="4"/>
  <c r="E1231" i="4"/>
  <c r="F1231" i="4"/>
  <c r="C1232" i="4"/>
  <c r="D1232" i="4" s="1"/>
  <c r="C1233" i="4"/>
  <c r="F1233" i="4" s="1"/>
  <c r="D1233" i="4"/>
  <c r="C1234" i="4"/>
  <c r="C1235" i="4"/>
  <c r="G1235" i="4" s="1"/>
  <c r="D1235" i="4"/>
  <c r="E1235" i="4"/>
  <c r="F1235" i="4"/>
  <c r="C1236" i="4"/>
  <c r="D1236" i="4" s="1"/>
  <c r="C1237" i="4"/>
  <c r="C1238" i="4"/>
  <c r="E1238" i="4" s="1"/>
  <c r="C1239" i="4"/>
  <c r="G1239" i="4" s="1"/>
  <c r="D1239" i="4"/>
  <c r="E1239" i="4"/>
  <c r="F1239" i="4"/>
  <c r="C1240" i="4"/>
  <c r="D1240" i="4" s="1"/>
  <c r="C1241" i="4"/>
  <c r="D1241" i="4" s="1"/>
  <c r="C1242" i="4"/>
  <c r="E1242" i="4" s="1"/>
  <c r="C1243" i="4"/>
  <c r="G1243" i="4" s="1"/>
  <c r="D1243" i="4"/>
  <c r="E1243" i="4"/>
  <c r="F1243" i="4"/>
  <c r="C1244" i="4"/>
  <c r="D1244" i="4"/>
  <c r="C1245" i="4"/>
  <c r="D1245" i="4" s="1"/>
  <c r="F1245" i="4"/>
  <c r="C1246" i="4"/>
  <c r="E1246" i="4" s="1"/>
  <c r="C1247" i="4"/>
  <c r="G1247" i="4" s="1"/>
  <c r="D1247" i="4"/>
  <c r="E1247" i="4"/>
  <c r="F1247" i="4"/>
  <c r="C1248" i="4"/>
  <c r="D1248" i="4"/>
  <c r="C1249" i="4"/>
  <c r="D1249" i="4" s="1"/>
  <c r="C1250" i="4"/>
  <c r="E1250" i="4"/>
  <c r="C1251" i="4"/>
  <c r="G1251" i="4" s="1"/>
  <c r="D1251" i="4"/>
  <c r="E1251" i="4"/>
  <c r="F1251" i="4"/>
  <c r="C1252" i="4"/>
  <c r="D1252" i="4"/>
  <c r="C1253" i="4"/>
  <c r="D1253" i="4"/>
  <c r="F1253" i="4"/>
  <c r="C1254" i="4"/>
  <c r="E1254" i="4"/>
  <c r="C1255" i="4"/>
  <c r="G1255" i="4" s="1"/>
  <c r="D1255" i="4"/>
  <c r="E1255" i="4"/>
  <c r="F1255" i="4"/>
  <c r="C1256" i="4"/>
  <c r="D1256" i="4"/>
  <c r="C1257" i="4"/>
  <c r="D1257" i="4"/>
  <c r="F1257" i="4"/>
  <c r="C1258" i="4"/>
  <c r="E1258" i="4"/>
  <c r="C1259" i="4"/>
  <c r="G1259" i="4" s="1"/>
  <c r="D1259" i="4"/>
  <c r="E1259" i="4"/>
  <c r="F1259" i="4"/>
  <c r="C1260" i="4"/>
  <c r="C1261" i="4"/>
  <c r="F1261" i="4" s="1"/>
  <c r="D1261" i="4"/>
  <c r="C1262" i="4"/>
  <c r="E1262" i="4"/>
  <c r="C1263" i="4"/>
  <c r="G1263" i="4" s="1"/>
  <c r="D1263" i="4"/>
  <c r="E1263" i="4"/>
  <c r="F1263" i="4"/>
  <c r="C1264" i="4"/>
  <c r="D1264" i="4" s="1"/>
  <c r="C1265" i="4"/>
  <c r="D1265" i="4" s="1"/>
  <c r="G1265" i="4"/>
  <c r="C1266" i="4"/>
  <c r="F1266" i="4" s="1"/>
  <c r="C1267" i="4"/>
  <c r="D1267" i="4"/>
  <c r="E1267" i="4"/>
  <c r="F1267" i="4"/>
  <c r="G1267" i="4"/>
  <c r="C1268" i="4"/>
  <c r="G1268" i="4" s="1"/>
  <c r="D1268" i="4"/>
  <c r="E1268" i="4"/>
  <c r="F1268" i="4"/>
  <c r="C1269" i="4"/>
  <c r="G1269" i="4" s="1"/>
  <c r="D1269" i="4"/>
  <c r="C1270" i="4"/>
  <c r="E1270" i="4" s="1"/>
  <c r="C1271" i="4"/>
  <c r="D1271" i="4" s="1"/>
  <c r="E1271" i="4"/>
  <c r="F1271" i="4"/>
  <c r="G1271" i="4"/>
  <c r="C1272" i="4"/>
  <c r="D1272" i="4"/>
  <c r="E1272" i="4"/>
  <c r="F1272" i="4"/>
  <c r="G1272" i="4"/>
  <c r="C1273" i="4"/>
  <c r="F1273" i="4" s="1"/>
  <c r="D1273" i="4"/>
  <c r="G1273" i="4"/>
  <c r="C1274" i="4"/>
  <c r="F1274" i="4" s="1"/>
  <c r="C1275" i="4"/>
  <c r="E1275" i="4"/>
  <c r="F1275" i="4"/>
  <c r="C1276" i="4"/>
  <c r="G1276" i="4" s="1"/>
  <c r="D1276" i="4"/>
  <c r="E1276" i="4"/>
  <c r="F1276" i="4"/>
  <c r="C1277" i="4"/>
  <c r="D1277" i="4" s="1"/>
  <c r="C1278" i="4"/>
  <c r="E1278" i="4" s="1"/>
  <c r="F1278" i="4"/>
  <c r="G1278" i="4"/>
  <c r="C1279" i="4"/>
  <c r="D1279" i="4" s="1"/>
  <c r="E1279" i="4"/>
  <c r="F1279" i="4"/>
  <c r="G1279" i="4"/>
  <c r="C1280" i="4"/>
  <c r="D1280" i="4"/>
  <c r="E1280" i="4"/>
  <c r="F1280" i="4"/>
  <c r="G1280" i="4"/>
  <c r="C1281" i="4"/>
  <c r="F1281" i="4" s="1"/>
  <c r="C1282" i="4"/>
  <c r="E1282" i="4" s="1"/>
  <c r="D1282" i="4"/>
  <c r="F1282" i="4"/>
  <c r="G1282" i="4"/>
  <c r="C1283" i="4"/>
  <c r="D1283" i="4" s="1"/>
  <c r="C1284" i="4"/>
  <c r="G1284" i="4" s="1"/>
  <c r="D1284" i="4"/>
  <c r="E1284" i="4"/>
  <c r="F1284" i="4"/>
  <c r="C1285" i="4"/>
  <c r="F1285" i="4" s="1"/>
  <c r="C1286" i="4"/>
  <c r="E1286" i="4" s="1"/>
  <c r="D1286" i="4"/>
  <c r="F1286" i="4"/>
  <c r="C1287" i="4"/>
  <c r="D1287" i="4" s="1"/>
  <c r="C1288" i="4"/>
  <c r="D1288" i="4"/>
  <c r="E1288" i="4"/>
  <c r="F1288" i="4"/>
  <c r="G1288" i="4"/>
  <c r="C1289" i="4"/>
  <c r="F1289" i="4" s="1"/>
  <c r="D1289" i="4"/>
  <c r="E1289" i="4"/>
  <c r="G1289" i="4"/>
  <c r="C1290" i="4"/>
  <c r="E1290" i="4" s="1"/>
  <c r="C1291" i="4"/>
  <c r="D1291" i="4" s="1"/>
  <c r="E1291" i="4"/>
  <c r="F1291" i="4"/>
  <c r="G1291" i="4"/>
  <c r="C1292" i="4"/>
  <c r="G1292" i="4" s="1"/>
  <c r="D1292" i="4"/>
  <c r="E1292" i="4"/>
  <c r="F1292" i="4"/>
  <c r="C1293" i="4"/>
  <c r="F1293" i="4" s="1"/>
  <c r="D1293" i="4"/>
  <c r="E1293" i="4"/>
  <c r="C1294" i="4"/>
  <c r="E1294" i="4" s="1"/>
  <c r="C1295" i="4"/>
  <c r="D1295" i="4" s="1"/>
  <c r="E1295" i="4"/>
  <c r="F1295" i="4"/>
  <c r="C1296" i="4"/>
  <c r="D1296" i="4"/>
  <c r="E1296" i="4"/>
  <c r="F1296" i="4"/>
  <c r="G1296" i="4"/>
  <c r="C1297" i="4"/>
  <c r="F1297" i="4" s="1"/>
  <c r="D1297" i="4"/>
  <c r="G1297" i="4"/>
  <c r="C1298" i="4"/>
  <c r="E1298" i="4" s="1"/>
  <c r="F1298" i="4"/>
  <c r="C1299" i="4"/>
  <c r="D1299" i="4" s="1"/>
  <c r="E1299" i="4"/>
  <c r="G1299" i="4"/>
  <c r="C1300" i="4"/>
  <c r="G1300" i="4" s="1"/>
  <c r="D1300" i="4"/>
  <c r="E1300" i="4"/>
  <c r="F1300" i="4"/>
  <c r="C1301" i="4"/>
  <c r="F1301" i="4" s="1"/>
  <c r="D1301" i="4"/>
  <c r="G1301" i="4"/>
  <c r="C1302" i="4"/>
  <c r="E1302" i="4" s="1"/>
  <c r="F1302" i="4"/>
  <c r="C1303" i="4"/>
  <c r="D1303" i="4" s="1"/>
  <c r="G1303" i="4"/>
  <c r="C1304" i="4"/>
  <c r="D1304" i="4"/>
  <c r="E1304" i="4"/>
  <c r="F1304" i="4"/>
  <c r="G1304" i="4"/>
  <c r="C1305" i="4"/>
  <c r="F1305" i="4" s="1"/>
  <c r="E1305" i="4"/>
  <c r="G1305" i="4"/>
  <c r="C1306" i="4"/>
  <c r="E1306" i="4" s="1"/>
  <c r="D1306" i="4"/>
  <c r="F1306" i="4"/>
  <c r="G1306" i="4"/>
  <c r="C1307" i="4"/>
  <c r="D1307" i="4" s="1"/>
  <c r="F1307" i="4"/>
  <c r="G1307" i="4"/>
  <c r="C1308" i="4"/>
  <c r="G1308" i="4" s="1"/>
  <c r="D1308" i="4"/>
  <c r="E1308" i="4"/>
  <c r="F1308" i="4"/>
  <c r="C1309" i="4"/>
  <c r="F1309" i="4" s="1"/>
  <c r="E1309" i="4"/>
  <c r="G1309" i="4"/>
  <c r="C1310" i="4"/>
  <c r="E1310" i="4" s="1"/>
  <c r="D1310" i="4"/>
  <c r="G1310" i="4"/>
  <c r="C1311" i="4"/>
  <c r="D1311" i="4" s="1"/>
  <c r="F1311" i="4"/>
  <c r="G1311" i="4"/>
  <c r="C1312" i="4"/>
  <c r="G1312" i="4" s="1"/>
  <c r="D1312" i="4"/>
  <c r="E1312" i="4"/>
  <c r="F1312" i="4"/>
  <c r="C1313" i="4"/>
  <c r="F1313" i="4" s="1"/>
  <c r="E1313" i="4"/>
  <c r="G1313" i="4"/>
  <c r="C1314" i="4"/>
  <c r="E1314" i="4" s="1"/>
  <c r="D1314" i="4"/>
  <c r="G1314" i="4"/>
  <c r="C1315" i="4"/>
  <c r="D1315" i="4" s="1"/>
  <c r="F1315" i="4"/>
  <c r="G1315" i="4"/>
  <c r="C1316" i="4"/>
  <c r="G1316" i="4" s="1"/>
  <c r="D1316" i="4"/>
  <c r="E1316" i="4"/>
  <c r="F1316" i="4"/>
  <c r="C1317" i="4"/>
  <c r="F1317" i="4" s="1"/>
  <c r="E1317" i="4"/>
  <c r="G1317" i="4"/>
  <c r="C1318" i="4"/>
  <c r="E1318" i="4" s="1"/>
  <c r="D1318" i="4"/>
  <c r="G1318" i="4"/>
  <c r="C1319" i="4"/>
  <c r="D1319" i="4" s="1"/>
  <c r="F1319" i="4"/>
  <c r="G1319" i="4"/>
  <c r="C1320" i="4"/>
  <c r="G1320" i="4" s="1"/>
  <c r="D1320" i="4"/>
  <c r="E1320" i="4"/>
  <c r="F1320" i="4"/>
  <c r="C1321" i="4"/>
  <c r="F1321" i="4" s="1"/>
  <c r="E1321" i="4"/>
  <c r="G1321" i="4"/>
  <c r="C1322" i="4"/>
  <c r="E1322" i="4" s="1"/>
  <c r="D1322" i="4"/>
  <c r="G1322" i="4"/>
  <c r="C1323" i="4"/>
  <c r="D1323" i="4" s="1"/>
  <c r="F1323" i="4"/>
  <c r="G1323" i="4"/>
  <c r="C1324" i="4"/>
  <c r="G1324" i="4" s="1"/>
  <c r="D1324" i="4"/>
  <c r="E1324" i="4"/>
  <c r="F1324" i="4"/>
  <c r="C1325" i="4"/>
  <c r="F1325" i="4" s="1"/>
  <c r="E1325" i="4"/>
  <c r="G1325" i="4"/>
  <c r="C1326" i="4"/>
  <c r="E1326" i="4" s="1"/>
  <c r="D1326" i="4"/>
  <c r="G1326" i="4"/>
  <c r="C1327" i="4"/>
  <c r="D1327" i="4" s="1"/>
  <c r="F1327" i="4"/>
  <c r="G1327" i="4"/>
  <c r="C1328" i="4"/>
  <c r="G1328" i="4" s="1"/>
  <c r="D1328" i="4"/>
  <c r="E1328" i="4"/>
  <c r="F1328" i="4"/>
  <c r="C1329" i="4"/>
  <c r="F1329" i="4" s="1"/>
  <c r="E1329" i="4"/>
  <c r="G1329" i="4"/>
  <c r="C1330" i="4"/>
  <c r="E1330" i="4" s="1"/>
  <c r="D1330" i="4"/>
  <c r="G1330" i="4"/>
  <c r="C1331" i="4"/>
  <c r="D1331" i="4" s="1"/>
  <c r="F1331" i="4"/>
  <c r="G1331" i="4"/>
  <c r="C1332" i="4"/>
  <c r="G1332" i="4" s="1"/>
  <c r="D1332" i="4"/>
  <c r="E1332" i="4"/>
  <c r="F1332" i="4"/>
  <c r="C1333" i="4"/>
  <c r="F1333" i="4" s="1"/>
  <c r="E1333" i="4"/>
  <c r="G1333" i="4"/>
  <c r="C1334" i="4"/>
  <c r="E1334" i="4" s="1"/>
  <c r="D1334" i="4"/>
  <c r="G1334" i="4"/>
  <c r="C1335" i="4"/>
  <c r="D1335" i="4" s="1"/>
  <c r="F1335" i="4"/>
  <c r="G1335" i="4"/>
  <c r="C1336" i="4"/>
  <c r="G1336" i="4" s="1"/>
  <c r="D1336" i="4"/>
  <c r="E1336" i="4"/>
  <c r="F1336" i="4"/>
  <c r="C1337" i="4"/>
  <c r="G1337" i="4" s="1"/>
  <c r="E1337" i="4"/>
  <c r="F1337" i="4"/>
  <c r="C1338" i="4"/>
  <c r="D1338" i="4" s="1"/>
  <c r="C1339" i="4"/>
  <c r="D1339" i="4" s="1"/>
  <c r="C1340" i="4"/>
  <c r="E1340" i="4" s="1"/>
  <c r="D1340" i="4"/>
  <c r="F1340" i="4"/>
  <c r="G1340" i="4"/>
  <c r="C1341" i="4"/>
  <c r="E1341" i="4" s="1"/>
  <c r="D1341" i="4"/>
  <c r="F1341" i="4"/>
  <c r="G1341" i="4"/>
  <c r="C1342" i="4"/>
  <c r="D1342" i="4"/>
  <c r="E1342" i="4"/>
  <c r="F1342" i="4"/>
  <c r="G1342" i="4"/>
  <c r="C1343" i="4"/>
  <c r="F1343" i="4" s="1"/>
  <c r="D1343" i="4"/>
  <c r="E1343" i="4"/>
  <c r="G1343" i="4"/>
  <c r="C1344" i="4"/>
  <c r="D1344" i="4" s="1"/>
  <c r="E1344" i="4"/>
  <c r="C1345" i="4"/>
  <c r="G1345" i="4" s="1"/>
  <c r="E1345" i="4"/>
  <c r="F1345" i="4"/>
  <c r="C1346" i="4"/>
  <c r="D1346" i="4" s="1"/>
  <c r="C1347" i="4"/>
  <c r="D1347" i="4" s="1"/>
  <c r="C1348" i="4"/>
  <c r="E1348" i="4" s="1"/>
  <c r="D1348" i="4"/>
  <c r="F1348" i="4"/>
  <c r="G1348" i="4"/>
  <c r="C1349" i="4"/>
  <c r="E1349" i="4" s="1"/>
  <c r="D1349" i="4"/>
  <c r="F1349" i="4"/>
  <c r="G1349" i="4"/>
  <c r="C1350" i="4"/>
  <c r="D1350" i="4"/>
  <c r="E1350" i="4"/>
  <c r="F1350" i="4"/>
  <c r="G1350" i="4"/>
  <c r="C1351" i="4"/>
  <c r="F1351" i="4" s="1"/>
  <c r="D1351" i="4"/>
  <c r="E1351" i="4"/>
  <c r="G1351" i="4"/>
  <c r="C1352" i="4"/>
  <c r="D1352" i="4" s="1"/>
  <c r="C1353" i="4"/>
  <c r="G1353" i="4" s="1"/>
  <c r="E1353" i="4"/>
  <c r="F1353" i="4"/>
  <c r="C1354" i="4"/>
  <c r="D1354" i="4" s="1"/>
  <c r="C1355" i="4"/>
  <c r="D1355" i="4" s="1"/>
  <c r="C1356" i="4"/>
  <c r="E1356" i="4" s="1"/>
  <c r="D1356" i="4"/>
  <c r="F1356" i="4"/>
  <c r="G1356" i="4"/>
  <c r="C1357" i="4"/>
  <c r="E1357" i="4" s="1"/>
  <c r="D1357" i="4"/>
  <c r="F1357" i="4"/>
  <c r="G1357" i="4"/>
  <c r="C1358" i="4"/>
  <c r="D1358" i="4"/>
  <c r="E1358" i="4"/>
  <c r="F1358" i="4"/>
  <c r="G1358" i="4"/>
  <c r="C1359" i="4"/>
  <c r="F1359" i="4" s="1"/>
  <c r="D1359" i="4"/>
  <c r="E1359" i="4"/>
  <c r="G1359" i="4"/>
  <c r="C1360" i="4"/>
  <c r="D1360" i="4" s="1"/>
  <c r="C1361" i="4"/>
  <c r="G1361" i="4" s="1"/>
  <c r="E1361" i="4"/>
  <c r="F1361" i="4"/>
  <c r="C1362" i="4"/>
  <c r="D1362" i="4" s="1"/>
  <c r="C1363" i="4"/>
  <c r="D1363" i="4" s="1"/>
  <c r="C1364" i="4"/>
  <c r="E1364" i="4" s="1"/>
  <c r="D1364" i="4"/>
  <c r="F1364" i="4"/>
  <c r="G1364" i="4"/>
  <c r="C1365" i="4"/>
  <c r="E1365" i="4" s="1"/>
  <c r="D1365" i="4"/>
  <c r="F1365" i="4"/>
  <c r="G1365" i="4"/>
  <c r="C1366" i="4"/>
  <c r="D1366" i="4"/>
  <c r="E1366" i="4"/>
  <c r="F1366" i="4"/>
  <c r="G1366" i="4"/>
  <c r="C1367" i="4"/>
  <c r="F1367" i="4" s="1"/>
  <c r="D1367" i="4"/>
  <c r="E1367" i="4"/>
  <c r="G1367" i="4"/>
  <c r="C1368" i="4"/>
  <c r="D1368" i="4" s="1"/>
  <c r="C1369" i="4"/>
  <c r="G1369" i="4" s="1"/>
  <c r="E1369" i="4"/>
  <c r="F1369" i="4"/>
  <c r="C1370" i="4"/>
  <c r="D1370" i="4" s="1"/>
  <c r="C1371" i="4"/>
  <c r="D1371" i="4" s="1"/>
  <c r="C1372" i="4"/>
  <c r="E1372" i="4" s="1"/>
  <c r="D1372" i="4"/>
  <c r="F1372" i="4"/>
  <c r="G1372" i="4"/>
  <c r="C1373" i="4"/>
  <c r="E1373" i="4" s="1"/>
  <c r="D1373" i="4"/>
  <c r="F1373" i="4"/>
  <c r="G1373" i="4"/>
  <c r="C1374" i="4"/>
  <c r="D1374" i="4"/>
  <c r="E1374" i="4"/>
  <c r="F1374" i="4"/>
  <c r="G1374" i="4"/>
  <c r="C1375" i="4"/>
  <c r="F1375" i="4" s="1"/>
  <c r="D1375" i="4"/>
  <c r="E1375" i="4"/>
  <c r="G1375" i="4"/>
  <c r="C1376" i="4"/>
  <c r="D1376" i="4" s="1"/>
  <c r="C1377" i="4"/>
  <c r="G1377" i="4" s="1"/>
  <c r="E1377" i="4"/>
  <c r="F1377" i="4"/>
  <c r="C1378" i="4"/>
  <c r="D1378" i="4" s="1"/>
  <c r="C1379" i="4"/>
  <c r="D1379" i="4" s="1"/>
  <c r="C1380" i="4"/>
  <c r="E1380" i="4" s="1"/>
  <c r="D1380" i="4"/>
  <c r="F1380" i="4"/>
  <c r="G1380" i="4"/>
  <c r="C1381" i="4"/>
  <c r="E1381" i="4" s="1"/>
  <c r="D1381" i="4"/>
  <c r="F1381" i="4"/>
  <c r="G1381" i="4"/>
  <c r="C1382" i="4"/>
  <c r="D1382" i="4"/>
  <c r="E1382" i="4"/>
  <c r="F1382" i="4"/>
  <c r="G1382" i="4"/>
  <c r="C1383" i="4"/>
  <c r="F1383" i="4" s="1"/>
  <c r="D1383" i="4"/>
  <c r="E1383" i="4"/>
  <c r="G1383" i="4"/>
  <c r="C1384" i="4"/>
  <c r="D1384" i="4" s="1"/>
  <c r="C1385" i="4"/>
  <c r="G1385" i="4" s="1"/>
  <c r="E1385" i="4"/>
  <c r="F1385" i="4"/>
  <c r="C1386" i="4"/>
  <c r="D1386" i="4" s="1"/>
  <c r="C1387" i="4"/>
  <c r="D1387" i="4" s="1"/>
  <c r="C1388" i="4"/>
  <c r="E1388" i="4" s="1"/>
  <c r="D1388" i="4"/>
  <c r="F1388" i="4"/>
  <c r="G1388" i="4"/>
  <c r="C1389" i="4"/>
  <c r="E1389" i="4" s="1"/>
  <c r="D1389" i="4"/>
  <c r="F1389" i="4"/>
  <c r="G1389" i="4"/>
  <c r="C1390" i="4"/>
  <c r="D1390" i="4"/>
  <c r="E1390" i="4"/>
  <c r="F1390" i="4"/>
  <c r="G1390" i="4"/>
  <c r="C1391" i="4"/>
  <c r="F1391" i="4" s="1"/>
  <c r="D1391" i="4"/>
  <c r="E1391" i="4"/>
  <c r="G1391" i="4"/>
  <c r="C1392" i="4"/>
  <c r="D1392" i="4" s="1"/>
  <c r="C1393" i="4"/>
  <c r="G1393" i="4" s="1"/>
  <c r="E1393" i="4"/>
  <c r="F1393" i="4"/>
  <c r="C1394" i="4"/>
  <c r="D1394" i="4" s="1"/>
  <c r="C1395" i="4"/>
  <c r="D1395" i="4" s="1"/>
  <c r="C1396" i="4"/>
  <c r="E1396" i="4" s="1"/>
  <c r="D1396" i="4"/>
  <c r="F1396" i="4"/>
  <c r="G1396" i="4"/>
  <c r="C1397" i="4"/>
  <c r="E1397" i="4" s="1"/>
  <c r="D1397" i="4"/>
  <c r="F1397" i="4"/>
  <c r="G1397" i="4"/>
  <c r="C1398" i="4"/>
  <c r="D1398" i="4"/>
  <c r="E1398" i="4"/>
  <c r="F1398" i="4"/>
  <c r="G1398" i="4"/>
  <c r="C1399" i="4"/>
  <c r="F1399" i="4" s="1"/>
  <c r="D1399" i="4"/>
  <c r="E1399" i="4"/>
  <c r="G1399" i="4"/>
  <c r="C1400" i="4"/>
  <c r="D1400" i="4" s="1"/>
  <c r="C1401" i="4"/>
  <c r="G1401" i="4" s="1"/>
  <c r="E1401" i="4"/>
  <c r="F1401" i="4"/>
  <c r="C1402" i="4"/>
  <c r="D1402" i="4" s="1"/>
  <c r="C1403" i="4"/>
  <c r="D1403" i="4" s="1"/>
  <c r="C1404" i="4"/>
  <c r="E1404" i="4" s="1"/>
  <c r="D1404" i="4"/>
  <c r="F1404" i="4"/>
  <c r="G1404" i="4"/>
  <c r="C1405" i="4"/>
  <c r="E1405" i="4" s="1"/>
  <c r="D1405" i="4"/>
  <c r="F1405" i="4"/>
  <c r="G1405" i="4"/>
  <c r="C1406" i="4"/>
  <c r="D1406" i="4"/>
  <c r="E1406" i="4"/>
  <c r="F1406" i="4"/>
  <c r="G1406" i="4"/>
  <c r="C1407" i="4"/>
  <c r="F1407" i="4" s="1"/>
  <c r="D1407" i="4"/>
  <c r="E1407" i="4"/>
  <c r="G1407" i="4"/>
  <c r="C1408" i="4"/>
  <c r="D1408" i="4" s="1"/>
  <c r="C1409" i="4"/>
  <c r="G1409" i="4" s="1"/>
  <c r="E1409" i="4"/>
  <c r="F1409" i="4"/>
  <c r="C1410" i="4"/>
  <c r="D1410" i="4" s="1"/>
  <c r="C1411" i="4"/>
  <c r="D1411" i="4" s="1"/>
  <c r="C1412" i="4"/>
  <c r="E1412" i="4" s="1"/>
  <c r="D1412" i="4"/>
  <c r="F1412" i="4"/>
  <c r="G1412" i="4"/>
  <c r="C1413" i="4"/>
  <c r="E1413" i="4" s="1"/>
  <c r="D1413" i="4"/>
  <c r="F1413" i="4"/>
  <c r="G1413" i="4"/>
  <c r="C1414" i="4"/>
  <c r="D1414" i="4"/>
  <c r="E1414" i="4"/>
  <c r="F1414" i="4"/>
  <c r="G1414" i="4"/>
  <c r="C1415" i="4"/>
  <c r="F1415" i="4" s="1"/>
  <c r="D1415" i="4"/>
  <c r="E1415" i="4"/>
  <c r="G1415" i="4"/>
  <c r="C1416" i="4"/>
  <c r="D1416" i="4" s="1"/>
  <c r="C1417" i="4"/>
  <c r="G1417" i="4" s="1"/>
  <c r="E1417" i="4"/>
  <c r="F1417" i="4"/>
  <c r="C1418" i="4"/>
  <c r="D1418" i="4" s="1"/>
  <c r="C1419" i="4"/>
  <c r="D1419" i="4" s="1"/>
  <c r="C1420" i="4"/>
  <c r="E1420" i="4" s="1"/>
  <c r="D1420" i="4"/>
  <c r="F1420" i="4"/>
  <c r="G1420" i="4"/>
  <c r="C1421" i="4"/>
  <c r="E1421" i="4" s="1"/>
  <c r="D1421" i="4"/>
  <c r="F1421" i="4"/>
  <c r="G1421" i="4"/>
  <c r="C1422" i="4"/>
  <c r="D1422" i="4"/>
  <c r="E1422" i="4"/>
  <c r="F1422" i="4"/>
  <c r="G1422" i="4"/>
  <c r="C1423" i="4"/>
  <c r="F1423" i="4" s="1"/>
  <c r="D1423" i="4"/>
  <c r="E1423" i="4"/>
  <c r="G1423" i="4"/>
  <c r="C1424" i="4"/>
  <c r="D1424" i="4" s="1"/>
  <c r="C1425" i="4"/>
  <c r="G1425" i="4" s="1"/>
  <c r="E1425" i="4"/>
  <c r="F1425" i="4"/>
  <c r="C1426" i="4"/>
  <c r="D1426" i="4" s="1"/>
  <c r="C1427" i="4"/>
  <c r="D1427" i="4" s="1"/>
  <c r="C1428" i="4"/>
  <c r="E1428" i="4" s="1"/>
  <c r="D1428" i="4"/>
  <c r="F1428" i="4"/>
  <c r="G1428" i="4"/>
  <c r="C1429" i="4"/>
  <c r="E1429" i="4" s="1"/>
  <c r="D1429" i="4"/>
  <c r="F1429" i="4"/>
  <c r="G1429" i="4"/>
  <c r="C1430" i="4"/>
  <c r="D1430" i="4"/>
  <c r="E1430" i="4"/>
  <c r="F1430" i="4"/>
  <c r="G1430" i="4"/>
  <c r="C1431" i="4"/>
  <c r="F1431" i="4" s="1"/>
  <c r="D1431" i="4"/>
  <c r="E1431" i="4"/>
  <c r="G1431" i="4"/>
  <c r="C1432" i="4"/>
  <c r="D1432" i="4" s="1"/>
  <c r="C1433" i="4"/>
  <c r="G1433" i="4" s="1"/>
  <c r="E1433" i="4"/>
  <c r="F1433" i="4"/>
  <c r="C1434" i="4"/>
  <c r="D1434" i="4" s="1"/>
  <c r="C1435" i="4"/>
  <c r="D1435" i="4" s="1"/>
  <c r="C1436" i="4"/>
  <c r="E1436" i="4" s="1"/>
  <c r="D1436" i="4"/>
  <c r="F1436" i="4"/>
  <c r="G1436" i="4"/>
  <c r="C1437" i="4"/>
  <c r="E1437" i="4" s="1"/>
  <c r="D1437" i="4"/>
  <c r="F1437" i="4"/>
  <c r="G1437" i="4"/>
  <c r="C1438" i="4"/>
  <c r="D1438" i="4"/>
  <c r="E1438" i="4"/>
  <c r="F1438" i="4"/>
  <c r="G1438" i="4"/>
  <c r="C1439" i="4"/>
  <c r="F1439" i="4" s="1"/>
  <c r="D1439" i="4"/>
  <c r="E1439" i="4"/>
  <c r="G1439" i="4"/>
  <c r="C1440" i="4"/>
  <c r="D1440" i="4" s="1"/>
  <c r="C1441" i="4"/>
  <c r="G1441" i="4" s="1"/>
  <c r="E1441" i="4"/>
  <c r="F1441" i="4"/>
  <c r="G2" i="4"/>
  <c r="F2" i="4"/>
  <c r="E2" i="4"/>
  <c r="D2" i="4"/>
  <c r="C2" i="4"/>
  <c r="A3" i="4"/>
  <c r="B3" i="4"/>
  <c r="A4" i="4"/>
  <c r="B4" i="4"/>
  <c r="A5" i="4"/>
  <c r="B5" i="4"/>
  <c r="A6" i="4"/>
  <c r="B6" i="4"/>
  <c r="A7" i="4"/>
  <c r="B7" i="4"/>
  <c r="A8" i="4"/>
  <c r="B8" i="4"/>
  <c r="A9" i="4"/>
  <c r="B9" i="4"/>
  <c r="A10" i="4"/>
  <c r="B10" i="4"/>
  <c r="A11" i="4"/>
  <c r="B11" i="4"/>
  <c r="A12" i="4"/>
  <c r="B12" i="4"/>
  <c r="A13" i="4"/>
  <c r="B13" i="4"/>
  <c r="A14" i="4"/>
  <c r="B14" i="4"/>
  <c r="A15" i="4"/>
  <c r="B15" i="4"/>
  <c r="A16" i="4"/>
  <c r="B16" i="4"/>
  <c r="A17" i="4"/>
  <c r="B17" i="4"/>
  <c r="A18" i="4"/>
  <c r="B18" i="4"/>
  <c r="A19" i="4"/>
  <c r="B19" i="4"/>
  <c r="A20" i="4"/>
  <c r="B20" i="4"/>
  <c r="A21" i="4"/>
  <c r="B21" i="4"/>
  <c r="A22" i="4"/>
  <c r="B22" i="4"/>
  <c r="A23" i="4"/>
  <c r="B23" i="4"/>
  <c r="A24" i="4"/>
  <c r="B24" i="4"/>
  <c r="A25" i="4"/>
  <c r="B25" i="4"/>
  <c r="A26" i="4"/>
  <c r="B26" i="4"/>
  <c r="A27" i="4"/>
  <c r="B27" i="4"/>
  <c r="A28" i="4"/>
  <c r="B28" i="4"/>
  <c r="A29" i="4"/>
  <c r="B29" i="4"/>
  <c r="A30" i="4"/>
  <c r="B30" i="4"/>
  <c r="A31" i="4"/>
  <c r="B31" i="4"/>
  <c r="A32" i="4"/>
  <c r="B32" i="4"/>
  <c r="A33" i="4"/>
  <c r="B33" i="4"/>
  <c r="A34" i="4"/>
  <c r="B34" i="4"/>
  <c r="A35" i="4"/>
  <c r="B35" i="4"/>
  <c r="A36" i="4"/>
  <c r="B36" i="4"/>
  <c r="A37" i="4"/>
  <c r="B37" i="4"/>
  <c r="A38" i="4"/>
  <c r="B38" i="4"/>
  <c r="A39" i="4"/>
  <c r="B39" i="4"/>
  <c r="A40" i="4"/>
  <c r="B40" i="4"/>
  <c r="A41" i="4"/>
  <c r="B41" i="4"/>
  <c r="A42" i="4"/>
  <c r="B42" i="4"/>
  <c r="A43" i="4"/>
  <c r="B43" i="4"/>
  <c r="A44" i="4"/>
  <c r="B44" i="4"/>
  <c r="A45" i="4"/>
  <c r="B45" i="4"/>
  <c r="A46" i="4"/>
  <c r="B46" i="4"/>
  <c r="A47" i="4"/>
  <c r="B47" i="4"/>
  <c r="A48" i="4"/>
  <c r="B48" i="4"/>
  <c r="A49" i="4"/>
  <c r="B49" i="4"/>
  <c r="A50" i="4"/>
  <c r="B50" i="4"/>
  <c r="A51" i="4"/>
  <c r="B51" i="4"/>
  <c r="A52" i="4"/>
  <c r="B52" i="4"/>
  <c r="A53" i="4"/>
  <c r="B53" i="4"/>
  <c r="A54" i="4"/>
  <c r="B54" i="4"/>
  <c r="A55" i="4"/>
  <c r="B55" i="4"/>
  <c r="A56" i="4"/>
  <c r="B56" i="4"/>
  <c r="A57" i="4"/>
  <c r="B57" i="4"/>
  <c r="A58" i="4"/>
  <c r="B58" i="4"/>
  <c r="A59" i="4"/>
  <c r="B59" i="4"/>
  <c r="A60" i="4"/>
  <c r="B60" i="4"/>
  <c r="A61" i="4"/>
  <c r="B61" i="4"/>
  <c r="A62" i="4"/>
  <c r="B62" i="4"/>
  <c r="A63" i="4"/>
  <c r="B63" i="4"/>
  <c r="A64" i="4"/>
  <c r="B64" i="4"/>
  <c r="A65" i="4"/>
  <c r="B65" i="4"/>
  <c r="A66" i="4"/>
  <c r="B66" i="4"/>
  <c r="A67" i="4"/>
  <c r="B67" i="4"/>
  <c r="A68" i="4"/>
  <c r="B68" i="4"/>
  <c r="A69" i="4"/>
  <c r="B69" i="4"/>
  <c r="A70" i="4"/>
  <c r="B70" i="4"/>
  <c r="A71" i="4"/>
  <c r="B71" i="4"/>
  <c r="A72" i="4"/>
  <c r="B72" i="4"/>
  <c r="A73" i="4"/>
  <c r="B73" i="4"/>
  <c r="A74" i="4"/>
  <c r="B74" i="4"/>
  <c r="A75" i="4"/>
  <c r="B75" i="4"/>
  <c r="A76" i="4"/>
  <c r="B76" i="4"/>
  <c r="A77" i="4"/>
  <c r="B77" i="4"/>
  <c r="A78" i="4"/>
  <c r="B78" i="4"/>
  <c r="A79" i="4"/>
  <c r="B79" i="4"/>
  <c r="A80" i="4"/>
  <c r="B80" i="4"/>
  <c r="A81" i="4"/>
  <c r="B81" i="4"/>
  <c r="A82" i="4"/>
  <c r="B82" i="4"/>
  <c r="A83" i="4"/>
  <c r="B83" i="4"/>
  <c r="A84" i="4"/>
  <c r="B84" i="4"/>
  <c r="A85" i="4"/>
  <c r="B85" i="4"/>
  <c r="A86" i="4"/>
  <c r="B86" i="4"/>
  <c r="A87" i="4"/>
  <c r="B87" i="4"/>
  <c r="A88" i="4"/>
  <c r="B88" i="4"/>
  <c r="A89" i="4"/>
  <c r="B89" i="4"/>
  <c r="A90" i="4"/>
  <c r="B90" i="4"/>
  <c r="A91" i="4"/>
  <c r="B91" i="4"/>
  <c r="A92" i="4"/>
  <c r="B92" i="4"/>
  <c r="A93" i="4"/>
  <c r="B93" i="4"/>
  <c r="A94" i="4"/>
  <c r="B94" i="4"/>
  <c r="A95" i="4"/>
  <c r="B95" i="4"/>
  <c r="A96" i="4"/>
  <c r="B96" i="4"/>
  <c r="A97" i="4"/>
  <c r="B97" i="4"/>
  <c r="A98" i="4"/>
  <c r="B98" i="4"/>
  <c r="A99" i="4"/>
  <c r="B99" i="4"/>
  <c r="A100" i="4"/>
  <c r="B100" i="4"/>
  <c r="A101" i="4"/>
  <c r="B101" i="4"/>
  <c r="A102" i="4"/>
  <c r="B102" i="4"/>
  <c r="A103" i="4"/>
  <c r="B103" i="4"/>
  <c r="A104" i="4"/>
  <c r="B104" i="4"/>
  <c r="A105" i="4"/>
  <c r="B105" i="4"/>
  <c r="A106" i="4"/>
  <c r="B106" i="4"/>
  <c r="A107" i="4"/>
  <c r="B107" i="4"/>
  <c r="A108" i="4"/>
  <c r="B108" i="4"/>
  <c r="A109" i="4"/>
  <c r="B109" i="4"/>
  <c r="A110" i="4"/>
  <c r="B110" i="4"/>
  <c r="A111" i="4"/>
  <c r="B111" i="4"/>
  <c r="A112" i="4"/>
  <c r="B112" i="4"/>
  <c r="A113" i="4"/>
  <c r="B113" i="4"/>
  <c r="A114" i="4"/>
  <c r="B114" i="4"/>
  <c r="A115" i="4"/>
  <c r="B115" i="4"/>
  <c r="A116" i="4"/>
  <c r="B116" i="4"/>
  <c r="A117" i="4"/>
  <c r="B117" i="4"/>
  <c r="A118" i="4"/>
  <c r="B118" i="4"/>
  <c r="A119" i="4"/>
  <c r="B119" i="4"/>
  <c r="A120" i="4"/>
  <c r="B120" i="4"/>
  <c r="A121" i="4"/>
  <c r="B121" i="4"/>
  <c r="A122" i="4"/>
  <c r="B122" i="4"/>
  <c r="A123" i="4"/>
  <c r="B123" i="4"/>
  <c r="A124" i="4"/>
  <c r="B124" i="4"/>
  <c r="A125" i="4"/>
  <c r="B125" i="4"/>
  <c r="A126" i="4"/>
  <c r="B126" i="4"/>
  <c r="A127" i="4"/>
  <c r="B127" i="4"/>
  <c r="A128" i="4"/>
  <c r="B128" i="4"/>
  <c r="A129" i="4"/>
  <c r="B129" i="4"/>
  <c r="A130" i="4"/>
  <c r="B130" i="4"/>
  <c r="A131" i="4"/>
  <c r="B131" i="4"/>
  <c r="A132" i="4"/>
  <c r="B132" i="4"/>
  <c r="A133" i="4"/>
  <c r="B133" i="4"/>
  <c r="A134" i="4"/>
  <c r="B134" i="4"/>
  <c r="A135" i="4"/>
  <c r="B135" i="4"/>
  <c r="A136" i="4"/>
  <c r="B136" i="4"/>
  <c r="A137" i="4"/>
  <c r="B137" i="4"/>
  <c r="A138" i="4"/>
  <c r="B138" i="4"/>
  <c r="A139" i="4"/>
  <c r="B139" i="4"/>
  <c r="A140" i="4"/>
  <c r="B140" i="4"/>
  <c r="A141" i="4"/>
  <c r="B141" i="4"/>
  <c r="A142" i="4"/>
  <c r="B142" i="4"/>
  <c r="A143" i="4"/>
  <c r="B143" i="4"/>
  <c r="A144" i="4"/>
  <c r="B144" i="4"/>
  <c r="A145" i="4"/>
  <c r="B145" i="4"/>
  <c r="A146" i="4"/>
  <c r="B146" i="4"/>
  <c r="A147" i="4"/>
  <c r="B147" i="4"/>
  <c r="A148" i="4"/>
  <c r="B148" i="4"/>
  <c r="A149" i="4"/>
  <c r="B149" i="4"/>
  <c r="A150" i="4"/>
  <c r="B150" i="4"/>
  <c r="A151" i="4"/>
  <c r="B151" i="4"/>
  <c r="A152" i="4"/>
  <c r="B152" i="4"/>
  <c r="A153" i="4"/>
  <c r="B153" i="4"/>
  <c r="A154" i="4"/>
  <c r="B154" i="4"/>
  <c r="A155" i="4"/>
  <c r="B155" i="4"/>
  <c r="A156" i="4"/>
  <c r="B156" i="4"/>
  <c r="A157" i="4"/>
  <c r="B157" i="4"/>
  <c r="A158" i="4"/>
  <c r="B158" i="4"/>
  <c r="A159" i="4"/>
  <c r="B159" i="4"/>
  <c r="A160" i="4"/>
  <c r="B160" i="4"/>
  <c r="A161" i="4"/>
  <c r="B161" i="4"/>
  <c r="A162" i="4"/>
  <c r="B162" i="4"/>
  <c r="A163" i="4"/>
  <c r="B163" i="4"/>
  <c r="A164" i="4"/>
  <c r="B164" i="4"/>
  <c r="A165" i="4"/>
  <c r="B165" i="4"/>
  <c r="A166" i="4"/>
  <c r="B166" i="4"/>
  <c r="A167" i="4"/>
  <c r="B167" i="4"/>
  <c r="A168" i="4"/>
  <c r="B168" i="4"/>
  <c r="A169" i="4"/>
  <c r="B169" i="4"/>
  <c r="A170" i="4"/>
  <c r="B170" i="4"/>
  <c r="A171" i="4"/>
  <c r="B171" i="4"/>
  <c r="A172" i="4"/>
  <c r="B172" i="4"/>
  <c r="A173" i="4"/>
  <c r="B173" i="4"/>
  <c r="A174" i="4"/>
  <c r="B174" i="4"/>
  <c r="A175" i="4"/>
  <c r="B175" i="4"/>
  <c r="A176" i="4"/>
  <c r="B176" i="4"/>
  <c r="A177" i="4"/>
  <c r="B177" i="4"/>
  <c r="A178" i="4"/>
  <c r="B178" i="4"/>
  <c r="A179" i="4"/>
  <c r="B179" i="4"/>
  <c r="A180" i="4"/>
  <c r="B180" i="4"/>
  <c r="A181" i="4"/>
  <c r="B181" i="4"/>
  <c r="A182" i="4"/>
  <c r="B182" i="4"/>
  <c r="A183" i="4"/>
  <c r="B183" i="4"/>
  <c r="A184" i="4"/>
  <c r="B184" i="4"/>
  <c r="A185" i="4"/>
  <c r="B185" i="4"/>
  <c r="A186" i="4"/>
  <c r="B186" i="4"/>
  <c r="A187" i="4"/>
  <c r="B187" i="4"/>
  <c r="A188" i="4"/>
  <c r="B188" i="4"/>
  <c r="A189" i="4"/>
  <c r="B189" i="4"/>
  <c r="A190" i="4"/>
  <c r="B190" i="4"/>
  <c r="A191" i="4"/>
  <c r="B191" i="4"/>
  <c r="A192" i="4"/>
  <c r="B192" i="4"/>
  <c r="A193" i="4"/>
  <c r="B193" i="4"/>
  <c r="A194" i="4"/>
  <c r="B194" i="4"/>
  <c r="A195" i="4"/>
  <c r="B195" i="4"/>
  <c r="A196" i="4"/>
  <c r="B196" i="4"/>
  <c r="A197" i="4"/>
  <c r="B197" i="4"/>
  <c r="A198" i="4"/>
  <c r="B198" i="4"/>
  <c r="A199" i="4"/>
  <c r="B199" i="4"/>
  <c r="A200" i="4"/>
  <c r="B200" i="4"/>
  <c r="A201" i="4"/>
  <c r="B201" i="4"/>
  <c r="A202" i="4"/>
  <c r="B202" i="4"/>
  <c r="A203" i="4"/>
  <c r="B203" i="4"/>
  <c r="A204" i="4"/>
  <c r="B204" i="4"/>
  <c r="A205" i="4"/>
  <c r="B205" i="4"/>
  <c r="A206" i="4"/>
  <c r="B206" i="4"/>
  <c r="A207" i="4"/>
  <c r="B207" i="4"/>
  <c r="A208" i="4"/>
  <c r="B208" i="4"/>
  <c r="A209" i="4"/>
  <c r="B209" i="4"/>
  <c r="A210" i="4"/>
  <c r="B210" i="4"/>
  <c r="A211" i="4"/>
  <c r="B211" i="4"/>
  <c r="A212" i="4"/>
  <c r="B212" i="4"/>
  <c r="A213" i="4"/>
  <c r="B213" i="4"/>
  <c r="A214" i="4"/>
  <c r="B214" i="4"/>
  <c r="A215" i="4"/>
  <c r="B215" i="4"/>
  <c r="A216" i="4"/>
  <c r="B216" i="4"/>
  <c r="A217" i="4"/>
  <c r="B217" i="4"/>
  <c r="A218" i="4"/>
  <c r="B218" i="4"/>
  <c r="A219" i="4"/>
  <c r="B219" i="4"/>
  <c r="A220" i="4"/>
  <c r="B220" i="4"/>
  <c r="A221" i="4"/>
  <c r="B221" i="4"/>
  <c r="A222" i="4"/>
  <c r="B222" i="4"/>
  <c r="A223" i="4"/>
  <c r="B223" i="4"/>
  <c r="A224" i="4"/>
  <c r="B224" i="4"/>
  <c r="A225" i="4"/>
  <c r="B225" i="4"/>
  <c r="A226" i="4"/>
  <c r="B226" i="4"/>
  <c r="A227" i="4"/>
  <c r="B227" i="4"/>
  <c r="A228" i="4"/>
  <c r="B228" i="4"/>
  <c r="A229" i="4"/>
  <c r="B229" i="4"/>
  <c r="A230" i="4"/>
  <c r="B230" i="4"/>
  <c r="A231" i="4"/>
  <c r="B231" i="4"/>
  <c r="A232" i="4"/>
  <c r="B232" i="4"/>
  <c r="A233" i="4"/>
  <c r="B233" i="4"/>
  <c r="A234" i="4"/>
  <c r="B234" i="4"/>
  <c r="A235" i="4"/>
  <c r="B235" i="4"/>
  <c r="A236" i="4"/>
  <c r="B236" i="4"/>
  <c r="A237" i="4"/>
  <c r="B237" i="4"/>
  <c r="A238" i="4"/>
  <c r="B238" i="4"/>
  <c r="A239" i="4"/>
  <c r="B239" i="4"/>
  <c r="A240" i="4"/>
  <c r="B240" i="4"/>
  <c r="A241" i="4"/>
  <c r="B241" i="4"/>
  <c r="A242" i="4"/>
  <c r="B242" i="4"/>
  <c r="A243" i="4"/>
  <c r="B243" i="4"/>
  <c r="A244" i="4"/>
  <c r="B244" i="4"/>
  <c r="A245" i="4"/>
  <c r="B245" i="4"/>
  <c r="A246" i="4"/>
  <c r="B246" i="4"/>
  <c r="A247" i="4"/>
  <c r="B247" i="4"/>
  <c r="A248" i="4"/>
  <c r="B248" i="4"/>
  <c r="A249" i="4"/>
  <c r="B249" i="4"/>
  <c r="A250" i="4"/>
  <c r="B250" i="4"/>
  <c r="A251" i="4"/>
  <c r="B251" i="4"/>
  <c r="A252" i="4"/>
  <c r="B252" i="4"/>
  <c r="A253" i="4"/>
  <c r="B253" i="4"/>
  <c r="A254" i="4"/>
  <c r="B254" i="4"/>
  <c r="A255" i="4"/>
  <c r="B255" i="4"/>
  <c r="A256" i="4"/>
  <c r="B256" i="4"/>
  <c r="A257" i="4"/>
  <c r="B257" i="4"/>
  <c r="A258" i="4"/>
  <c r="B258" i="4"/>
  <c r="A259" i="4"/>
  <c r="B259" i="4"/>
  <c r="A260" i="4"/>
  <c r="B260" i="4"/>
  <c r="A261" i="4"/>
  <c r="B261" i="4"/>
  <c r="A262" i="4"/>
  <c r="B262" i="4"/>
  <c r="A263" i="4"/>
  <c r="B263" i="4"/>
  <c r="A264" i="4"/>
  <c r="B264" i="4"/>
  <c r="A265" i="4"/>
  <c r="B265" i="4"/>
  <c r="A266" i="4"/>
  <c r="B266" i="4"/>
  <c r="A267" i="4"/>
  <c r="B267" i="4"/>
  <c r="A268" i="4"/>
  <c r="B268" i="4"/>
  <c r="A269" i="4"/>
  <c r="B269" i="4"/>
  <c r="A270" i="4"/>
  <c r="B270" i="4"/>
  <c r="A271" i="4"/>
  <c r="B271" i="4"/>
  <c r="A272" i="4"/>
  <c r="B272" i="4"/>
  <c r="A273" i="4"/>
  <c r="B273" i="4"/>
  <c r="A274" i="4"/>
  <c r="B274" i="4"/>
  <c r="A275" i="4"/>
  <c r="B275" i="4"/>
  <c r="A276" i="4"/>
  <c r="B276" i="4"/>
  <c r="A277" i="4"/>
  <c r="B277" i="4"/>
  <c r="A278" i="4"/>
  <c r="B278" i="4"/>
  <c r="A279" i="4"/>
  <c r="B279" i="4"/>
  <c r="A280" i="4"/>
  <c r="B280" i="4"/>
  <c r="A281" i="4"/>
  <c r="B281" i="4"/>
  <c r="A282" i="4"/>
  <c r="B282" i="4"/>
  <c r="A283" i="4"/>
  <c r="B283" i="4"/>
  <c r="A284" i="4"/>
  <c r="B284" i="4"/>
  <c r="A285" i="4"/>
  <c r="B285" i="4"/>
  <c r="A286" i="4"/>
  <c r="B286" i="4"/>
  <c r="A287" i="4"/>
  <c r="B287" i="4"/>
  <c r="A288" i="4"/>
  <c r="B288" i="4"/>
  <c r="A289" i="4"/>
  <c r="B289" i="4"/>
  <c r="A290" i="4"/>
  <c r="B290" i="4"/>
  <c r="A291" i="4"/>
  <c r="B291" i="4"/>
  <c r="A292" i="4"/>
  <c r="B292" i="4"/>
  <c r="A293" i="4"/>
  <c r="B293" i="4"/>
  <c r="A294" i="4"/>
  <c r="B294" i="4"/>
  <c r="A295" i="4"/>
  <c r="B295" i="4"/>
  <c r="A296" i="4"/>
  <c r="B296" i="4"/>
  <c r="A297" i="4"/>
  <c r="B297" i="4"/>
  <c r="A298" i="4"/>
  <c r="B298" i="4"/>
  <c r="A299" i="4"/>
  <c r="B299" i="4"/>
  <c r="A300" i="4"/>
  <c r="B300" i="4"/>
  <c r="A301" i="4"/>
  <c r="B301" i="4"/>
  <c r="A302" i="4"/>
  <c r="B302" i="4"/>
  <c r="A303" i="4"/>
  <c r="B303" i="4"/>
  <c r="A304" i="4"/>
  <c r="B304" i="4"/>
  <c r="A305" i="4"/>
  <c r="B305" i="4"/>
  <c r="A306" i="4"/>
  <c r="B306" i="4"/>
  <c r="A307" i="4"/>
  <c r="B307" i="4"/>
  <c r="A308" i="4"/>
  <c r="B308" i="4"/>
  <c r="A309" i="4"/>
  <c r="B309" i="4"/>
  <c r="A310" i="4"/>
  <c r="B310" i="4"/>
  <c r="A311" i="4"/>
  <c r="B311" i="4"/>
  <c r="A312" i="4"/>
  <c r="B312" i="4"/>
  <c r="A313" i="4"/>
  <c r="B313" i="4"/>
  <c r="A314" i="4"/>
  <c r="B314" i="4"/>
  <c r="A315" i="4"/>
  <c r="B315" i="4"/>
  <c r="A316" i="4"/>
  <c r="B316" i="4"/>
  <c r="A317" i="4"/>
  <c r="B317" i="4"/>
  <c r="A318" i="4"/>
  <c r="B318" i="4"/>
  <c r="A319" i="4"/>
  <c r="B319" i="4"/>
  <c r="A320" i="4"/>
  <c r="B320" i="4"/>
  <c r="A321" i="4"/>
  <c r="B321" i="4"/>
  <c r="A322" i="4"/>
  <c r="B322" i="4"/>
  <c r="A323" i="4"/>
  <c r="B323" i="4"/>
  <c r="A324" i="4"/>
  <c r="B324" i="4"/>
  <c r="A325" i="4"/>
  <c r="B325" i="4"/>
  <c r="A326" i="4"/>
  <c r="B326" i="4"/>
  <c r="A327" i="4"/>
  <c r="B327" i="4"/>
  <c r="A328" i="4"/>
  <c r="B328" i="4"/>
  <c r="A329" i="4"/>
  <c r="B329" i="4"/>
  <c r="A330" i="4"/>
  <c r="B330" i="4"/>
  <c r="A331" i="4"/>
  <c r="B331" i="4"/>
  <c r="A332" i="4"/>
  <c r="B332" i="4"/>
  <c r="A333" i="4"/>
  <c r="B333" i="4"/>
  <c r="A334" i="4"/>
  <c r="B334" i="4"/>
  <c r="A335" i="4"/>
  <c r="B335" i="4"/>
  <c r="A336" i="4"/>
  <c r="B336" i="4"/>
  <c r="A337" i="4"/>
  <c r="B337" i="4"/>
  <c r="A338" i="4"/>
  <c r="B338" i="4"/>
  <c r="A339" i="4"/>
  <c r="B339" i="4"/>
  <c r="A340" i="4"/>
  <c r="B340" i="4"/>
  <c r="A341" i="4"/>
  <c r="B341" i="4"/>
  <c r="A342" i="4"/>
  <c r="B342" i="4"/>
  <c r="A343" i="4"/>
  <c r="B343" i="4"/>
  <c r="A344" i="4"/>
  <c r="B344" i="4"/>
  <c r="A345" i="4"/>
  <c r="B345" i="4"/>
  <c r="A346" i="4"/>
  <c r="B346" i="4"/>
  <c r="A347" i="4"/>
  <c r="B347" i="4"/>
  <c r="A348" i="4"/>
  <c r="B348" i="4"/>
  <c r="A349" i="4"/>
  <c r="B349" i="4"/>
  <c r="A350" i="4"/>
  <c r="B350" i="4"/>
  <c r="A351" i="4"/>
  <c r="B351" i="4"/>
  <c r="A352" i="4"/>
  <c r="B352" i="4"/>
  <c r="A353" i="4"/>
  <c r="B353" i="4"/>
  <c r="A354" i="4"/>
  <c r="B354" i="4"/>
  <c r="A355" i="4"/>
  <c r="B355" i="4"/>
  <c r="A356" i="4"/>
  <c r="B356" i="4"/>
  <c r="A357" i="4"/>
  <c r="B357" i="4"/>
  <c r="A358" i="4"/>
  <c r="B358" i="4"/>
  <c r="A359" i="4"/>
  <c r="B359" i="4"/>
  <c r="A360" i="4"/>
  <c r="B360" i="4"/>
  <c r="A361" i="4"/>
  <c r="B361" i="4"/>
  <c r="A362" i="4"/>
  <c r="B362" i="4"/>
  <c r="A363" i="4"/>
  <c r="B363" i="4"/>
  <c r="A364" i="4"/>
  <c r="B364" i="4"/>
  <c r="A365" i="4"/>
  <c r="B365" i="4"/>
  <c r="A366" i="4"/>
  <c r="B366" i="4"/>
  <c r="A367" i="4"/>
  <c r="B367" i="4"/>
  <c r="A368" i="4"/>
  <c r="B368" i="4"/>
  <c r="A369" i="4"/>
  <c r="B369" i="4"/>
  <c r="A370" i="4"/>
  <c r="B370" i="4"/>
  <c r="A371" i="4"/>
  <c r="B371" i="4"/>
  <c r="A372" i="4"/>
  <c r="B372" i="4"/>
  <c r="A373" i="4"/>
  <c r="B373" i="4"/>
  <c r="A374" i="4"/>
  <c r="B374" i="4"/>
  <c r="A375" i="4"/>
  <c r="B375" i="4"/>
  <c r="A376" i="4"/>
  <c r="B376" i="4"/>
  <c r="A377" i="4"/>
  <c r="B377" i="4"/>
  <c r="A378" i="4"/>
  <c r="B378" i="4"/>
  <c r="A379" i="4"/>
  <c r="B379" i="4"/>
  <c r="A380" i="4"/>
  <c r="B380" i="4"/>
  <c r="A381" i="4"/>
  <c r="B381" i="4"/>
  <c r="A382" i="4"/>
  <c r="B382" i="4"/>
  <c r="A383" i="4"/>
  <c r="B383" i="4"/>
  <c r="A384" i="4"/>
  <c r="B384" i="4"/>
  <c r="A385" i="4"/>
  <c r="B385" i="4"/>
  <c r="A386" i="4"/>
  <c r="B386" i="4"/>
  <c r="A387" i="4"/>
  <c r="B387" i="4"/>
  <c r="A388" i="4"/>
  <c r="B388" i="4"/>
  <c r="A389" i="4"/>
  <c r="B389" i="4"/>
  <c r="A390" i="4"/>
  <c r="B390" i="4"/>
  <c r="A391" i="4"/>
  <c r="B391" i="4"/>
  <c r="A392" i="4"/>
  <c r="B392" i="4"/>
  <c r="A393" i="4"/>
  <c r="B393" i="4"/>
  <c r="A394" i="4"/>
  <c r="B394" i="4"/>
  <c r="A395" i="4"/>
  <c r="B395" i="4"/>
  <c r="A396" i="4"/>
  <c r="B396" i="4"/>
  <c r="A397" i="4"/>
  <c r="B397" i="4"/>
  <c r="A398" i="4"/>
  <c r="B398" i="4"/>
  <c r="A399" i="4"/>
  <c r="B399" i="4"/>
  <c r="A400" i="4"/>
  <c r="B400" i="4"/>
  <c r="A401" i="4"/>
  <c r="B401" i="4"/>
  <c r="A402" i="4"/>
  <c r="B402" i="4"/>
  <c r="A403" i="4"/>
  <c r="B403" i="4"/>
  <c r="A404" i="4"/>
  <c r="B404" i="4"/>
  <c r="A405" i="4"/>
  <c r="B405" i="4"/>
  <c r="A406" i="4"/>
  <c r="B406" i="4"/>
  <c r="A407" i="4"/>
  <c r="B407" i="4"/>
  <c r="A408" i="4"/>
  <c r="B408" i="4"/>
  <c r="A409" i="4"/>
  <c r="B409" i="4"/>
  <c r="A410" i="4"/>
  <c r="B410" i="4"/>
  <c r="A411" i="4"/>
  <c r="B411" i="4"/>
  <c r="A412" i="4"/>
  <c r="B412" i="4"/>
  <c r="A413" i="4"/>
  <c r="B413" i="4"/>
  <c r="A414" i="4"/>
  <c r="B414" i="4"/>
  <c r="A415" i="4"/>
  <c r="B415" i="4"/>
  <c r="A416" i="4"/>
  <c r="B416" i="4"/>
  <c r="A417" i="4"/>
  <c r="B417" i="4"/>
  <c r="A418" i="4"/>
  <c r="B418" i="4"/>
  <c r="A419" i="4"/>
  <c r="B419" i="4"/>
  <c r="A420" i="4"/>
  <c r="B420" i="4"/>
  <c r="A421" i="4"/>
  <c r="B421" i="4"/>
  <c r="A422" i="4"/>
  <c r="B422" i="4"/>
  <c r="A423" i="4"/>
  <c r="B423" i="4"/>
  <c r="A424" i="4"/>
  <c r="B424" i="4"/>
  <c r="A425" i="4"/>
  <c r="B425" i="4"/>
  <c r="A426" i="4"/>
  <c r="B426" i="4"/>
  <c r="A427" i="4"/>
  <c r="B427" i="4"/>
  <c r="A428" i="4"/>
  <c r="B428" i="4"/>
  <c r="A429" i="4"/>
  <c r="B429" i="4"/>
  <c r="A430" i="4"/>
  <c r="B430" i="4"/>
  <c r="A431" i="4"/>
  <c r="B431" i="4"/>
  <c r="A432" i="4"/>
  <c r="B432" i="4"/>
  <c r="A433" i="4"/>
  <c r="B433" i="4"/>
  <c r="A434" i="4"/>
  <c r="B434" i="4"/>
  <c r="A435" i="4"/>
  <c r="B435" i="4"/>
  <c r="A436" i="4"/>
  <c r="B436" i="4"/>
  <c r="A437" i="4"/>
  <c r="B437" i="4"/>
  <c r="A438" i="4"/>
  <c r="B438" i="4"/>
  <c r="A439" i="4"/>
  <c r="B439" i="4"/>
  <c r="A440" i="4"/>
  <c r="B440" i="4"/>
  <c r="A441" i="4"/>
  <c r="B441" i="4"/>
  <c r="A442" i="4"/>
  <c r="B442" i="4"/>
  <c r="A443" i="4"/>
  <c r="B443" i="4"/>
  <c r="A444" i="4"/>
  <c r="B444" i="4"/>
  <c r="A445" i="4"/>
  <c r="B445" i="4"/>
  <c r="A446" i="4"/>
  <c r="B446" i="4"/>
  <c r="A447" i="4"/>
  <c r="B447" i="4"/>
  <c r="A448" i="4"/>
  <c r="B448" i="4"/>
  <c r="A449" i="4"/>
  <c r="B449" i="4"/>
  <c r="A450" i="4"/>
  <c r="B450" i="4"/>
  <c r="A451" i="4"/>
  <c r="B451" i="4"/>
  <c r="A452" i="4"/>
  <c r="B452" i="4"/>
  <c r="A453" i="4"/>
  <c r="B453" i="4"/>
  <c r="A454" i="4"/>
  <c r="B454" i="4"/>
  <c r="A455" i="4"/>
  <c r="B455" i="4"/>
  <c r="A456" i="4"/>
  <c r="B456" i="4"/>
  <c r="A457" i="4"/>
  <c r="B457" i="4"/>
  <c r="A458" i="4"/>
  <c r="B458" i="4"/>
  <c r="A459" i="4"/>
  <c r="B459" i="4"/>
  <c r="A460" i="4"/>
  <c r="B460" i="4"/>
  <c r="A461" i="4"/>
  <c r="B461" i="4"/>
  <c r="A462" i="4"/>
  <c r="B462" i="4"/>
  <c r="A463" i="4"/>
  <c r="B463" i="4"/>
  <c r="A464" i="4"/>
  <c r="B464" i="4"/>
  <c r="A465" i="4"/>
  <c r="B465" i="4"/>
  <c r="A466" i="4"/>
  <c r="B466" i="4"/>
  <c r="A467" i="4"/>
  <c r="B467" i="4"/>
  <c r="A468" i="4"/>
  <c r="B468" i="4"/>
  <c r="A469" i="4"/>
  <c r="B469" i="4"/>
  <c r="A470" i="4"/>
  <c r="B470" i="4"/>
  <c r="A471" i="4"/>
  <c r="B471" i="4"/>
  <c r="A472" i="4"/>
  <c r="B472" i="4"/>
  <c r="A473" i="4"/>
  <c r="B473" i="4"/>
  <c r="A474" i="4"/>
  <c r="B474" i="4"/>
  <c r="A475" i="4"/>
  <c r="B475" i="4"/>
  <c r="A476" i="4"/>
  <c r="B476" i="4"/>
  <c r="A477" i="4"/>
  <c r="B477" i="4"/>
  <c r="A478" i="4"/>
  <c r="B478" i="4"/>
  <c r="A479" i="4"/>
  <c r="B479" i="4"/>
  <c r="A480" i="4"/>
  <c r="B480" i="4"/>
  <c r="A481" i="4"/>
  <c r="B481" i="4"/>
  <c r="A482" i="4"/>
  <c r="B482" i="4"/>
  <c r="A483" i="4"/>
  <c r="B483" i="4"/>
  <c r="A484" i="4"/>
  <c r="B484" i="4"/>
  <c r="A485" i="4"/>
  <c r="B485" i="4"/>
  <c r="A486" i="4"/>
  <c r="B486" i="4"/>
  <c r="A487" i="4"/>
  <c r="B487" i="4"/>
  <c r="A488" i="4"/>
  <c r="B488" i="4"/>
  <c r="A489" i="4"/>
  <c r="B489" i="4"/>
  <c r="A490" i="4"/>
  <c r="B490" i="4"/>
  <c r="A491" i="4"/>
  <c r="B491" i="4"/>
  <c r="A492" i="4"/>
  <c r="B492" i="4"/>
  <c r="A493" i="4"/>
  <c r="B493" i="4"/>
  <c r="A494" i="4"/>
  <c r="B494" i="4"/>
  <c r="A495" i="4"/>
  <c r="B495" i="4"/>
  <c r="A496" i="4"/>
  <c r="B496" i="4"/>
  <c r="A497" i="4"/>
  <c r="B497" i="4"/>
  <c r="A498" i="4"/>
  <c r="B498" i="4"/>
  <c r="A499" i="4"/>
  <c r="B499" i="4"/>
  <c r="A500" i="4"/>
  <c r="B500" i="4"/>
  <c r="A501" i="4"/>
  <c r="B501" i="4"/>
  <c r="A502" i="4"/>
  <c r="B502" i="4"/>
  <c r="A503" i="4"/>
  <c r="B503" i="4"/>
  <c r="A504" i="4"/>
  <c r="B504" i="4"/>
  <c r="A505" i="4"/>
  <c r="B505" i="4"/>
  <c r="A506" i="4"/>
  <c r="B506" i="4"/>
  <c r="A507" i="4"/>
  <c r="B507" i="4"/>
  <c r="A508" i="4"/>
  <c r="B508" i="4"/>
  <c r="A509" i="4"/>
  <c r="B509" i="4"/>
  <c r="A510" i="4"/>
  <c r="B510" i="4"/>
  <c r="A511" i="4"/>
  <c r="B511" i="4"/>
  <c r="A512" i="4"/>
  <c r="B512" i="4"/>
  <c r="A513" i="4"/>
  <c r="B513" i="4"/>
  <c r="A514" i="4"/>
  <c r="B514" i="4"/>
  <c r="A515" i="4"/>
  <c r="B515" i="4"/>
  <c r="A516" i="4"/>
  <c r="B516" i="4"/>
  <c r="A517" i="4"/>
  <c r="B517" i="4"/>
  <c r="A518" i="4"/>
  <c r="B518" i="4"/>
  <c r="A519" i="4"/>
  <c r="B519" i="4"/>
  <c r="A520" i="4"/>
  <c r="B520" i="4"/>
  <c r="A521" i="4"/>
  <c r="B521" i="4"/>
  <c r="A522" i="4"/>
  <c r="B522" i="4"/>
  <c r="A523" i="4"/>
  <c r="B523" i="4"/>
  <c r="A524" i="4"/>
  <c r="B524" i="4"/>
  <c r="A525" i="4"/>
  <c r="B525" i="4"/>
  <c r="A526" i="4"/>
  <c r="B526" i="4"/>
  <c r="A527" i="4"/>
  <c r="B527" i="4"/>
  <c r="A528" i="4"/>
  <c r="B528" i="4"/>
  <c r="A529" i="4"/>
  <c r="B529" i="4"/>
  <c r="A530" i="4"/>
  <c r="B530" i="4"/>
  <c r="A531" i="4"/>
  <c r="B531" i="4"/>
  <c r="A532" i="4"/>
  <c r="B532" i="4"/>
  <c r="A533" i="4"/>
  <c r="B533" i="4"/>
  <c r="A534" i="4"/>
  <c r="B534" i="4"/>
  <c r="A535" i="4"/>
  <c r="B535" i="4"/>
  <c r="A536" i="4"/>
  <c r="B536" i="4"/>
  <c r="A537" i="4"/>
  <c r="B537" i="4"/>
  <c r="A538" i="4"/>
  <c r="B538" i="4"/>
  <c r="A539" i="4"/>
  <c r="B539" i="4"/>
  <c r="A540" i="4"/>
  <c r="B540" i="4"/>
  <c r="A541" i="4"/>
  <c r="B541" i="4"/>
  <c r="A542" i="4"/>
  <c r="B542" i="4"/>
  <c r="A543" i="4"/>
  <c r="B543" i="4"/>
  <c r="A544" i="4"/>
  <c r="B544" i="4"/>
  <c r="A545" i="4"/>
  <c r="B545" i="4"/>
  <c r="A546" i="4"/>
  <c r="B546" i="4"/>
  <c r="A547" i="4"/>
  <c r="B547" i="4"/>
  <c r="A548" i="4"/>
  <c r="B548" i="4"/>
  <c r="A549" i="4"/>
  <c r="B549" i="4"/>
  <c r="A550" i="4"/>
  <c r="B550" i="4"/>
  <c r="A551" i="4"/>
  <c r="B551" i="4"/>
  <c r="A552" i="4"/>
  <c r="B552" i="4"/>
  <c r="A553" i="4"/>
  <c r="B553" i="4"/>
  <c r="A554" i="4"/>
  <c r="B554" i="4"/>
  <c r="A555" i="4"/>
  <c r="B555" i="4"/>
  <c r="A556" i="4"/>
  <c r="B556" i="4"/>
  <c r="A557" i="4"/>
  <c r="B557" i="4"/>
  <c r="A558" i="4"/>
  <c r="B558" i="4"/>
  <c r="A559" i="4"/>
  <c r="B559" i="4"/>
  <c r="A560" i="4"/>
  <c r="B560" i="4"/>
  <c r="A561" i="4"/>
  <c r="B561" i="4"/>
  <c r="A562" i="4"/>
  <c r="B562" i="4"/>
  <c r="A563" i="4"/>
  <c r="B563" i="4"/>
  <c r="A564" i="4"/>
  <c r="B564" i="4"/>
  <c r="A565" i="4"/>
  <c r="B565" i="4"/>
  <c r="A566" i="4"/>
  <c r="B566" i="4"/>
  <c r="A567" i="4"/>
  <c r="B567" i="4"/>
  <c r="A568" i="4"/>
  <c r="B568" i="4"/>
  <c r="A569" i="4"/>
  <c r="B569" i="4"/>
  <c r="A570" i="4"/>
  <c r="B570" i="4"/>
  <c r="A571" i="4"/>
  <c r="B571" i="4"/>
  <c r="A572" i="4"/>
  <c r="B572" i="4"/>
  <c r="A573" i="4"/>
  <c r="B573" i="4"/>
  <c r="A574" i="4"/>
  <c r="B574" i="4"/>
  <c r="A575" i="4"/>
  <c r="B575" i="4"/>
  <c r="A576" i="4"/>
  <c r="B576" i="4"/>
  <c r="A577" i="4"/>
  <c r="B577" i="4"/>
  <c r="A578" i="4"/>
  <c r="B578" i="4"/>
  <c r="A579" i="4"/>
  <c r="B579" i="4"/>
  <c r="A580" i="4"/>
  <c r="B580" i="4"/>
  <c r="A581" i="4"/>
  <c r="B581" i="4"/>
  <c r="A582" i="4"/>
  <c r="B582" i="4"/>
  <c r="A583" i="4"/>
  <c r="B583" i="4"/>
  <c r="A584" i="4"/>
  <c r="B584" i="4"/>
  <c r="A585" i="4"/>
  <c r="B585" i="4"/>
  <c r="A586" i="4"/>
  <c r="B586" i="4"/>
  <c r="A587" i="4"/>
  <c r="B587" i="4"/>
  <c r="A588" i="4"/>
  <c r="B588" i="4"/>
  <c r="A589" i="4"/>
  <c r="B589" i="4"/>
  <c r="A590" i="4"/>
  <c r="B590" i="4"/>
  <c r="A591" i="4"/>
  <c r="B591" i="4"/>
  <c r="A592" i="4"/>
  <c r="B592" i="4"/>
  <c r="A593" i="4"/>
  <c r="B593" i="4"/>
  <c r="A594" i="4"/>
  <c r="B594" i="4"/>
  <c r="A595" i="4"/>
  <c r="B595" i="4"/>
  <c r="A596" i="4"/>
  <c r="B596" i="4"/>
  <c r="A597" i="4"/>
  <c r="B597" i="4"/>
  <c r="A598" i="4"/>
  <c r="B598" i="4"/>
  <c r="A599" i="4"/>
  <c r="B599" i="4"/>
  <c r="A600" i="4"/>
  <c r="B600" i="4"/>
  <c r="A601" i="4"/>
  <c r="B601" i="4"/>
  <c r="A602" i="4"/>
  <c r="B602" i="4"/>
  <c r="A603" i="4"/>
  <c r="B603" i="4"/>
  <c r="A604" i="4"/>
  <c r="B604" i="4"/>
  <c r="A605" i="4"/>
  <c r="B605" i="4"/>
  <c r="A606" i="4"/>
  <c r="B606" i="4"/>
  <c r="A607" i="4"/>
  <c r="B607" i="4"/>
  <c r="A608" i="4"/>
  <c r="B608" i="4"/>
  <c r="A609" i="4"/>
  <c r="B609" i="4"/>
  <c r="A610" i="4"/>
  <c r="B610" i="4"/>
  <c r="A611" i="4"/>
  <c r="B611" i="4"/>
  <c r="A612" i="4"/>
  <c r="B612" i="4"/>
  <c r="A613" i="4"/>
  <c r="B613" i="4"/>
  <c r="A614" i="4"/>
  <c r="B614" i="4"/>
  <c r="A615" i="4"/>
  <c r="B615" i="4"/>
  <c r="A616" i="4"/>
  <c r="B616" i="4"/>
  <c r="A617" i="4"/>
  <c r="B617" i="4"/>
  <c r="A618" i="4"/>
  <c r="B618" i="4"/>
  <c r="A619" i="4"/>
  <c r="B619" i="4"/>
  <c r="A620" i="4"/>
  <c r="B620" i="4"/>
  <c r="A621" i="4"/>
  <c r="B621" i="4"/>
  <c r="A622" i="4"/>
  <c r="B622" i="4"/>
  <c r="A623" i="4"/>
  <c r="B623" i="4"/>
  <c r="A624" i="4"/>
  <c r="B624" i="4"/>
  <c r="A625" i="4"/>
  <c r="B625" i="4"/>
  <c r="A626" i="4"/>
  <c r="B626" i="4"/>
  <c r="A627" i="4"/>
  <c r="B627" i="4"/>
  <c r="A628" i="4"/>
  <c r="B628" i="4"/>
  <c r="A629" i="4"/>
  <c r="B629" i="4"/>
  <c r="A630" i="4"/>
  <c r="B630" i="4"/>
  <c r="A631" i="4"/>
  <c r="B631" i="4"/>
  <c r="A632" i="4"/>
  <c r="B632" i="4"/>
  <c r="A633" i="4"/>
  <c r="B633" i="4"/>
  <c r="A634" i="4"/>
  <c r="B634" i="4"/>
  <c r="A635" i="4"/>
  <c r="B635" i="4"/>
  <c r="A636" i="4"/>
  <c r="B636" i="4"/>
  <c r="A637" i="4"/>
  <c r="B637" i="4"/>
  <c r="A638" i="4"/>
  <c r="B638" i="4"/>
  <c r="A639" i="4"/>
  <c r="B639" i="4"/>
  <c r="A640" i="4"/>
  <c r="B640" i="4"/>
  <c r="A641" i="4"/>
  <c r="B641" i="4"/>
  <c r="A642" i="4"/>
  <c r="B642" i="4"/>
  <c r="A643" i="4"/>
  <c r="B643" i="4"/>
  <c r="A644" i="4"/>
  <c r="B644" i="4"/>
  <c r="A645" i="4"/>
  <c r="B645" i="4"/>
  <c r="A646" i="4"/>
  <c r="B646" i="4"/>
  <c r="A647" i="4"/>
  <c r="B647" i="4"/>
  <c r="A648" i="4"/>
  <c r="B648" i="4"/>
  <c r="A649" i="4"/>
  <c r="B649" i="4"/>
  <c r="A650" i="4"/>
  <c r="B650" i="4"/>
  <c r="A651" i="4"/>
  <c r="B651" i="4"/>
  <c r="A652" i="4"/>
  <c r="B652" i="4"/>
  <c r="A653" i="4"/>
  <c r="B653" i="4"/>
  <c r="A654" i="4"/>
  <c r="B654" i="4"/>
  <c r="A655" i="4"/>
  <c r="B655" i="4"/>
  <c r="A656" i="4"/>
  <c r="B656" i="4"/>
  <c r="A657" i="4"/>
  <c r="B657" i="4"/>
  <c r="A658" i="4"/>
  <c r="B658" i="4"/>
  <c r="A659" i="4"/>
  <c r="B659" i="4"/>
  <c r="A660" i="4"/>
  <c r="B660" i="4"/>
  <c r="A661" i="4"/>
  <c r="B661" i="4"/>
  <c r="A662" i="4"/>
  <c r="B662" i="4"/>
  <c r="A663" i="4"/>
  <c r="B663" i="4"/>
  <c r="A664" i="4"/>
  <c r="B664" i="4"/>
  <c r="A665" i="4"/>
  <c r="B665" i="4"/>
  <c r="A666" i="4"/>
  <c r="B666" i="4"/>
  <c r="A667" i="4"/>
  <c r="B667" i="4"/>
  <c r="A668" i="4"/>
  <c r="B668" i="4"/>
  <c r="A669" i="4"/>
  <c r="B669" i="4"/>
  <c r="A670" i="4"/>
  <c r="B670" i="4"/>
  <c r="A671" i="4"/>
  <c r="B671" i="4"/>
  <c r="A672" i="4"/>
  <c r="B672" i="4"/>
  <c r="A673" i="4"/>
  <c r="B673" i="4"/>
  <c r="A674" i="4"/>
  <c r="B674" i="4"/>
  <c r="A675" i="4"/>
  <c r="B675" i="4"/>
  <c r="A676" i="4"/>
  <c r="B676" i="4"/>
  <c r="A677" i="4"/>
  <c r="B677" i="4"/>
  <c r="A678" i="4"/>
  <c r="B678" i="4"/>
  <c r="A679" i="4"/>
  <c r="B679" i="4"/>
  <c r="A680" i="4"/>
  <c r="B680" i="4"/>
  <c r="A681" i="4"/>
  <c r="B681" i="4"/>
  <c r="A682" i="4"/>
  <c r="B682" i="4"/>
  <c r="A683" i="4"/>
  <c r="B683" i="4"/>
  <c r="A684" i="4"/>
  <c r="B684" i="4"/>
  <c r="A685" i="4"/>
  <c r="B685" i="4"/>
  <c r="A686" i="4"/>
  <c r="B686" i="4"/>
  <c r="A687" i="4"/>
  <c r="B687" i="4"/>
  <c r="A688" i="4"/>
  <c r="B688" i="4"/>
  <c r="A689" i="4"/>
  <c r="B689" i="4"/>
  <c r="A690" i="4"/>
  <c r="B690" i="4"/>
  <c r="A691" i="4"/>
  <c r="B691" i="4"/>
  <c r="A692" i="4"/>
  <c r="B692" i="4"/>
  <c r="A693" i="4"/>
  <c r="B693" i="4"/>
  <c r="A694" i="4"/>
  <c r="B694" i="4"/>
  <c r="A695" i="4"/>
  <c r="B695" i="4"/>
  <c r="A696" i="4"/>
  <c r="B696" i="4"/>
  <c r="A697" i="4"/>
  <c r="B697" i="4"/>
  <c r="A698" i="4"/>
  <c r="B698" i="4"/>
  <c r="A699" i="4"/>
  <c r="B699" i="4"/>
  <c r="A700" i="4"/>
  <c r="B700" i="4"/>
  <c r="A701" i="4"/>
  <c r="B701" i="4"/>
  <c r="A702" i="4"/>
  <c r="B702" i="4"/>
  <c r="A703" i="4"/>
  <c r="B703" i="4"/>
  <c r="A704" i="4"/>
  <c r="B704" i="4"/>
  <c r="A705" i="4"/>
  <c r="B705" i="4"/>
  <c r="A706" i="4"/>
  <c r="B706" i="4"/>
  <c r="A707" i="4"/>
  <c r="B707" i="4"/>
  <c r="A708" i="4"/>
  <c r="B708" i="4"/>
  <c r="A709" i="4"/>
  <c r="B709" i="4"/>
  <c r="A710" i="4"/>
  <c r="B710" i="4"/>
  <c r="A711" i="4"/>
  <c r="B711" i="4"/>
  <c r="A712" i="4"/>
  <c r="B712" i="4"/>
  <c r="A713" i="4"/>
  <c r="B713" i="4"/>
  <c r="A714" i="4"/>
  <c r="B714" i="4"/>
  <c r="A715" i="4"/>
  <c r="B715" i="4"/>
  <c r="A716" i="4"/>
  <c r="B716" i="4"/>
  <c r="A717" i="4"/>
  <c r="B717" i="4"/>
  <c r="A718" i="4"/>
  <c r="B718" i="4"/>
  <c r="A719" i="4"/>
  <c r="B719" i="4"/>
  <c r="A720" i="4"/>
  <c r="B720" i="4"/>
  <c r="A721" i="4"/>
  <c r="B721" i="4"/>
  <c r="A722" i="4"/>
  <c r="B722" i="4"/>
  <c r="A723" i="4"/>
  <c r="B723" i="4"/>
  <c r="A724" i="4"/>
  <c r="B724" i="4"/>
  <c r="A725" i="4"/>
  <c r="B725" i="4"/>
  <c r="A726" i="4"/>
  <c r="B726" i="4"/>
  <c r="A727" i="4"/>
  <c r="B727" i="4"/>
  <c r="A728" i="4"/>
  <c r="B728" i="4"/>
  <c r="A729" i="4"/>
  <c r="B729" i="4"/>
  <c r="A730" i="4"/>
  <c r="B730" i="4"/>
  <c r="A731" i="4"/>
  <c r="B731" i="4"/>
  <c r="A732" i="4"/>
  <c r="B732" i="4"/>
  <c r="A733" i="4"/>
  <c r="B733" i="4"/>
  <c r="A734" i="4"/>
  <c r="B734" i="4"/>
  <c r="A735" i="4"/>
  <c r="B735" i="4"/>
  <c r="A736" i="4"/>
  <c r="B736" i="4"/>
  <c r="A737" i="4"/>
  <c r="B737" i="4"/>
  <c r="A738" i="4"/>
  <c r="B738" i="4"/>
  <c r="A739" i="4"/>
  <c r="B739" i="4"/>
  <c r="A740" i="4"/>
  <c r="B740" i="4"/>
  <c r="A741" i="4"/>
  <c r="B741" i="4"/>
  <c r="A742" i="4"/>
  <c r="B742" i="4"/>
  <c r="A743" i="4"/>
  <c r="B743" i="4"/>
  <c r="A744" i="4"/>
  <c r="B744" i="4"/>
  <c r="A745" i="4"/>
  <c r="B745" i="4"/>
  <c r="A746" i="4"/>
  <c r="B746" i="4"/>
  <c r="A747" i="4"/>
  <c r="B747" i="4"/>
  <c r="A748" i="4"/>
  <c r="B748" i="4"/>
  <c r="A749" i="4"/>
  <c r="B749" i="4"/>
  <c r="A750" i="4"/>
  <c r="B750" i="4"/>
  <c r="A751" i="4"/>
  <c r="B751" i="4"/>
  <c r="A752" i="4"/>
  <c r="B752" i="4"/>
  <c r="A753" i="4"/>
  <c r="B753" i="4"/>
  <c r="A754" i="4"/>
  <c r="B754" i="4"/>
  <c r="A755" i="4"/>
  <c r="B755" i="4"/>
  <c r="A756" i="4"/>
  <c r="B756" i="4"/>
  <c r="A757" i="4"/>
  <c r="B757" i="4"/>
  <c r="A758" i="4"/>
  <c r="B758" i="4"/>
  <c r="A759" i="4"/>
  <c r="B759" i="4"/>
  <c r="A760" i="4"/>
  <c r="B760" i="4"/>
  <c r="A761" i="4"/>
  <c r="B761" i="4"/>
  <c r="A762" i="4"/>
  <c r="B762" i="4"/>
  <c r="A763" i="4"/>
  <c r="B763" i="4"/>
  <c r="A764" i="4"/>
  <c r="B764" i="4"/>
  <c r="A765" i="4"/>
  <c r="B765" i="4"/>
  <c r="A766" i="4"/>
  <c r="B766" i="4"/>
  <c r="A767" i="4"/>
  <c r="B767" i="4"/>
  <c r="A768" i="4"/>
  <c r="B768" i="4"/>
  <c r="A769" i="4"/>
  <c r="B769" i="4"/>
  <c r="A770" i="4"/>
  <c r="B770" i="4"/>
  <c r="A771" i="4"/>
  <c r="B771" i="4"/>
  <c r="A772" i="4"/>
  <c r="B772" i="4"/>
  <c r="A773" i="4"/>
  <c r="B773" i="4"/>
  <c r="A774" i="4"/>
  <c r="B774" i="4"/>
  <c r="A775" i="4"/>
  <c r="B775" i="4"/>
  <c r="A776" i="4"/>
  <c r="B776" i="4"/>
  <c r="A777" i="4"/>
  <c r="B777" i="4"/>
  <c r="A778" i="4"/>
  <c r="B778" i="4"/>
  <c r="A779" i="4"/>
  <c r="B779" i="4"/>
  <c r="A780" i="4"/>
  <c r="B780" i="4"/>
  <c r="A781" i="4"/>
  <c r="B781" i="4"/>
  <c r="A782" i="4"/>
  <c r="B782" i="4"/>
  <c r="A783" i="4"/>
  <c r="B783" i="4"/>
  <c r="A784" i="4"/>
  <c r="B784" i="4"/>
  <c r="A785" i="4"/>
  <c r="B785" i="4"/>
  <c r="A786" i="4"/>
  <c r="B786" i="4"/>
  <c r="A787" i="4"/>
  <c r="B787" i="4"/>
  <c r="A788" i="4"/>
  <c r="B788" i="4"/>
  <c r="A789" i="4"/>
  <c r="B789" i="4"/>
  <c r="A790" i="4"/>
  <c r="B790" i="4"/>
  <c r="A791" i="4"/>
  <c r="B791" i="4"/>
  <c r="A792" i="4"/>
  <c r="B792" i="4"/>
  <c r="A793" i="4"/>
  <c r="B793" i="4"/>
  <c r="A794" i="4"/>
  <c r="B794" i="4"/>
  <c r="A795" i="4"/>
  <c r="B795" i="4"/>
  <c r="A796" i="4"/>
  <c r="B796" i="4"/>
  <c r="A797" i="4"/>
  <c r="B797" i="4"/>
  <c r="A798" i="4"/>
  <c r="B798" i="4"/>
  <c r="A799" i="4"/>
  <c r="B799" i="4"/>
  <c r="A800" i="4"/>
  <c r="B800" i="4"/>
  <c r="A801" i="4"/>
  <c r="B801" i="4"/>
  <c r="A802" i="4"/>
  <c r="B802" i="4"/>
  <c r="A803" i="4"/>
  <c r="B803" i="4"/>
  <c r="A804" i="4"/>
  <c r="B804" i="4"/>
  <c r="A805" i="4"/>
  <c r="B805" i="4"/>
  <c r="A806" i="4"/>
  <c r="B806" i="4"/>
  <c r="A807" i="4"/>
  <c r="B807" i="4"/>
  <c r="A808" i="4"/>
  <c r="B808" i="4"/>
  <c r="A809" i="4"/>
  <c r="B809" i="4"/>
  <c r="A810" i="4"/>
  <c r="B810" i="4"/>
  <c r="A811" i="4"/>
  <c r="B811" i="4"/>
  <c r="A812" i="4"/>
  <c r="B812" i="4"/>
  <c r="A813" i="4"/>
  <c r="B813" i="4"/>
  <c r="A814" i="4"/>
  <c r="B814" i="4"/>
  <c r="A815" i="4"/>
  <c r="B815" i="4"/>
  <c r="A816" i="4"/>
  <c r="B816" i="4"/>
  <c r="A817" i="4"/>
  <c r="B817" i="4"/>
  <c r="A818" i="4"/>
  <c r="B818" i="4"/>
  <c r="A819" i="4"/>
  <c r="B819" i="4"/>
  <c r="A820" i="4"/>
  <c r="B820" i="4"/>
  <c r="A821" i="4"/>
  <c r="B821" i="4"/>
  <c r="A822" i="4"/>
  <c r="B822" i="4"/>
  <c r="A823" i="4"/>
  <c r="B823" i="4"/>
  <c r="A824" i="4"/>
  <c r="B824" i="4"/>
  <c r="A825" i="4"/>
  <c r="B825" i="4"/>
  <c r="A826" i="4"/>
  <c r="B826" i="4"/>
  <c r="A827" i="4"/>
  <c r="B827" i="4"/>
  <c r="A828" i="4"/>
  <c r="B828" i="4"/>
  <c r="A829" i="4"/>
  <c r="B829" i="4"/>
  <c r="A830" i="4"/>
  <c r="B830" i="4"/>
  <c r="A831" i="4"/>
  <c r="B831" i="4"/>
  <c r="A832" i="4"/>
  <c r="B832" i="4"/>
  <c r="A833" i="4"/>
  <c r="B833" i="4"/>
  <c r="A834" i="4"/>
  <c r="B834" i="4"/>
  <c r="A835" i="4"/>
  <c r="B835" i="4"/>
  <c r="A836" i="4"/>
  <c r="B836" i="4"/>
  <c r="A837" i="4"/>
  <c r="B837" i="4"/>
  <c r="A838" i="4"/>
  <c r="B838" i="4"/>
  <c r="A839" i="4"/>
  <c r="B839" i="4"/>
  <c r="A840" i="4"/>
  <c r="B840" i="4"/>
  <c r="A841" i="4"/>
  <c r="B841" i="4"/>
  <c r="A842" i="4"/>
  <c r="B842" i="4"/>
  <c r="A843" i="4"/>
  <c r="B843" i="4"/>
  <c r="A844" i="4"/>
  <c r="B844" i="4"/>
  <c r="A845" i="4"/>
  <c r="B845" i="4"/>
  <c r="A846" i="4"/>
  <c r="B846" i="4"/>
  <c r="A847" i="4"/>
  <c r="B847" i="4"/>
  <c r="A848" i="4"/>
  <c r="B848" i="4"/>
  <c r="A849" i="4"/>
  <c r="B849" i="4"/>
  <c r="A850" i="4"/>
  <c r="B850" i="4"/>
  <c r="A851" i="4"/>
  <c r="B851" i="4"/>
  <c r="A852" i="4"/>
  <c r="B852" i="4"/>
  <c r="A853" i="4"/>
  <c r="B853" i="4"/>
  <c r="A854" i="4"/>
  <c r="B854" i="4"/>
  <c r="A855" i="4"/>
  <c r="B855" i="4"/>
  <c r="A856" i="4"/>
  <c r="B856" i="4"/>
  <c r="A857" i="4"/>
  <c r="B857" i="4"/>
  <c r="A858" i="4"/>
  <c r="B858" i="4"/>
  <c r="A859" i="4"/>
  <c r="B859" i="4"/>
  <c r="A860" i="4"/>
  <c r="B860" i="4"/>
  <c r="A861" i="4"/>
  <c r="B861" i="4"/>
  <c r="A862" i="4"/>
  <c r="B862" i="4"/>
  <c r="A863" i="4"/>
  <c r="B863" i="4"/>
  <c r="A864" i="4"/>
  <c r="B864" i="4"/>
  <c r="A865" i="4"/>
  <c r="B865" i="4"/>
  <c r="A866" i="4"/>
  <c r="B866" i="4"/>
  <c r="A867" i="4"/>
  <c r="B867" i="4"/>
  <c r="A868" i="4"/>
  <c r="B868" i="4"/>
  <c r="A869" i="4"/>
  <c r="B869" i="4"/>
  <c r="A870" i="4"/>
  <c r="B870" i="4"/>
  <c r="A871" i="4"/>
  <c r="B871" i="4"/>
  <c r="A872" i="4"/>
  <c r="B872" i="4"/>
  <c r="A873" i="4"/>
  <c r="B873" i="4"/>
  <c r="A874" i="4"/>
  <c r="B874" i="4"/>
  <c r="A875" i="4"/>
  <c r="B875" i="4"/>
  <c r="A876" i="4"/>
  <c r="B876" i="4"/>
  <c r="A877" i="4"/>
  <c r="B877" i="4"/>
  <c r="A878" i="4"/>
  <c r="B878" i="4"/>
  <c r="A879" i="4"/>
  <c r="B879" i="4"/>
  <c r="A880" i="4"/>
  <c r="B880" i="4"/>
  <c r="A881" i="4"/>
  <c r="B881" i="4"/>
  <c r="A882" i="4"/>
  <c r="B882" i="4"/>
  <c r="A883" i="4"/>
  <c r="B883" i="4"/>
  <c r="A884" i="4"/>
  <c r="B884" i="4"/>
  <c r="A885" i="4"/>
  <c r="B885" i="4"/>
  <c r="A886" i="4"/>
  <c r="B886" i="4"/>
  <c r="A887" i="4"/>
  <c r="B887" i="4"/>
  <c r="A888" i="4"/>
  <c r="B888" i="4"/>
  <c r="A889" i="4"/>
  <c r="B889" i="4"/>
  <c r="A890" i="4"/>
  <c r="B890" i="4"/>
  <c r="A891" i="4"/>
  <c r="B891" i="4"/>
  <c r="A892" i="4"/>
  <c r="B892" i="4"/>
  <c r="A893" i="4"/>
  <c r="B893" i="4"/>
  <c r="A894" i="4"/>
  <c r="B894" i="4"/>
  <c r="A895" i="4"/>
  <c r="B895" i="4"/>
  <c r="A896" i="4"/>
  <c r="B896" i="4"/>
  <c r="A897" i="4"/>
  <c r="B897" i="4"/>
  <c r="A898" i="4"/>
  <c r="B898" i="4"/>
  <c r="A899" i="4"/>
  <c r="B899" i="4"/>
  <c r="A900" i="4"/>
  <c r="B900" i="4"/>
  <c r="A901" i="4"/>
  <c r="B901" i="4"/>
  <c r="A902" i="4"/>
  <c r="B902" i="4"/>
  <c r="A903" i="4"/>
  <c r="B903" i="4"/>
  <c r="A904" i="4"/>
  <c r="B904" i="4"/>
  <c r="A905" i="4"/>
  <c r="B905" i="4"/>
  <c r="A906" i="4"/>
  <c r="B906" i="4"/>
  <c r="A907" i="4"/>
  <c r="B907" i="4"/>
  <c r="A908" i="4"/>
  <c r="B908" i="4"/>
  <c r="A909" i="4"/>
  <c r="B909" i="4"/>
  <c r="A910" i="4"/>
  <c r="B910" i="4"/>
  <c r="A911" i="4"/>
  <c r="B911" i="4"/>
  <c r="A912" i="4"/>
  <c r="B912" i="4"/>
  <c r="A913" i="4"/>
  <c r="B913" i="4"/>
  <c r="A914" i="4"/>
  <c r="B914" i="4"/>
  <c r="A915" i="4"/>
  <c r="B915" i="4"/>
  <c r="A916" i="4"/>
  <c r="B916" i="4"/>
  <c r="A917" i="4"/>
  <c r="B917" i="4"/>
  <c r="A918" i="4"/>
  <c r="B918" i="4"/>
  <c r="A919" i="4"/>
  <c r="B919" i="4"/>
  <c r="A920" i="4"/>
  <c r="B920" i="4"/>
  <c r="A921" i="4"/>
  <c r="B921" i="4"/>
  <c r="A922" i="4"/>
  <c r="B922" i="4"/>
  <c r="A923" i="4"/>
  <c r="B923" i="4"/>
  <c r="A924" i="4"/>
  <c r="B924" i="4"/>
  <c r="A925" i="4"/>
  <c r="B925" i="4"/>
  <c r="A926" i="4"/>
  <c r="B926" i="4"/>
  <c r="A927" i="4"/>
  <c r="B927" i="4"/>
  <c r="A928" i="4"/>
  <c r="B928" i="4"/>
  <c r="A929" i="4"/>
  <c r="B929" i="4"/>
  <c r="A930" i="4"/>
  <c r="B930" i="4"/>
  <c r="A931" i="4"/>
  <c r="B931" i="4"/>
  <c r="A932" i="4"/>
  <c r="B932" i="4"/>
  <c r="A933" i="4"/>
  <c r="B933" i="4"/>
  <c r="A934" i="4"/>
  <c r="B934" i="4"/>
  <c r="A935" i="4"/>
  <c r="B935" i="4"/>
  <c r="A936" i="4"/>
  <c r="B936" i="4"/>
  <c r="A937" i="4"/>
  <c r="B937" i="4"/>
  <c r="A938" i="4"/>
  <c r="B938" i="4"/>
  <c r="A939" i="4"/>
  <c r="B939" i="4"/>
  <c r="A940" i="4"/>
  <c r="B940" i="4"/>
  <c r="A941" i="4"/>
  <c r="B941" i="4"/>
  <c r="A942" i="4"/>
  <c r="B942" i="4"/>
  <c r="A943" i="4"/>
  <c r="B943" i="4"/>
  <c r="A944" i="4"/>
  <c r="B944" i="4"/>
  <c r="A945" i="4"/>
  <c r="B945" i="4"/>
  <c r="A946" i="4"/>
  <c r="B946" i="4"/>
  <c r="A947" i="4"/>
  <c r="B947" i="4"/>
  <c r="A948" i="4"/>
  <c r="B948" i="4"/>
  <c r="A949" i="4"/>
  <c r="B949" i="4"/>
  <c r="A950" i="4"/>
  <c r="B950" i="4"/>
  <c r="A951" i="4"/>
  <c r="B951" i="4"/>
  <c r="A952" i="4"/>
  <c r="B952" i="4"/>
  <c r="A953" i="4"/>
  <c r="B953" i="4"/>
  <c r="A954" i="4"/>
  <c r="B954" i="4"/>
  <c r="A955" i="4"/>
  <c r="B955" i="4"/>
  <c r="A956" i="4"/>
  <c r="B956" i="4"/>
  <c r="A957" i="4"/>
  <c r="B957" i="4"/>
  <c r="A958" i="4"/>
  <c r="B958" i="4"/>
  <c r="A959" i="4"/>
  <c r="B959" i="4"/>
  <c r="A960" i="4"/>
  <c r="B960" i="4"/>
  <c r="A961" i="4"/>
  <c r="B961" i="4"/>
  <c r="A962" i="4"/>
  <c r="B962" i="4"/>
  <c r="A963" i="4"/>
  <c r="B963" i="4"/>
  <c r="A964" i="4"/>
  <c r="B964" i="4"/>
  <c r="A965" i="4"/>
  <c r="B965" i="4"/>
  <c r="A966" i="4"/>
  <c r="B966" i="4"/>
  <c r="A967" i="4"/>
  <c r="B967" i="4"/>
  <c r="A968" i="4"/>
  <c r="B968" i="4"/>
  <c r="A969" i="4"/>
  <c r="B969" i="4"/>
  <c r="A970" i="4"/>
  <c r="B970" i="4"/>
  <c r="A971" i="4"/>
  <c r="B971" i="4"/>
  <c r="A972" i="4"/>
  <c r="B972" i="4"/>
  <c r="A973" i="4"/>
  <c r="B973" i="4"/>
  <c r="A974" i="4"/>
  <c r="B974" i="4"/>
  <c r="A975" i="4"/>
  <c r="B975" i="4"/>
  <c r="A976" i="4"/>
  <c r="B976" i="4"/>
  <c r="A977" i="4"/>
  <c r="B977" i="4"/>
  <c r="A978" i="4"/>
  <c r="B978" i="4"/>
  <c r="A979" i="4"/>
  <c r="B979" i="4"/>
  <c r="A980" i="4"/>
  <c r="B980" i="4"/>
  <c r="A981" i="4"/>
  <c r="B981" i="4"/>
  <c r="A982" i="4"/>
  <c r="B982" i="4"/>
  <c r="A983" i="4"/>
  <c r="B983" i="4"/>
  <c r="A984" i="4"/>
  <c r="B984" i="4"/>
  <c r="A985" i="4"/>
  <c r="B985" i="4"/>
  <c r="A986" i="4"/>
  <c r="B986" i="4"/>
  <c r="A987" i="4"/>
  <c r="B987" i="4"/>
  <c r="A988" i="4"/>
  <c r="B988" i="4"/>
  <c r="A989" i="4"/>
  <c r="B989" i="4"/>
  <c r="A990" i="4"/>
  <c r="B990" i="4"/>
  <c r="A991" i="4"/>
  <c r="B991" i="4"/>
  <c r="A992" i="4"/>
  <c r="B992" i="4"/>
  <c r="A993" i="4"/>
  <c r="B993" i="4"/>
  <c r="A994" i="4"/>
  <c r="B994" i="4"/>
  <c r="A995" i="4"/>
  <c r="B995" i="4"/>
  <c r="A996" i="4"/>
  <c r="B996" i="4"/>
  <c r="A997" i="4"/>
  <c r="B997" i="4"/>
  <c r="A998" i="4"/>
  <c r="B998" i="4"/>
  <c r="A999" i="4"/>
  <c r="B999" i="4"/>
  <c r="A1000" i="4"/>
  <c r="B1000" i="4"/>
  <c r="A1001" i="4"/>
  <c r="B1001" i="4"/>
  <c r="A1002" i="4"/>
  <c r="B1002" i="4"/>
  <c r="A1003" i="4"/>
  <c r="B1003" i="4"/>
  <c r="A1004" i="4"/>
  <c r="B1004" i="4"/>
  <c r="A1005" i="4"/>
  <c r="B1005" i="4"/>
  <c r="A1006" i="4"/>
  <c r="B1006" i="4"/>
  <c r="A1007" i="4"/>
  <c r="B1007" i="4"/>
  <c r="A1008" i="4"/>
  <c r="B1008" i="4"/>
  <c r="A1009" i="4"/>
  <c r="B1009" i="4"/>
  <c r="A1010" i="4"/>
  <c r="B1010" i="4"/>
  <c r="A1011" i="4"/>
  <c r="B1011" i="4"/>
  <c r="A1012" i="4"/>
  <c r="B1012" i="4"/>
  <c r="A1013" i="4"/>
  <c r="B1013" i="4"/>
  <c r="A1014" i="4"/>
  <c r="B1014" i="4"/>
  <c r="A1015" i="4"/>
  <c r="B1015" i="4"/>
  <c r="A1016" i="4"/>
  <c r="B1016" i="4"/>
  <c r="A1017" i="4"/>
  <c r="B1017" i="4"/>
  <c r="A1018" i="4"/>
  <c r="B1018" i="4"/>
  <c r="A1019" i="4"/>
  <c r="B1019" i="4"/>
  <c r="A1020" i="4"/>
  <c r="B1020" i="4"/>
  <c r="A1021" i="4"/>
  <c r="B1021" i="4"/>
  <c r="A1022" i="4"/>
  <c r="B1022" i="4"/>
  <c r="A1023" i="4"/>
  <c r="B1023" i="4"/>
  <c r="A1024" i="4"/>
  <c r="B1024" i="4"/>
  <c r="A1025" i="4"/>
  <c r="B1025" i="4"/>
  <c r="A1026" i="4"/>
  <c r="B1026" i="4"/>
  <c r="A1027" i="4"/>
  <c r="B1027" i="4"/>
  <c r="A1028" i="4"/>
  <c r="B1028" i="4"/>
  <c r="A1029" i="4"/>
  <c r="B1029" i="4"/>
  <c r="A1030" i="4"/>
  <c r="B1030" i="4"/>
  <c r="A1031" i="4"/>
  <c r="B1031" i="4"/>
  <c r="A1032" i="4"/>
  <c r="B1032" i="4"/>
  <c r="A1033" i="4"/>
  <c r="B1033" i="4"/>
  <c r="A1034" i="4"/>
  <c r="B1034" i="4"/>
  <c r="A1035" i="4"/>
  <c r="B1035" i="4"/>
  <c r="A1036" i="4"/>
  <c r="B1036" i="4"/>
  <c r="A1037" i="4"/>
  <c r="B1037" i="4"/>
  <c r="A1038" i="4"/>
  <c r="B1038" i="4"/>
  <c r="A1039" i="4"/>
  <c r="B1039" i="4"/>
  <c r="A1040" i="4"/>
  <c r="B1040" i="4"/>
  <c r="A1041" i="4"/>
  <c r="B1041" i="4"/>
  <c r="A1042" i="4"/>
  <c r="B1042" i="4"/>
  <c r="A1043" i="4"/>
  <c r="B1043" i="4"/>
  <c r="A1044" i="4"/>
  <c r="B1044" i="4"/>
  <c r="A1045" i="4"/>
  <c r="B1045" i="4"/>
  <c r="A1046" i="4"/>
  <c r="B1046" i="4"/>
  <c r="A1047" i="4"/>
  <c r="B1047" i="4"/>
  <c r="A1048" i="4"/>
  <c r="B1048" i="4"/>
  <c r="A1049" i="4"/>
  <c r="B1049" i="4"/>
  <c r="A1050" i="4"/>
  <c r="B1050" i="4"/>
  <c r="A1051" i="4"/>
  <c r="B1051" i="4"/>
  <c r="A1052" i="4"/>
  <c r="B1052" i="4"/>
  <c r="A1053" i="4"/>
  <c r="B1053" i="4"/>
  <c r="A1054" i="4"/>
  <c r="B1054" i="4"/>
  <c r="A1055" i="4"/>
  <c r="B1055" i="4"/>
  <c r="A1056" i="4"/>
  <c r="B1056" i="4"/>
  <c r="A1057" i="4"/>
  <c r="B1057" i="4"/>
  <c r="A1058" i="4"/>
  <c r="B1058" i="4"/>
  <c r="A1059" i="4"/>
  <c r="B1059" i="4"/>
  <c r="A1060" i="4"/>
  <c r="B1060" i="4"/>
  <c r="A1061" i="4"/>
  <c r="B1061" i="4"/>
  <c r="A1062" i="4"/>
  <c r="B1062" i="4"/>
  <c r="A1063" i="4"/>
  <c r="B1063" i="4"/>
  <c r="A1064" i="4"/>
  <c r="B1064" i="4"/>
  <c r="A1065" i="4"/>
  <c r="B1065" i="4"/>
  <c r="A1066" i="4"/>
  <c r="B1066" i="4"/>
  <c r="A1067" i="4"/>
  <c r="B1067" i="4"/>
  <c r="A1068" i="4"/>
  <c r="B1068" i="4"/>
  <c r="A1069" i="4"/>
  <c r="B1069" i="4"/>
  <c r="A1070" i="4"/>
  <c r="B1070" i="4"/>
  <c r="A1071" i="4"/>
  <c r="B1071" i="4"/>
  <c r="A1072" i="4"/>
  <c r="B1072" i="4"/>
  <c r="A1073" i="4"/>
  <c r="B1073" i="4"/>
  <c r="A1074" i="4"/>
  <c r="B1074" i="4"/>
  <c r="A1075" i="4"/>
  <c r="B1075" i="4"/>
  <c r="A1076" i="4"/>
  <c r="B1076" i="4"/>
  <c r="A1077" i="4"/>
  <c r="B1077" i="4"/>
  <c r="A1078" i="4"/>
  <c r="B1078" i="4"/>
  <c r="A1079" i="4"/>
  <c r="B1079" i="4"/>
  <c r="A1080" i="4"/>
  <c r="B1080" i="4"/>
  <c r="A1081" i="4"/>
  <c r="B1081" i="4"/>
  <c r="A1082" i="4"/>
  <c r="B1082" i="4"/>
  <c r="A1083" i="4"/>
  <c r="B1083" i="4"/>
  <c r="A1084" i="4"/>
  <c r="B1084" i="4"/>
  <c r="A1085" i="4"/>
  <c r="B1085" i="4"/>
  <c r="A1086" i="4"/>
  <c r="B1086" i="4"/>
  <c r="A1087" i="4"/>
  <c r="B1087" i="4"/>
  <c r="A1088" i="4"/>
  <c r="B1088" i="4"/>
  <c r="A1089" i="4"/>
  <c r="B1089" i="4"/>
  <c r="A1090" i="4"/>
  <c r="B1090" i="4"/>
  <c r="A1091" i="4"/>
  <c r="B1091" i="4"/>
  <c r="A1092" i="4"/>
  <c r="B1092" i="4"/>
  <c r="A1093" i="4"/>
  <c r="B1093" i="4"/>
  <c r="A1094" i="4"/>
  <c r="B1094" i="4"/>
  <c r="A1095" i="4"/>
  <c r="B1095" i="4"/>
  <c r="A1096" i="4"/>
  <c r="B1096" i="4"/>
  <c r="A1097" i="4"/>
  <c r="B1097" i="4"/>
  <c r="A1098" i="4"/>
  <c r="B1098" i="4"/>
  <c r="A1099" i="4"/>
  <c r="B1099" i="4"/>
  <c r="A1100" i="4"/>
  <c r="B1100" i="4"/>
  <c r="A1101" i="4"/>
  <c r="B1101" i="4"/>
  <c r="A1102" i="4"/>
  <c r="B1102" i="4"/>
  <c r="A1103" i="4"/>
  <c r="B1103" i="4"/>
  <c r="A1104" i="4"/>
  <c r="B1104" i="4"/>
  <c r="A1105" i="4"/>
  <c r="B1105" i="4"/>
  <c r="A1106" i="4"/>
  <c r="B1106" i="4"/>
  <c r="A1107" i="4"/>
  <c r="B1107" i="4"/>
  <c r="A1108" i="4"/>
  <c r="B1108" i="4"/>
  <c r="A1109" i="4"/>
  <c r="B1109" i="4"/>
  <c r="A1110" i="4"/>
  <c r="B1110" i="4"/>
  <c r="A1111" i="4"/>
  <c r="B1111" i="4"/>
  <c r="A1112" i="4"/>
  <c r="B1112" i="4"/>
  <c r="A1113" i="4"/>
  <c r="B1113" i="4"/>
  <c r="A1114" i="4"/>
  <c r="B1114" i="4"/>
  <c r="A1115" i="4"/>
  <c r="B1115" i="4"/>
  <c r="A1116" i="4"/>
  <c r="B1116" i="4"/>
  <c r="A1117" i="4"/>
  <c r="B1117" i="4"/>
  <c r="A1118" i="4"/>
  <c r="B1118" i="4"/>
  <c r="A1119" i="4"/>
  <c r="B1119" i="4"/>
  <c r="A1120" i="4"/>
  <c r="B1120" i="4"/>
  <c r="A1121" i="4"/>
  <c r="B1121" i="4"/>
  <c r="A1122" i="4"/>
  <c r="B1122" i="4"/>
  <c r="A1123" i="4"/>
  <c r="B1123" i="4"/>
  <c r="A1124" i="4"/>
  <c r="B1124" i="4"/>
  <c r="A1125" i="4"/>
  <c r="B1125" i="4"/>
  <c r="A1126" i="4"/>
  <c r="B1126" i="4"/>
  <c r="A1127" i="4"/>
  <c r="B1127" i="4"/>
  <c r="A1128" i="4"/>
  <c r="B1128" i="4"/>
  <c r="A1129" i="4"/>
  <c r="B1129" i="4"/>
  <c r="A1130" i="4"/>
  <c r="B1130" i="4"/>
  <c r="A1131" i="4"/>
  <c r="B1131" i="4"/>
  <c r="A1132" i="4"/>
  <c r="B1132" i="4"/>
  <c r="A1133" i="4"/>
  <c r="B1133" i="4"/>
  <c r="A1134" i="4"/>
  <c r="B1134" i="4"/>
  <c r="A1135" i="4"/>
  <c r="B1135" i="4"/>
  <c r="A1136" i="4"/>
  <c r="B1136" i="4"/>
  <c r="A1137" i="4"/>
  <c r="B1137" i="4"/>
  <c r="A1138" i="4"/>
  <c r="B1138" i="4"/>
  <c r="A1139" i="4"/>
  <c r="B1139" i="4"/>
  <c r="A1140" i="4"/>
  <c r="B1140" i="4"/>
  <c r="A1141" i="4"/>
  <c r="B1141" i="4"/>
  <c r="A1142" i="4"/>
  <c r="B1142" i="4"/>
  <c r="A1143" i="4"/>
  <c r="B1143" i="4"/>
  <c r="A1144" i="4"/>
  <c r="B1144" i="4"/>
  <c r="A1145" i="4"/>
  <c r="B1145" i="4"/>
  <c r="A1146" i="4"/>
  <c r="B1146" i="4"/>
  <c r="A1147" i="4"/>
  <c r="B1147" i="4"/>
  <c r="A1148" i="4"/>
  <c r="B1148" i="4"/>
  <c r="A1149" i="4"/>
  <c r="B1149" i="4"/>
  <c r="A1150" i="4"/>
  <c r="B1150" i="4"/>
  <c r="A1151" i="4"/>
  <c r="B1151" i="4"/>
  <c r="A1152" i="4"/>
  <c r="B1152" i="4"/>
  <c r="A1153" i="4"/>
  <c r="B1153" i="4"/>
  <c r="A1154" i="4"/>
  <c r="B1154" i="4"/>
  <c r="A1155" i="4"/>
  <c r="B1155" i="4"/>
  <c r="A1156" i="4"/>
  <c r="B1156" i="4"/>
  <c r="A1157" i="4"/>
  <c r="B1157" i="4"/>
  <c r="A1158" i="4"/>
  <c r="B1158" i="4"/>
  <c r="A1159" i="4"/>
  <c r="B1159" i="4"/>
  <c r="A1160" i="4"/>
  <c r="B1160" i="4"/>
  <c r="A1161" i="4"/>
  <c r="B1161" i="4"/>
  <c r="A1162" i="4"/>
  <c r="B1162" i="4"/>
  <c r="A1163" i="4"/>
  <c r="B1163" i="4"/>
  <c r="A1164" i="4"/>
  <c r="B1164" i="4"/>
  <c r="A1165" i="4"/>
  <c r="B1165" i="4"/>
  <c r="A1166" i="4"/>
  <c r="B1166" i="4"/>
  <c r="A1167" i="4"/>
  <c r="B1167" i="4"/>
  <c r="A1168" i="4"/>
  <c r="B1168" i="4"/>
  <c r="A1169" i="4"/>
  <c r="B1169" i="4"/>
  <c r="A1170" i="4"/>
  <c r="B1170" i="4"/>
  <c r="A1171" i="4"/>
  <c r="B1171" i="4"/>
  <c r="A1172" i="4"/>
  <c r="B1172" i="4"/>
  <c r="A1173" i="4"/>
  <c r="B1173" i="4"/>
  <c r="A1174" i="4"/>
  <c r="B1174" i="4"/>
  <c r="A1175" i="4"/>
  <c r="B1175" i="4"/>
  <c r="A1176" i="4"/>
  <c r="B1176" i="4"/>
  <c r="A1177" i="4"/>
  <c r="B1177" i="4"/>
  <c r="A1178" i="4"/>
  <c r="B1178" i="4"/>
  <c r="A1179" i="4"/>
  <c r="B1179" i="4"/>
  <c r="A1180" i="4"/>
  <c r="B1180" i="4"/>
  <c r="A1181" i="4"/>
  <c r="B1181" i="4"/>
  <c r="A1182" i="4"/>
  <c r="B1182" i="4"/>
  <c r="A1183" i="4"/>
  <c r="B1183" i="4"/>
  <c r="A1184" i="4"/>
  <c r="B1184" i="4"/>
  <c r="A1185" i="4"/>
  <c r="B1185" i="4"/>
  <c r="A1186" i="4"/>
  <c r="B1186" i="4"/>
  <c r="A1187" i="4"/>
  <c r="B1187" i="4"/>
  <c r="A1188" i="4"/>
  <c r="B1188" i="4"/>
  <c r="A1189" i="4"/>
  <c r="B1189" i="4"/>
  <c r="A1190" i="4"/>
  <c r="B1190" i="4"/>
  <c r="A1191" i="4"/>
  <c r="B1191" i="4"/>
  <c r="A1192" i="4"/>
  <c r="B1192" i="4"/>
  <c r="A1193" i="4"/>
  <c r="B1193" i="4"/>
  <c r="A1194" i="4"/>
  <c r="B1194" i="4"/>
  <c r="A1195" i="4"/>
  <c r="B1195" i="4"/>
  <c r="A1196" i="4"/>
  <c r="B1196" i="4"/>
  <c r="A1197" i="4"/>
  <c r="B1197" i="4"/>
  <c r="A1198" i="4"/>
  <c r="B1198" i="4"/>
  <c r="A1199" i="4"/>
  <c r="B1199" i="4"/>
  <c r="A1200" i="4"/>
  <c r="B1200" i="4"/>
  <c r="A1201" i="4"/>
  <c r="B1201" i="4"/>
  <c r="A1202" i="4"/>
  <c r="B1202" i="4"/>
  <c r="A1203" i="4"/>
  <c r="B1203" i="4"/>
  <c r="A1204" i="4"/>
  <c r="B1204" i="4"/>
  <c r="A1205" i="4"/>
  <c r="B1205" i="4"/>
  <c r="A1206" i="4"/>
  <c r="B1206" i="4"/>
  <c r="A1207" i="4"/>
  <c r="B1207" i="4"/>
  <c r="A1208" i="4"/>
  <c r="B1208" i="4"/>
  <c r="A1209" i="4"/>
  <c r="B1209" i="4"/>
  <c r="A1210" i="4"/>
  <c r="B1210" i="4"/>
  <c r="A1211" i="4"/>
  <c r="B1211" i="4"/>
  <c r="A1212" i="4"/>
  <c r="B1212" i="4"/>
  <c r="A1213" i="4"/>
  <c r="B1213" i="4"/>
  <c r="A1214" i="4"/>
  <c r="B1214" i="4"/>
  <c r="A1215" i="4"/>
  <c r="B1215" i="4"/>
  <c r="A1216" i="4"/>
  <c r="B1216" i="4"/>
  <c r="A1217" i="4"/>
  <c r="B1217" i="4"/>
  <c r="A1218" i="4"/>
  <c r="B1218" i="4"/>
  <c r="A1219" i="4"/>
  <c r="B1219" i="4"/>
  <c r="A1220" i="4"/>
  <c r="B1220" i="4"/>
  <c r="A1221" i="4"/>
  <c r="B1221" i="4"/>
  <c r="A1222" i="4"/>
  <c r="B1222" i="4"/>
  <c r="A1223" i="4"/>
  <c r="B1223" i="4"/>
  <c r="A1224" i="4"/>
  <c r="B1224" i="4"/>
  <c r="A1225" i="4"/>
  <c r="B1225" i="4"/>
  <c r="A1226" i="4"/>
  <c r="B1226" i="4"/>
  <c r="A1227" i="4"/>
  <c r="B1227" i="4"/>
  <c r="A1228" i="4"/>
  <c r="B1228" i="4"/>
  <c r="A1229" i="4"/>
  <c r="B1229" i="4"/>
  <c r="A1230" i="4"/>
  <c r="B1230" i="4"/>
  <c r="A1231" i="4"/>
  <c r="B1231" i="4"/>
  <c r="A1232" i="4"/>
  <c r="B1232" i="4"/>
  <c r="A1233" i="4"/>
  <c r="B1233" i="4"/>
  <c r="A1234" i="4"/>
  <c r="B1234" i="4"/>
  <c r="A1235" i="4"/>
  <c r="B1235" i="4"/>
  <c r="A1236" i="4"/>
  <c r="B1236" i="4"/>
  <c r="A1237" i="4"/>
  <c r="B1237" i="4"/>
  <c r="A1238" i="4"/>
  <c r="B1238" i="4"/>
  <c r="A1239" i="4"/>
  <c r="B1239" i="4"/>
  <c r="A1240" i="4"/>
  <c r="B1240" i="4"/>
  <c r="A1241" i="4"/>
  <c r="B1241" i="4"/>
  <c r="A1242" i="4"/>
  <c r="B1242" i="4"/>
  <c r="A1243" i="4"/>
  <c r="B1243" i="4"/>
  <c r="A1244" i="4"/>
  <c r="B1244" i="4"/>
  <c r="A1245" i="4"/>
  <c r="B1245" i="4"/>
  <c r="A1246" i="4"/>
  <c r="B1246" i="4"/>
  <c r="A1247" i="4"/>
  <c r="B1247" i="4"/>
  <c r="A1248" i="4"/>
  <c r="B1248" i="4"/>
  <c r="A1249" i="4"/>
  <c r="B1249" i="4"/>
  <c r="A1250" i="4"/>
  <c r="B1250" i="4"/>
  <c r="A1251" i="4"/>
  <c r="B1251" i="4"/>
  <c r="A1252" i="4"/>
  <c r="B1252" i="4"/>
  <c r="A1253" i="4"/>
  <c r="B1253" i="4"/>
  <c r="A1254" i="4"/>
  <c r="B1254" i="4"/>
  <c r="A1255" i="4"/>
  <c r="B1255" i="4"/>
  <c r="A1256" i="4"/>
  <c r="B1256" i="4"/>
  <c r="A1257" i="4"/>
  <c r="B1257" i="4"/>
  <c r="A1258" i="4"/>
  <c r="B1258" i="4"/>
  <c r="A1259" i="4"/>
  <c r="B1259" i="4"/>
  <c r="A1260" i="4"/>
  <c r="B1260" i="4"/>
  <c r="A1261" i="4"/>
  <c r="B1261" i="4"/>
  <c r="A1262" i="4"/>
  <c r="B1262" i="4"/>
  <c r="A1263" i="4"/>
  <c r="B1263" i="4"/>
  <c r="A1264" i="4"/>
  <c r="B1264" i="4"/>
  <c r="A1265" i="4"/>
  <c r="B1265" i="4"/>
  <c r="A1266" i="4"/>
  <c r="B1266" i="4"/>
  <c r="A1267" i="4"/>
  <c r="B1267" i="4"/>
  <c r="A1268" i="4"/>
  <c r="B1268" i="4"/>
  <c r="A1269" i="4"/>
  <c r="B1269" i="4"/>
  <c r="A1270" i="4"/>
  <c r="B1270" i="4"/>
  <c r="A1271" i="4"/>
  <c r="B1271" i="4"/>
  <c r="A1272" i="4"/>
  <c r="B1272" i="4"/>
  <c r="A1273" i="4"/>
  <c r="B1273" i="4"/>
  <c r="A1274" i="4"/>
  <c r="B1274" i="4"/>
  <c r="A1275" i="4"/>
  <c r="B1275" i="4"/>
  <c r="A1276" i="4"/>
  <c r="B1276" i="4"/>
  <c r="A1277" i="4"/>
  <c r="B1277" i="4"/>
  <c r="A1278" i="4"/>
  <c r="B1278" i="4"/>
  <c r="A1279" i="4"/>
  <c r="B1279" i="4"/>
  <c r="A1280" i="4"/>
  <c r="B1280" i="4"/>
  <c r="A1281" i="4"/>
  <c r="B1281" i="4"/>
  <c r="A1282" i="4"/>
  <c r="B1282" i="4"/>
  <c r="A1283" i="4"/>
  <c r="B1283" i="4"/>
  <c r="A1284" i="4"/>
  <c r="B1284" i="4"/>
  <c r="A1285" i="4"/>
  <c r="B1285" i="4"/>
  <c r="A1286" i="4"/>
  <c r="B1286" i="4"/>
  <c r="A1287" i="4"/>
  <c r="B1287" i="4"/>
  <c r="A1288" i="4"/>
  <c r="B1288" i="4"/>
  <c r="A1289" i="4"/>
  <c r="B1289" i="4"/>
  <c r="A1290" i="4"/>
  <c r="B1290" i="4"/>
  <c r="A1291" i="4"/>
  <c r="B1291" i="4"/>
  <c r="A1292" i="4"/>
  <c r="B1292" i="4"/>
  <c r="A1293" i="4"/>
  <c r="B1293" i="4"/>
  <c r="A1294" i="4"/>
  <c r="B1294" i="4"/>
  <c r="A1295" i="4"/>
  <c r="B1295" i="4"/>
  <c r="A1296" i="4"/>
  <c r="B1296" i="4"/>
  <c r="A1297" i="4"/>
  <c r="B1297" i="4"/>
  <c r="A1298" i="4"/>
  <c r="B1298" i="4"/>
  <c r="A1299" i="4"/>
  <c r="B1299" i="4"/>
  <c r="A1300" i="4"/>
  <c r="B1300" i="4"/>
  <c r="A1301" i="4"/>
  <c r="B1301" i="4"/>
  <c r="A1302" i="4"/>
  <c r="B1302" i="4"/>
  <c r="A1303" i="4"/>
  <c r="B1303" i="4"/>
  <c r="A1304" i="4"/>
  <c r="B1304" i="4"/>
  <c r="A1305" i="4"/>
  <c r="B1305" i="4"/>
  <c r="A1306" i="4"/>
  <c r="B1306" i="4"/>
  <c r="A1307" i="4"/>
  <c r="B1307" i="4"/>
  <c r="A1308" i="4"/>
  <c r="B1308" i="4"/>
  <c r="A1309" i="4"/>
  <c r="B1309" i="4"/>
  <c r="A1310" i="4"/>
  <c r="B1310" i="4"/>
  <c r="A1311" i="4"/>
  <c r="B1311" i="4"/>
  <c r="A1312" i="4"/>
  <c r="B1312" i="4"/>
  <c r="A1313" i="4"/>
  <c r="B1313" i="4"/>
  <c r="A1314" i="4"/>
  <c r="B1314" i="4"/>
  <c r="A1315" i="4"/>
  <c r="B1315" i="4"/>
  <c r="A1316" i="4"/>
  <c r="B1316" i="4"/>
  <c r="A1317" i="4"/>
  <c r="B1317" i="4"/>
  <c r="A1318" i="4"/>
  <c r="B1318" i="4"/>
  <c r="A1319" i="4"/>
  <c r="B1319" i="4"/>
  <c r="A1320" i="4"/>
  <c r="B1320" i="4"/>
  <c r="A1321" i="4"/>
  <c r="B1321" i="4"/>
  <c r="A1322" i="4"/>
  <c r="B1322" i="4"/>
  <c r="A1323" i="4"/>
  <c r="B1323" i="4"/>
  <c r="A1324" i="4"/>
  <c r="B1324" i="4"/>
  <c r="A1325" i="4"/>
  <c r="B1325" i="4"/>
  <c r="A1326" i="4"/>
  <c r="B1326" i="4"/>
  <c r="A1327" i="4"/>
  <c r="B1327" i="4"/>
  <c r="A1328" i="4"/>
  <c r="B1328" i="4"/>
  <c r="A1329" i="4"/>
  <c r="B1329" i="4"/>
  <c r="A1330" i="4"/>
  <c r="B1330" i="4"/>
  <c r="A1331" i="4"/>
  <c r="B1331" i="4"/>
  <c r="A1332" i="4"/>
  <c r="B1332" i="4"/>
  <c r="A1333" i="4"/>
  <c r="B1333" i="4"/>
  <c r="A1334" i="4"/>
  <c r="B1334" i="4"/>
  <c r="A1335" i="4"/>
  <c r="B1335" i="4"/>
  <c r="A1336" i="4"/>
  <c r="B1336" i="4"/>
  <c r="A1337" i="4"/>
  <c r="B1337" i="4"/>
  <c r="A1338" i="4"/>
  <c r="B1338" i="4"/>
  <c r="A1339" i="4"/>
  <c r="B1339" i="4"/>
  <c r="A1340" i="4"/>
  <c r="B1340" i="4"/>
  <c r="A1341" i="4"/>
  <c r="B1341" i="4"/>
  <c r="A1342" i="4"/>
  <c r="B1342" i="4"/>
  <c r="A1343" i="4"/>
  <c r="B1343" i="4"/>
  <c r="A1344" i="4"/>
  <c r="B1344" i="4"/>
  <c r="A1345" i="4"/>
  <c r="B1345" i="4"/>
  <c r="A1346" i="4"/>
  <c r="B1346" i="4"/>
  <c r="A1347" i="4"/>
  <c r="B1347" i="4"/>
  <c r="A1348" i="4"/>
  <c r="B1348" i="4"/>
  <c r="A1349" i="4"/>
  <c r="B1349" i="4"/>
  <c r="A1350" i="4"/>
  <c r="B1350" i="4"/>
  <c r="A1351" i="4"/>
  <c r="B1351" i="4"/>
  <c r="A1352" i="4"/>
  <c r="B1352" i="4"/>
  <c r="A1353" i="4"/>
  <c r="B1353" i="4"/>
  <c r="A1354" i="4"/>
  <c r="B1354" i="4"/>
  <c r="A1355" i="4"/>
  <c r="B1355" i="4"/>
  <c r="A1356" i="4"/>
  <c r="B1356" i="4"/>
  <c r="A1357" i="4"/>
  <c r="B1357" i="4"/>
  <c r="A1358" i="4"/>
  <c r="B1358" i="4"/>
  <c r="A1359" i="4"/>
  <c r="B1359" i="4"/>
  <c r="A1360" i="4"/>
  <c r="B1360" i="4"/>
  <c r="A1361" i="4"/>
  <c r="B1361" i="4"/>
  <c r="A1362" i="4"/>
  <c r="B1362" i="4"/>
  <c r="A1363" i="4"/>
  <c r="B1363" i="4"/>
  <c r="A1364" i="4"/>
  <c r="B1364" i="4"/>
  <c r="A1365" i="4"/>
  <c r="B1365" i="4"/>
  <c r="A1366" i="4"/>
  <c r="B1366" i="4"/>
  <c r="A1367" i="4"/>
  <c r="B1367" i="4"/>
  <c r="A1368" i="4"/>
  <c r="B1368" i="4"/>
  <c r="A1369" i="4"/>
  <c r="B1369" i="4"/>
  <c r="A1370" i="4"/>
  <c r="B1370" i="4"/>
  <c r="A1371" i="4"/>
  <c r="B1371" i="4"/>
  <c r="A1372" i="4"/>
  <c r="B1372" i="4"/>
  <c r="A1373" i="4"/>
  <c r="B1373" i="4"/>
  <c r="A1374" i="4"/>
  <c r="B1374" i="4"/>
  <c r="A1375" i="4"/>
  <c r="B1375" i="4"/>
  <c r="A1376" i="4"/>
  <c r="B1376" i="4"/>
  <c r="A1377" i="4"/>
  <c r="B1377" i="4"/>
  <c r="A1378" i="4"/>
  <c r="B1378" i="4"/>
  <c r="A1379" i="4"/>
  <c r="B1379" i="4"/>
  <c r="A1380" i="4"/>
  <c r="B1380" i="4"/>
  <c r="A1381" i="4"/>
  <c r="B1381" i="4"/>
  <c r="A1382" i="4"/>
  <c r="B1382" i="4"/>
  <c r="A1383" i="4"/>
  <c r="B1383" i="4"/>
  <c r="A1384" i="4"/>
  <c r="B1384" i="4"/>
  <c r="A1385" i="4"/>
  <c r="B1385" i="4"/>
  <c r="A1386" i="4"/>
  <c r="B1386" i="4"/>
  <c r="A1387" i="4"/>
  <c r="B1387" i="4"/>
  <c r="A1388" i="4"/>
  <c r="B1388" i="4"/>
  <c r="A1389" i="4"/>
  <c r="B1389" i="4"/>
  <c r="A1390" i="4"/>
  <c r="B1390" i="4"/>
  <c r="A1391" i="4"/>
  <c r="B1391" i="4"/>
  <c r="A1392" i="4"/>
  <c r="B1392" i="4"/>
  <c r="A1393" i="4"/>
  <c r="B1393" i="4"/>
  <c r="A1394" i="4"/>
  <c r="B1394" i="4"/>
  <c r="A1395" i="4"/>
  <c r="B1395" i="4"/>
  <c r="A1396" i="4"/>
  <c r="B1396" i="4"/>
  <c r="A1397" i="4"/>
  <c r="B1397" i="4"/>
  <c r="A1398" i="4"/>
  <c r="B1398" i="4"/>
  <c r="A1399" i="4"/>
  <c r="B1399" i="4"/>
  <c r="A1400" i="4"/>
  <c r="B1400" i="4"/>
  <c r="A1401" i="4"/>
  <c r="B1401" i="4"/>
  <c r="A1402" i="4"/>
  <c r="B1402" i="4"/>
  <c r="A1403" i="4"/>
  <c r="B1403" i="4"/>
  <c r="A1404" i="4"/>
  <c r="B1404" i="4"/>
  <c r="A1405" i="4"/>
  <c r="B1405" i="4"/>
  <c r="A1406" i="4"/>
  <c r="B1406" i="4"/>
  <c r="A1407" i="4"/>
  <c r="B1407" i="4"/>
  <c r="A1408" i="4"/>
  <c r="B1408" i="4"/>
  <c r="A1409" i="4"/>
  <c r="B1409" i="4"/>
  <c r="A1410" i="4"/>
  <c r="B1410" i="4"/>
  <c r="A1411" i="4"/>
  <c r="B1411" i="4"/>
  <c r="A1412" i="4"/>
  <c r="B1412" i="4"/>
  <c r="A1413" i="4"/>
  <c r="B1413" i="4"/>
  <c r="A1414" i="4"/>
  <c r="B1414" i="4"/>
  <c r="A1415" i="4"/>
  <c r="B1415" i="4"/>
  <c r="A1416" i="4"/>
  <c r="B1416" i="4"/>
  <c r="A1417" i="4"/>
  <c r="B1417" i="4"/>
  <c r="A1418" i="4"/>
  <c r="B1418" i="4"/>
  <c r="A1419" i="4"/>
  <c r="B1419" i="4"/>
  <c r="A1420" i="4"/>
  <c r="B1420" i="4"/>
  <c r="A1421" i="4"/>
  <c r="B1421" i="4"/>
  <c r="A1422" i="4"/>
  <c r="B1422" i="4"/>
  <c r="A1423" i="4"/>
  <c r="B1423" i="4"/>
  <c r="A1424" i="4"/>
  <c r="B1424" i="4"/>
  <c r="A1425" i="4"/>
  <c r="B1425" i="4"/>
  <c r="A1426" i="4"/>
  <c r="B1426" i="4"/>
  <c r="A1427" i="4"/>
  <c r="B1427" i="4"/>
  <c r="A1428" i="4"/>
  <c r="B1428" i="4"/>
  <c r="A1429" i="4"/>
  <c r="B1429" i="4"/>
  <c r="A1430" i="4"/>
  <c r="B1430" i="4"/>
  <c r="A1431" i="4"/>
  <c r="B1431" i="4"/>
  <c r="A1432" i="4"/>
  <c r="B1432" i="4"/>
  <c r="A1433" i="4"/>
  <c r="B1433" i="4"/>
  <c r="A1434" i="4"/>
  <c r="B1434" i="4"/>
  <c r="A1435" i="4"/>
  <c r="B1435" i="4"/>
  <c r="A1436" i="4"/>
  <c r="B1436" i="4"/>
  <c r="A1437" i="4"/>
  <c r="B1437" i="4"/>
  <c r="A1438" i="4"/>
  <c r="B1438" i="4"/>
  <c r="A1439" i="4"/>
  <c r="B1439" i="4"/>
  <c r="A1440" i="4"/>
  <c r="B1440" i="4"/>
  <c r="A1441" i="4"/>
  <c r="B1441" i="4"/>
  <c r="B2" i="4"/>
  <c r="A2" i="4"/>
  <c r="B2" i="8"/>
  <c r="B12" i="8" s="1"/>
  <c r="B15" i="8"/>
  <c r="B14" i="8"/>
  <c r="B10" i="8"/>
  <c r="B6" i="8"/>
  <c r="B4" i="8"/>
  <c r="B13" i="8"/>
  <c r="B5" i="8"/>
  <c r="B3" i="8"/>
  <c r="B9" i="8" s="1"/>
  <c r="D3" i="3"/>
  <c r="E3" i="3"/>
  <c r="D4" i="3"/>
  <c r="E4" i="3"/>
  <c r="D5" i="3"/>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B6" i="3"/>
  <c r="G6" i="3" s="1"/>
  <c r="B7" i="3"/>
  <c r="G7" i="3" s="1"/>
  <c r="B8" i="3"/>
  <c r="G8" i="3" s="1"/>
  <c r="B9" i="3"/>
  <c r="G9" i="3" s="1"/>
  <c r="B10" i="3"/>
  <c r="G10" i="3" s="1"/>
  <c r="B11" i="3"/>
  <c r="G11" i="3" s="1"/>
  <c r="B12" i="3"/>
  <c r="G12" i="3" s="1"/>
  <c r="B13" i="3"/>
  <c r="G13" i="3" s="1"/>
  <c r="B14" i="3"/>
  <c r="G14" i="3" s="1"/>
  <c r="B15" i="3"/>
  <c r="G15" i="3" s="1"/>
  <c r="B16" i="3"/>
  <c r="G16" i="3" s="1"/>
  <c r="B17" i="3"/>
  <c r="G17" i="3" s="1"/>
  <c r="B18" i="3"/>
  <c r="G18" i="3" s="1"/>
  <c r="B19" i="3"/>
  <c r="G19" i="3" s="1"/>
  <c r="B20" i="3"/>
  <c r="G20" i="3" s="1"/>
  <c r="B21" i="3"/>
  <c r="G21" i="3" s="1"/>
  <c r="B22" i="3"/>
  <c r="G22" i="3" s="1"/>
  <c r="B23" i="3"/>
  <c r="G23" i="3" s="1"/>
  <c r="B24" i="3"/>
  <c r="G24" i="3" s="1"/>
  <c r="B25" i="3"/>
  <c r="G25" i="3" s="1"/>
  <c r="B26" i="3"/>
  <c r="G26" i="3" s="1"/>
  <c r="B27" i="3"/>
  <c r="G27" i="3" s="1"/>
  <c r="B28" i="3"/>
  <c r="G28" i="3" s="1"/>
  <c r="B29" i="3"/>
  <c r="G29" i="3" s="1"/>
  <c r="B30" i="3"/>
  <c r="G30" i="3" s="1"/>
  <c r="B31" i="3"/>
  <c r="G31" i="3" s="1"/>
  <c r="B3" i="3"/>
  <c r="G3" i="3" s="1"/>
  <c r="B4" i="3"/>
  <c r="G4" i="3" s="1"/>
  <c r="B5" i="3"/>
  <c r="G5" i="3" s="1"/>
  <c r="C3" i="2"/>
  <c r="D3" i="2"/>
  <c r="E3" i="2"/>
  <c r="F3" i="2"/>
  <c r="G3" i="2" s="1"/>
  <c r="C4" i="2"/>
  <c r="D4" i="2"/>
  <c r="E4" i="2"/>
  <c r="F4" i="2"/>
  <c r="G4" i="2" s="1"/>
  <c r="C5" i="2"/>
  <c r="D5" i="2"/>
  <c r="E5" i="2"/>
  <c r="F5" i="2"/>
  <c r="G5" i="2" s="1"/>
  <c r="C6" i="2"/>
  <c r="D6" i="2"/>
  <c r="E6" i="2"/>
  <c r="F6" i="2"/>
  <c r="G6" i="2"/>
  <c r="C7" i="2"/>
  <c r="D7" i="2"/>
  <c r="E7" i="2"/>
  <c r="F7" i="2"/>
  <c r="G7" i="2" s="1"/>
  <c r="C8" i="2"/>
  <c r="D8" i="2"/>
  <c r="E8" i="2"/>
  <c r="F8" i="2"/>
  <c r="G8" i="2"/>
  <c r="C9" i="2"/>
  <c r="D9" i="2"/>
  <c r="E9" i="2"/>
  <c r="F9" i="2"/>
  <c r="G9" i="2"/>
  <c r="C10" i="2"/>
  <c r="D10" i="2"/>
  <c r="E10" i="2"/>
  <c r="F10" i="2"/>
  <c r="G10" i="2"/>
  <c r="C11" i="2"/>
  <c r="D11" i="2"/>
  <c r="E11" i="2"/>
  <c r="F11" i="2"/>
  <c r="G11" i="2" s="1"/>
  <c r="C12" i="2"/>
  <c r="D12" i="2"/>
  <c r="E12" i="2"/>
  <c r="F12" i="2"/>
  <c r="G12" i="2" s="1"/>
  <c r="C13" i="2"/>
  <c r="D13" i="2"/>
  <c r="E13" i="2"/>
  <c r="F13" i="2"/>
  <c r="G13" i="2" s="1"/>
  <c r="C14" i="2"/>
  <c r="D14" i="2"/>
  <c r="E14" i="2"/>
  <c r="F14" i="2"/>
  <c r="G14" i="2"/>
  <c r="C15" i="2"/>
  <c r="D15" i="2"/>
  <c r="E15" i="2"/>
  <c r="F15" i="2"/>
  <c r="G15" i="2" s="1"/>
  <c r="C16" i="2"/>
  <c r="D16" i="2"/>
  <c r="E16" i="2"/>
  <c r="F16" i="2"/>
  <c r="G16" i="2"/>
  <c r="C17" i="2"/>
  <c r="D17" i="2"/>
  <c r="E17" i="2"/>
  <c r="F17" i="2"/>
  <c r="G17" i="2"/>
  <c r="C18" i="2"/>
  <c r="D18" i="2"/>
  <c r="E18" i="2"/>
  <c r="F18" i="2"/>
  <c r="G18" i="2"/>
  <c r="C19" i="2"/>
  <c r="D19" i="2"/>
  <c r="E19" i="2"/>
  <c r="F19" i="2"/>
  <c r="G19" i="2" s="1"/>
  <c r="C20" i="2"/>
  <c r="D20" i="2"/>
  <c r="E20" i="2"/>
  <c r="F20" i="2"/>
  <c r="G20" i="2" s="1"/>
  <c r="C21" i="2"/>
  <c r="D21" i="2"/>
  <c r="E21" i="2"/>
  <c r="F21" i="2"/>
  <c r="G21" i="2" s="1"/>
  <c r="C22" i="2"/>
  <c r="D22" i="2"/>
  <c r="E22" i="2"/>
  <c r="F22" i="2"/>
  <c r="G22" i="2"/>
  <c r="C23" i="2"/>
  <c r="D23" i="2"/>
  <c r="E23" i="2"/>
  <c r="F23" i="2"/>
  <c r="G23" i="2" s="1"/>
  <c r="C24" i="2"/>
  <c r="D24" i="2"/>
  <c r="E24" i="2"/>
  <c r="F24" i="2"/>
  <c r="G24" i="2"/>
  <c r="C25" i="2"/>
  <c r="D25" i="2"/>
  <c r="E25" i="2"/>
  <c r="F25" i="2"/>
  <c r="G25" i="2"/>
  <c r="C26" i="2"/>
  <c r="D26" i="2"/>
  <c r="E26" i="2"/>
  <c r="F26" i="2"/>
  <c r="G26" i="2"/>
  <c r="C27" i="2"/>
  <c r="D27" i="2"/>
  <c r="E27" i="2"/>
  <c r="F27" i="2"/>
  <c r="G27" i="2" s="1"/>
  <c r="C28" i="2"/>
  <c r="D28" i="2"/>
  <c r="E28" i="2"/>
  <c r="F28" i="2"/>
  <c r="G28" i="2" s="1"/>
  <c r="C29" i="2"/>
  <c r="D29" i="2"/>
  <c r="E29" i="2"/>
  <c r="F29" i="2"/>
  <c r="G29" i="2" s="1"/>
  <c r="C30" i="2"/>
  <c r="D30" i="2"/>
  <c r="E30" i="2"/>
  <c r="F30" i="2"/>
  <c r="G30" i="2"/>
  <c r="C31" i="2"/>
  <c r="D31" i="2"/>
  <c r="E31" i="2"/>
  <c r="F31" i="2"/>
  <c r="G31" i="2" s="1"/>
  <c r="C32" i="2"/>
  <c r="D32" i="2"/>
  <c r="E32" i="2"/>
  <c r="F32" i="2"/>
  <c r="G32" i="2"/>
  <c r="C33" i="2"/>
  <c r="D33" i="2"/>
  <c r="E33" i="2"/>
  <c r="F33" i="2"/>
  <c r="G33" i="2"/>
  <c r="C34" i="2"/>
  <c r="D34" i="2"/>
  <c r="E34" i="2"/>
  <c r="F34" i="2"/>
  <c r="G34" i="2"/>
  <c r="C35" i="2"/>
  <c r="D35" i="2"/>
  <c r="E35" i="2"/>
  <c r="F35" i="2"/>
  <c r="G35" i="2" s="1"/>
  <c r="C36" i="2"/>
  <c r="D36" i="2"/>
  <c r="E36" i="2"/>
  <c r="F36" i="2"/>
  <c r="G36" i="2" s="1"/>
  <c r="C37" i="2"/>
  <c r="D37" i="2"/>
  <c r="E37" i="2"/>
  <c r="F37" i="2"/>
  <c r="G37" i="2" s="1"/>
  <c r="C38" i="2"/>
  <c r="D38" i="2"/>
  <c r="E38" i="2"/>
  <c r="F38" i="2"/>
  <c r="G38" i="2"/>
  <c r="C39" i="2"/>
  <c r="D39" i="2"/>
  <c r="E39" i="2"/>
  <c r="F39" i="2"/>
  <c r="G39" i="2" s="1"/>
  <c r="C40" i="2"/>
  <c r="D40" i="2"/>
  <c r="E40" i="2"/>
  <c r="F40" i="2"/>
  <c r="G40" i="2"/>
  <c r="C41" i="2"/>
  <c r="D41" i="2"/>
  <c r="E41" i="2"/>
  <c r="F41" i="2"/>
  <c r="G41" i="2"/>
  <c r="C42" i="2"/>
  <c r="D42" i="2"/>
  <c r="E42" i="2"/>
  <c r="F42" i="2"/>
  <c r="G42" i="2"/>
  <c r="C43" i="2"/>
  <c r="D43" i="2"/>
  <c r="E43" i="2"/>
  <c r="F43" i="2"/>
  <c r="G43" i="2" s="1"/>
  <c r="C44" i="2"/>
  <c r="D44" i="2"/>
  <c r="E44" i="2"/>
  <c r="F44" i="2"/>
  <c r="G44" i="2" s="1"/>
  <c r="C45" i="2"/>
  <c r="D45" i="2"/>
  <c r="E45" i="2"/>
  <c r="F45" i="2"/>
  <c r="G45" i="2" s="1"/>
  <c r="C46" i="2"/>
  <c r="D46" i="2"/>
  <c r="E46" i="2"/>
  <c r="F46" i="2"/>
  <c r="G46" i="2"/>
  <c r="C47" i="2"/>
  <c r="D47" i="2"/>
  <c r="E47" i="2"/>
  <c r="F47" i="2"/>
  <c r="G47" i="2" s="1"/>
  <c r="C48" i="2"/>
  <c r="D48" i="2"/>
  <c r="E48" i="2"/>
  <c r="F48" i="2"/>
  <c r="G48" i="2"/>
  <c r="C49" i="2"/>
  <c r="D49" i="2"/>
  <c r="E49" i="2"/>
  <c r="F49" i="2"/>
  <c r="G49" i="2" s="1"/>
  <c r="C50" i="2"/>
  <c r="D50" i="2"/>
  <c r="E50" i="2"/>
  <c r="F50" i="2"/>
  <c r="G50" i="2"/>
  <c r="C51" i="2"/>
  <c r="D51" i="2"/>
  <c r="E51" i="2"/>
  <c r="F51" i="2"/>
  <c r="G51" i="2" s="1"/>
  <c r="C52" i="2"/>
  <c r="D52" i="2"/>
  <c r="E52" i="2"/>
  <c r="F52" i="2"/>
  <c r="G52" i="2" s="1"/>
  <c r="C53" i="2"/>
  <c r="D53" i="2"/>
  <c r="E53" i="2"/>
  <c r="F53" i="2"/>
  <c r="G53" i="2" s="1"/>
  <c r="C54" i="2"/>
  <c r="D54" i="2"/>
  <c r="E54" i="2"/>
  <c r="F54" i="2"/>
  <c r="G54" i="2"/>
  <c r="C55" i="2"/>
  <c r="D55" i="2"/>
  <c r="E55" i="2"/>
  <c r="F55" i="2"/>
  <c r="G55" i="2" s="1"/>
  <c r="C56" i="2"/>
  <c r="D56" i="2"/>
  <c r="E56" i="2"/>
  <c r="F56" i="2"/>
  <c r="G56" i="2"/>
  <c r="C57" i="2"/>
  <c r="D57" i="2"/>
  <c r="E57" i="2"/>
  <c r="F57" i="2"/>
  <c r="G57" i="2" s="1"/>
  <c r="C58" i="2"/>
  <c r="D58" i="2"/>
  <c r="E58" i="2"/>
  <c r="F58" i="2"/>
  <c r="G58" i="2"/>
  <c r="C59" i="2"/>
  <c r="D59" i="2"/>
  <c r="E59" i="2"/>
  <c r="F59" i="2"/>
  <c r="G59" i="2" s="1"/>
  <c r="C60" i="2"/>
  <c r="D60" i="2"/>
  <c r="E60" i="2"/>
  <c r="F60" i="2"/>
  <c r="G60" i="2" s="1"/>
  <c r="C61" i="2"/>
  <c r="D61" i="2"/>
  <c r="E61" i="2"/>
  <c r="F61" i="2"/>
  <c r="G61" i="2" s="1"/>
  <c r="C62" i="2"/>
  <c r="D62" i="2"/>
  <c r="E62" i="2"/>
  <c r="F62" i="2"/>
  <c r="G62" i="2"/>
  <c r="C63" i="2"/>
  <c r="D63" i="2"/>
  <c r="E63" i="2"/>
  <c r="F63" i="2"/>
  <c r="G63" i="2" s="1"/>
  <c r="C64" i="2"/>
  <c r="D64" i="2"/>
  <c r="E64" i="2"/>
  <c r="F64" i="2"/>
  <c r="G64" i="2"/>
  <c r="C65" i="2"/>
  <c r="D65" i="2"/>
  <c r="E65" i="2"/>
  <c r="F65" i="2"/>
  <c r="G65" i="2" s="1"/>
  <c r="C66" i="2"/>
  <c r="D66" i="2"/>
  <c r="E66" i="2"/>
  <c r="F66" i="2"/>
  <c r="G66" i="2"/>
  <c r="C67" i="2"/>
  <c r="D67" i="2"/>
  <c r="E67" i="2"/>
  <c r="F67" i="2"/>
  <c r="G67" i="2" s="1"/>
  <c r="C68" i="2"/>
  <c r="D68" i="2"/>
  <c r="E68" i="2"/>
  <c r="F68" i="2"/>
  <c r="G68" i="2" s="1"/>
  <c r="C69" i="2"/>
  <c r="D69" i="2"/>
  <c r="E69" i="2"/>
  <c r="F69" i="2"/>
  <c r="G69" i="2" s="1"/>
  <c r="C70" i="2"/>
  <c r="D70" i="2"/>
  <c r="E70" i="2"/>
  <c r="F70" i="2"/>
  <c r="G70" i="2"/>
  <c r="C71" i="2"/>
  <c r="D71" i="2"/>
  <c r="E71" i="2"/>
  <c r="F71" i="2"/>
  <c r="G71" i="2" s="1"/>
  <c r="C72" i="2"/>
  <c r="D72" i="2"/>
  <c r="E72" i="2"/>
  <c r="F72" i="2"/>
  <c r="G72" i="2"/>
  <c r="C73" i="2"/>
  <c r="D73" i="2"/>
  <c r="E73" i="2"/>
  <c r="F73" i="2"/>
  <c r="G73" i="2" s="1"/>
  <c r="C74" i="2"/>
  <c r="D74" i="2"/>
  <c r="E74" i="2"/>
  <c r="F74" i="2"/>
  <c r="G74" i="2"/>
  <c r="C75" i="2"/>
  <c r="D75" i="2"/>
  <c r="E75" i="2"/>
  <c r="F75" i="2"/>
  <c r="G75" i="2" s="1"/>
  <c r="C76" i="2"/>
  <c r="D76" i="2"/>
  <c r="E76" i="2"/>
  <c r="F76" i="2"/>
  <c r="G76" i="2" s="1"/>
  <c r="C77" i="2"/>
  <c r="D77" i="2"/>
  <c r="E77" i="2"/>
  <c r="F77" i="2"/>
  <c r="G77" i="2" s="1"/>
  <c r="C78" i="2"/>
  <c r="D78" i="2"/>
  <c r="E78" i="2"/>
  <c r="F78" i="2"/>
  <c r="G78" i="2"/>
  <c r="C79" i="2"/>
  <c r="D79" i="2"/>
  <c r="E79" i="2"/>
  <c r="F79" i="2"/>
  <c r="G79" i="2" s="1"/>
  <c r="C80" i="2"/>
  <c r="D80" i="2"/>
  <c r="E80" i="2"/>
  <c r="F80" i="2"/>
  <c r="G80" i="2"/>
  <c r="C81" i="2"/>
  <c r="D81" i="2"/>
  <c r="E81" i="2"/>
  <c r="F81" i="2"/>
  <c r="G81" i="2" s="1"/>
  <c r="C82" i="2"/>
  <c r="D82" i="2"/>
  <c r="E82" i="2"/>
  <c r="F82" i="2"/>
  <c r="G82" i="2"/>
  <c r="C83" i="2"/>
  <c r="D83" i="2"/>
  <c r="E83" i="2"/>
  <c r="F83" i="2"/>
  <c r="G83" i="2" s="1"/>
  <c r="C84" i="2"/>
  <c r="D84" i="2"/>
  <c r="E84" i="2"/>
  <c r="F84" i="2"/>
  <c r="G84" i="2" s="1"/>
  <c r="C85" i="2"/>
  <c r="D85" i="2"/>
  <c r="E85" i="2"/>
  <c r="F85" i="2"/>
  <c r="G85" i="2" s="1"/>
  <c r="C86" i="2"/>
  <c r="D86" i="2"/>
  <c r="E86" i="2"/>
  <c r="F86" i="2"/>
  <c r="G86" i="2"/>
  <c r="C87" i="2"/>
  <c r="D87" i="2"/>
  <c r="E87" i="2"/>
  <c r="F87" i="2"/>
  <c r="G87" i="2" s="1"/>
  <c r="C88" i="2"/>
  <c r="D88" i="2"/>
  <c r="E88" i="2"/>
  <c r="F88" i="2"/>
  <c r="G88" i="2"/>
  <c r="C89" i="2"/>
  <c r="D89" i="2"/>
  <c r="E89" i="2"/>
  <c r="F89" i="2"/>
  <c r="G89" i="2" s="1"/>
  <c r="C90" i="2"/>
  <c r="D90" i="2"/>
  <c r="E90" i="2"/>
  <c r="F90" i="2"/>
  <c r="G90" i="2"/>
  <c r="C91" i="2"/>
  <c r="D91" i="2"/>
  <c r="E91" i="2"/>
  <c r="F91" i="2"/>
  <c r="G91" i="2" s="1"/>
  <c r="C92" i="2"/>
  <c r="D92" i="2"/>
  <c r="E92" i="2"/>
  <c r="F92" i="2"/>
  <c r="G92" i="2" s="1"/>
  <c r="C93" i="2"/>
  <c r="D93" i="2"/>
  <c r="E93" i="2"/>
  <c r="F93" i="2"/>
  <c r="G93" i="2" s="1"/>
  <c r="C94" i="2"/>
  <c r="D94" i="2"/>
  <c r="E94" i="2"/>
  <c r="F94" i="2"/>
  <c r="G94" i="2"/>
  <c r="C95" i="2"/>
  <c r="D95" i="2"/>
  <c r="E95" i="2"/>
  <c r="F95" i="2"/>
  <c r="G95" i="2" s="1"/>
  <c r="C96" i="2"/>
  <c r="D96" i="2"/>
  <c r="E96" i="2"/>
  <c r="F96" i="2"/>
  <c r="G96" i="2"/>
  <c r="C97" i="2"/>
  <c r="D97" i="2"/>
  <c r="E97" i="2"/>
  <c r="F97" i="2"/>
  <c r="G97" i="2" s="1"/>
  <c r="C98" i="2"/>
  <c r="D98" i="2"/>
  <c r="E98" i="2"/>
  <c r="F98" i="2"/>
  <c r="G98" i="2"/>
  <c r="C99" i="2"/>
  <c r="D99" i="2"/>
  <c r="E99" i="2"/>
  <c r="F99" i="2"/>
  <c r="G99" i="2" s="1"/>
  <c r="C100" i="2"/>
  <c r="D100" i="2"/>
  <c r="E100" i="2"/>
  <c r="F100" i="2"/>
  <c r="G100" i="2" s="1"/>
  <c r="C101" i="2"/>
  <c r="D101" i="2"/>
  <c r="E101" i="2"/>
  <c r="F101" i="2"/>
  <c r="G101" i="2" s="1"/>
  <c r="C102" i="2"/>
  <c r="D102" i="2"/>
  <c r="E102" i="2"/>
  <c r="F102" i="2"/>
  <c r="G102" i="2"/>
  <c r="C103" i="2"/>
  <c r="D103" i="2"/>
  <c r="E103" i="2"/>
  <c r="F103" i="2"/>
  <c r="G103" i="2" s="1"/>
  <c r="C104" i="2"/>
  <c r="D104" i="2"/>
  <c r="E104" i="2"/>
  <c r="F104" i="2"/>
  <c r="G104" i="2"/>
  <c r="C105" i="2"/>
  <c r="D105" i="2"/>
  <c r="E105" i="2"/>
  <c r="F105" i="2"/>
  <c r="G105" i="2" s="1"/>
  <c r="C106" i="2"/>
  <c r="D106" i="2"/>
  <c r="E106" i="2"/>
  <c r="F106" i="2"/>
  <c r="G106" i="2"/>
  <c r="C107" i="2"/>
  <c r="D107" i="2"/>
  <c r="E107" i="2"/>
  <c r="F107" i="2"/>
  <c r="G107" i="2" s="1"/>
  <c r="C108" i="2"/>
  <c r="D108" i="2"/>
  <c r="E108" i="2"/>
  <c r="F108" i="2"/>
  <c r="G108" i="2" s="1"/>
  <c r="C109" i="2"/>
  <c r="D109" i="2"/>
  <c r="E109" i="2"/>
  <c r="F109" i="2"/>
  <c r="G109" i="2" s="1"/>
  <c r="C110" i="2"/>
  <c r="D110" i="2"/>
  <c r="E110" i="2"/>
  <c r="F110" i="2"/>
  <c r="G110" i="2"/>
  <c r="C111" i="2"/>
  <c r="D111" i="2"/>
  <c r="E111" i="2"/>
  <c r="F111" i="2"/>
  <c r="G111" i="2" s="1"/>
  <c r="C112" i="2"/>
  <c r="D112" i="2"/>
  <c r="E112" i="2"/>
  <c r="F112" i="2"/>
  <c r="G112" i="2"/>
  <c r="C113" i="2"/>
  <c r="D113" i="2"/>
  <c r="E113" i="2"/>
  <c r="F113" i="2"/>
  <c r="G113" i="2" s="1"/>
  <c r="C114" i="2"/>
  <c r="D114" i="2"/>
  <c r="E114" i="2"/>
  <c r="F114" i="2"/>
  <c r="G114" i="2"/>
  <c r="C115" i="2"/>
  <c r="D115" i="2"/>
  <c r="E115" i="2"/>
  <c r="F115" i="2"/>
  <c r="G115" i="2" s="1"/>
  <c r="C116" i="2"/>
  <c r="D116" i="2"/>
  <c r="E116" i="2"/>
  <c r="F116" i="2"/>
  <c r="G116" i="2" s="1"/>
  <c r="C117" i="2"/>
  <c r="D117" i="2"/>
  <c r="E117" i="2"/>
  <c r="F117" i="2"/>
  <c r="G117" i="2" s="1"/>
  <c r="C118" i="2"/>
  <c r="D118" i="2"/>
  <c r="E118" i="2"/>
  <c r="F118" i="2"/>
  <c r="G118" i="2"/>
  <c r="C119" i="2"/>
  <c r="D119" i="2"/>
  <c r="E119" i="2"/>
  <c r="F119" i="2"/>
  <c r="G119" i="2" s="1"/>
  <c r="C120" i="2"/>
  <c r="D120" i="2"/>
  <c r="E120" i="2"/>
  <c r="F120" i="2"/>
  <c r="G120" i="2"/>
  <c r="C121" i="2"/>
  <c r="D121" i="2"/>
  <c r="E121" i="2"/>
  <c r="F121" i="2"/>
  <c r="G121" i="2" s="1"/>
  <c r="C122" i="2"/>
  <c r="D122" i="2"/>
  <c r="E122" i="2"/>
  <c r="F122" i="2"/>
  <c r="G122" i="2"/>
  <c r="C123" i="2"/>
  <c r="D123" i="2"/>
  <c r="E123" i="2"/>
  <c r="F123" i="2"/>
  <c r="G123" i="2" s="1"/>
  <c r="C124" i="2"/>
  <c r="D124" i="2"/>
  <c r="E124" i="2"/>
  <c r="F124" i="2"/>
  <c r="G124" i="2" s="1"/>
  <c r="C125" i="2"/>
  <c r="D125" i="2"/>
  <c r="E125" i="2"/>
  <c r="F125" i="2"/>
  <c r="G125" i="2" s="1"/>
  <c r="C126" i="2"/>
  <c r="D126" i="2"/>
  <c r="E126" i="2"/>
  <c r="F126" i="2"/>
  <c r="G126" i="2"/>
  <c r="C127" i="2"/>
  <c r="D127" i="2"/>
  <c r="E127" i="2"/>
  <c r="F127" i="2"/>
  <c r="G127" i="2" s="1"/>
  <c r="C128" i="2"/>
  <c r="D128" i="2"/>
  <c r="E128" i="2"/>
  <c r="F128" i="2"/>
  <c r="G128" i="2"/>
  <c r="C129" i="2"/>
  <c r="D129" i="2"/>
  <c r="E129" i="2"/>
  <c r="F129" i="2"/>
  <c r="G129" i="2" s="1"/>
  <c r="C130" i="2"/>
  <c r="D130" i="2"/>
  <c r="E130" i="2"/>
  <c r="F130" i="2"/>
  <c r="G130" i="2"/>
  <c r="C131" i="2"/>
  <c r="D131" i="2"/>
  <c r="E131" i="2"/>
  <c r="F131" i="2"/>
  <c r="G131" i="2" s="1"/>
  <c r="C132" i="2"/>
  <c r="D132" i="2"/>
  <c r="E132" i="2"/>
  <c r="F132" i="2"/>
  <c r="G132" i="2" s="1"/>
  <c r="C133" i="2"/>
  <c r="D133" i="2"/>
  <c r="E133" i="2"/>
  <c r="F133" i="2"/>
  <c r="G133" i="2" s="1"/>
  <c r="C134" i="2"/>
  <c r="D134" i="2"/>
  <c r="E134" i="2"/>
  <c r="F134" i="2"/>
  <c r="G134" i="2"/>
  <c r="C135" i="2"/>
  <c r="D135" i="2"/>
  <c r="E135" i="2"/>
  <c r="F135" i="2"/>
  <c r="G135" i="2" s="1"/>
  <c r="C136" i="2"/>
  <c r="D136" i="2"/>
  <c r="E136" i="2"/>
  <c r="F136" i="2"/>
  <c r="G136" i="2"/>
  <c r="C137" i="2"/>
  <c r="D137" i="2"/>
  <c r="E137" i="2"/>
  <c r="F137" i="2"/>
  <c r="G137" i="2" s="1"/>
  <c r="C138" i="2"/>
  <c r="D138" i="2"/>
  <c r="E138" i="2"/>
  <c r="F138" i="2"/>
  <c r="G138" i="2"/>
  <c r="C139" i="2"/>
  <c r="D139" i="2"/>
  <c r="E139" i="2"/>
  <c r="F139" i="2"/>
  <c r="G139" i="2" s="1"/>
  <c r="C140" i="2"/>
  <c r="D140" i="2"/>
  <c r="E140" i="2"/>
  <c r="F140" i="2"/>
  <c r="G140" i="2" s="1"/>
  <c r="C141" i="2"/>
  <c r="D141" i="2"/>
  <c r="E141" i="2"/>
  <c r="F141" i="2"/>
  <c r="G141" i="2" s="1"/>
  <c r="C142" i="2"/>
  <c r="D142" i="2"/>
  <c r="E142" i="2"/>
  <c r="F142" i="2"/>
  <c r="G142" i="2"/>
  <c r="C143" i="2"/>
  <c r="D143" i="2"/>
  <c r="E143" i="2"/>
  <c r="F143" i="2"/>
  <c r="G143" i="2" s="1"/>
  <c r="C144" i="2"/>
  <c r="D144" i="2"/>
  <c r="E144" i="2"/>
  <c r="F144" i="2"/>
  <c r="G144" i="2"/>
  <c r="C145" i="2"/>
  <c r="D145" i="2"/>
  <c r="E145" i="2"/>
  <c r="F145" i="2"/>
  <c r="G145" i="2" s="1"/>
  <c r="C146" i="2"/>
  <c r="D146" i="2"/>
  <c r="E146" i="2"/>
  <c r="F146" i="2"/>
  <c r="G146" i="2"/>
  <c r="C147" i="2"/>
  <c r="D147" i="2"/>
  <c r="E147" i="2"/>
  <c r="F147" i="2"/>
  <c r="G147" i="2" s="1"/>
  <c r="C148" i="2"/>
  <c r="D148" i="2"/>
  <c r="E148" i="2"/>
  <c r="F148" i="2"/>
  <c r="G148" i="2" s="1"/>
  <c r="C149" i="2"/>
  <c r="D149" i="2"/>
  <c r="E149" i="2"/>
  <c r="F149" i="2"/>
  <c r="G149" i="2" s="1"/>
  <c r="C150" i="2"/>
  <c r="D150" i="2"/>
  <c r="E150" i="2"/>
  <c r="F150" i="2"/>
  <c r="G150" i="2"/>
  <c r="C151" i="2"/>
  <c r="D151" i="2"/>
  <c r="E151" i="2"/>
  <c r="F151" i="2"/>
  <c r="G151" i="2" s="1"/>
  <c r="C152" i="2"/>
  <c r="D152" i="2"/>
  <c r="E152" i="2"/>
  <c r="F152" i="2"/>
  <c r="G152" i="2"/>
  <c r="C153" i="2"/>
  <c r="D153" i="2"/>
  <c r="E153" i="2"/>
  <c r="F153" i="2"/>
  <c r="G153" i="2" s="1"/>
  <c r="C154" i="2"/>
  <c r="D154" i="2"/>
  <c r="E154" i="2"/>
  <c r="F154" i="2"/>
  <c r="G154" i="2"/>
  <c r="C155" i="2"/>
  <c r="D155" i="2"/>
  <c r="E155" i="2"/>
  <c r="F155" i="2"/>
  <c r="G155" i="2" s="1"/>
  <c r="C156" i="2"/>
  <c r="D156" i="2"/>
  <c r="E156" i="2"/>
  <c r="F156" i="2"/>
  <c r="G156" i="2" s="1"/>
  <c r="C157" i="2"/>
  <c r="D157" i="2"/>
  <c r="E157" i="2"/>
  <c r="F157" i="2"/>
  <c r="G157" i="2" s="1"/>
  <c r="C158" i="2"/>
  <c r="D158" i="2"/>
  <c r="E158" i="2"/>
  <c r="F158" i="2"/>
  <c r="G158" i="2"/>
  <c r="C159" i="2"/>
  <c r="D159" i="2"/>
  <c r="E159" i="2"/>
  <c r="F159" i="2"/>
  <c r="G159" i="2" s="1"/>
  <c r="C160" i="2"/>
  <c r="D160" i="2"/>
  <c r="E160" i="2"/>
  <c r="F160" i="2"/>
  <c r="G160" i="2"/>
  <c r="C161" i="2"/>
  <c r="D161" i="2"/>
  <c r="E161" i="2"/>
  <c r="F161" i="2"/>
  <c r="G161" i="2" s="1"/>
  <c r="C162" i="2"/>
  <c r="D162" i="2"/>
  <c r="E162" i="2"/>
  <c r="F162" i="2"/>
  <c r="G162" i="2"/>
  <c r="C163" i="2"/>
  <c r="D163" i="2"/>
  <c r="E163" i="2"/>
  <c r="F163" i="2"/>
  <c r="G163" i="2" s="1"/>
  <c r="C164" i="2"/>
  <c r="D164" i="2"/>
  <c r="E164" i="2"/>
  <c r="F164" i="2"/>
  <c r="G164" i="2" s="1"/>
  <c r="C165" i="2"/>
  <c r="D165" i="2"/>
  <c r="E165" i="2"/>
  <c r="F165" i="2"/>
  <c r="G165" i="2" s="1"/>
  <c r="C166" i="2"/>
  <c r="D166" i="2"/>
  <c r="E166" i="2"/>
  <c r="F166" i="2"/>
  <c r="G166" i="2"/>
  <c r="C167" i="2"/>
  <c r="D167" i="2"/>
  <c r="E167" i="2"/>
  <c r="F167" i="2"/>
  <c r="G167" i="2"/>
  <c r="C168" i="2"/>
  <c r="D168" i="2"/>
  <c r="E168" i="2"/>
  <c r="F168" i="2"/>
  <c r="G168" i="2"/>
  <c r="C169" i="2"/>
  <c r="D169" i="2"/>
  <c r="E169" i="2"/>
  <c r="F169" i="2"/>
  <c r="G169" i="2" s="1"/>
  <c r="C170" i="2"/>
  <c r="D170" i="2"/>
  <c r="E170" i="2"/>
  <c r="F170" i="2"/>
  <c r="G170" i="2"/>
  <c r="C171" i="2"/>
  <c r="D171" i="2"/>
  <c r="E171" i="2"/>
  <c r="F171" i="2"/>
  <c r="G171" i="2" s="1"/>
  <c r="C172" i="2"/>
  <c r="D172" i="2"/>
  <c r="E172" i="2"/>
  <c r="F172" i="2"/>
  <c r="G172" i="2" s="1"/>
  <c r="C173" i="2"/>
  <c r="D173" i="2"/>
  <c r="E173" i="2"/>
  <c r="F173" i="2"/>
  <c r="G173" i="2" s="1"/>
  <c r="C174" i="2"/>
  <c r="D174" i="2"/>
  <c r="E174" i="2"/>
  <c r="F174" i="2"/>
  <c r="G174" i="2"/>
  <c r="C175" i="2"/>
  <c r="D175" i="2"/>
  <c r="E175" i="2"/>
  <c r="F175" i="2"/>
  <c r="G175" i="2"/>
  <c r="C176" i="2"/>
  <c r="D176" i="2"/>
  <c r="E176" i="2"/>
  <c r="F176" i="2"/>
  <c r="G176" i="2"/>
  <c r="C177" i="2"/>
  <c r="D177" i="2"/>
  <c r="E177" i="2"/>
  <c r="F177" i="2"/>
  <c r="G177" i="2" s="1"/>
  <c r="C178" i="2"/>
  <c r="D178" i="2"/>
  <c r="E178" i="2"/>
  <c r="F178" i="2"/>
  <c r="G178" i="2"/>
  <c r="C179" i="2"/>
  <c r="D179" i="2"/>
  <c r="E179" i="2"/>
  <c r="F179" i="2"/>
  <c r="G179" i="2" s="1"/>
  <c r="C180" i="2"/>
  <c r="D180" i="2"/>
  <c r="E180" i="2"/>
  <c r="F180" i="2"/>
  <c r="G180" i="2" s="1"/>
  <c r="C181" i="2"/>
  <c r="D181" i="2"/>
  <c r="E181" i="2"/>
  <c r="F181" i="2"/>
  <c r="G181" i="2" s="1"/>
  <c r="C182" i="2"/>
  <c r="D182" i="2"/>
  <c r="E182" i="2"/>
  <c r="F182" i="2"/>
  <c r="G182" i="2"/>
  <c r="C183" i="2"/>
  <c r="D183" i="2"/>
  <c r="E183" i="2"/>
  <c r="F183" i="2"/>
  <c r="G183" i="2"/>
  <c r="C184" i="2"/>
  <c r="D184" i="2"/>
  <c r="E184" i="2"/>
  <c r="F184" i="2"/>
  <c r="G184" i="2"/>
  <c r="C185" i="2"/>
  <c r="D185" i="2"/>
  <c r="E185" i="2"/>
  <c r="F185" i="2"/>
  <c r="G185" i="2" s="1"/>
  <c r="C186" i="2"/>
  <c r="D186" i="2"/>
  <c r="E186" i="2"/>
  <c r="F186" i="2"/>
  <c r="G186" i="2"/>
  <c r="C187" i="2"/>
  <c r="D187" i="2"/>
  <c r="E187" i="2"/>
  <c r="F187" i="2"/>
  <c r="G187" i="2" s="1"/>
  <c r="C188" i="2"/>
  <c r="D188" i="2"/>
  <c r="E188" i="2"/>
  <c r="F188" i="2"/>
  <c r="G188" i="2" s="1"/>
  <c r="C189" i="2"/>
  <c r="D189" i="2"/>
  <c r="E189" i="2"/>
  <c r="F189" i="2"/>
  <c r="G189" i="2" s="1"/>
  <c r="C190" i="2"/>
  <c r="D190" i="2"/>
  <c r="E190" i="2"/>
  <c r="F190" i="2"/>
  <c r="G190" i="2"/>
  <c r="C191" i="2"/>
  <c r="D191" i="2"/>
  <c r="E191" i="2"/>
  <c r="F191" i="2"/>
  <c r="G191" i="2"/>
  <c r="C192" i="2"/>
  <c r="D192" i="2"/>
  <c r="E192" i="2"/>
  <c r="F192" i="2"/>
  <c r="G192" i="2"/>
  <c r="C193" i="2"/>
  <c r="D193" i="2"/>
  <c r="E193" i="2"/>
  <c r="F193" i="2"/>
  <c r="G193" i="2" s="1"/>
  <c r="C194" i="2"/>
  <c r="D194" i="2"/>
  <c r="E194" i="2"/>
  <c r="F194" i="2"/>
  <c r="G194" i="2"/>
  <c r="C195" i="2"/>
  <c r="D195" i="2"/>
  <c r="E195" i="2"/>
  <c r="F195" i="2"/>
  <c r="G195" i="2" s="1"/>
  <c r="C196" i="2"/>
  <c r="D196" i="2"/>
  <c r="E196" i="2"/>
  <c r="F196" i="2"/>
  <c r="G196" i="2" s="1"/>
  <c r="C197" i="2"/>
  <c r="D197" i="2"/>
  <c r="E197" i="2"/>
  <c r="F197" i="2"/>
  <c r="G197" i="2" s="1"/>
  <c r="C198" i="2"/>
  <c r="D198" i="2"/>
  <c r="E198" i="2"/>
  <c r="F198" i="2"/>
  <c r="G198" i="2"/>
  <c r="C199" i="2"/>
  <c r="D199" i="2"/>
  <c r="E199" i="2"/>
  <c r="F199" i="2"/>
  <c r="G199" i="2"/>
  <c r="C200" i="2"/>
  <c r="D200" i="2"/>
  <c r="E200" i="2"/>
  <c r="F200" i="2"/>
  <c r="G200" i="2"/>
  <c r="C201" i="2"/>
  <c r="D201" i="2"/>
  <c r="E201" i="2"/>
  <c r="F201" i="2"/>
  <c r="G201" i="2" s="1"/>
  <c r="C202" i="2"/>
  <c r="D202" i="2"/>
  <c r="E202" i="2"/>
  <c r="F202" i="2"/>
  <c r="G202" i="2"/>
  <c r="C203" i="2"/>
  <c r="D203" i="2"/>
  <c r="E203" i="2"/>
  <c r="F203" i="2"/>
  <c r="G203" i="2" s="1"/>
  <c r="C204" i="2"/>
  <c r="D204" i="2"/>
  <c r="E204" i="2"/>
  <c r="F204" i="2"/>
  <c r="G204" i="2" s="1"/>
  <c r="C205" i="2"/>
  <c r="D205" i="2"/>
  <c r="E205" i="2"/>
  <c r="F205" i="2"/>
  <c r="G205" i="2" s="1"/>
  <c r="C206" i="2"/>
  <c r="D206" i="2"/>
  <c r="E206" i="2"/>
  <c r="F206" i="2"/>
  <c r="G206" i="2"/>
  <c r="C207" i="2"/>
  <c r="D207" i="2"/>
  <c r="E207" i="2"/>
  <c r="F207" i="2"/>
  <c r="G207" i="2"/>
  <c r="C208" i="2"/>
  <c r="D208" i="2"/>
  <c r="E208" i="2"/>
  <c r="F208" i="2"/>
  <c r="G208" i="2"/>
  <c r="C209" i="2"/>
  <c r="D209" i="2"/>
  <c r="E209" i="2"/>
  <c r="F209" i="2"/>
  <c r="G209" i="2" s="1"/>
  <c r="C210" i="2"/>
  <c r="D210" i="2"/>
  <c r="E210" i="2"/>
  <c r="F210" i="2"/>
  <c r="G210" i="2"/>
  <c r="C211" i="2"/>
  <c r="D211" i="2"/>
  <c r="E211" i="2"/>
  <c r="F211" i="2"/>
  <c r="G211" i="2" s="1"/>
  <c r="C212" i="2"/>
  <c r="D212" i="2"/>
  <c r="E212" i="2"/>
  <c r="F212" i="2"/>
  <c r="G212" i="2" s="1"/>
  <c r="C213" i="2"/>
  <c r="D213" i="2"/>
  <c r="E213" i="2"/>
  <c r="F213" i="2"/>
  <c r="G213" i="2" s="1"/>
  <c r="C214" i="2"/>
  <c r="D214" i="2"/>
  <c r="E214" i="2"/>
  <c r="F214" i="2"/>
  <c r="G214" i="2"/>
  <c r="C215" i="2"/>
  <c r="D215" i="2"/>
  <c r="E215" i="2"/>
  <c r="F215" i="2"/>
  <c r="G215" i="2"/>
  <c r="C216" i="2"/>
  <c r="D216" i="2"/>
  <c r="E216" i="2"/>
  <c r="F216" i="2"/>
  <c r="G216" i="2"/>
  <c r="C217" i="2"/>
  <c r="D217" i="2"/>
  <c r="E217" i="2"/>
  <c r="F217" i="2"/>
  <c r="G217" i="2" s="1"/>
  <c r="C218" i="2"/>
  <c r="D218" i="2"/>
  <c r="E218" i="2"/>
  <c r="F218" i="2"/>
  <c r="G218" i="2"/>
  <c r="C219" i="2"/>
  <c r="D219" i="2"/>
  <c r="E219" i="2"/>
  <c r="F219" i="2"/>
  <c r="G219" i="2" s="1"/>
  <c r="C220" i="2"/>
  <c r="D220" i="2"/>
  <c r="E220" i="2"/>
  <c r="F220" i="2"/>
  <c r="G220" i="2" s="1"/>
  <c r="C221" i="2"/>
  <c r="D221" i="2"/>
  <c r="E221" i="2"/>
  <c r="F221" i="2"/>
  <c r="G221" i="2" s="1"/>
  <c r="C222" i="2"/>
  <c r="D222" i="2"/>
  <c r="E222" i="2"/>
  <c r="F222" i="2"/>
  <c r="G222" i="2"/>
  <c r="C223" i="2"/>
  <c r="D223" i="2"/>
  <c r="E223" i="2"/>
  <c r="F223" i="2"/>
  <c r="G223" i="2"/>
  <c r="C224" i="2"/>
  <c r="D224" i="2"/>
  <c r="E224" i="2"/>
  <c r="F224" i="2"/>
  <c r="G224" i="2"/>
  <c r="C225" i="2"/>
  <c r="D225" i="2"/>
  <c r="E225" i="2"/>
  <c r="F225" i="2"/>
  <c r="G225" i="2" s="1"/>
  <c r="C226" i="2"/>
  <c r="D226" i="2"/>
  <c r="E226" i="2"/>
  <c r="F226" i="2"/>
  <c r="G226" i="2"/>
  <c r="C227" i="2"/>
  <c r="D227" i="2"/>
  <c r="E227" i="2"/>
  <c r="F227" i="2"/>
  <c r="G227" i="2" s="1"/>
  <c r="C228" i="2"/>
  <c r="D228" i="2"/>
  <c r="E228" i="2"/>
  <c r="F228" i="2"/>
  <c r="G228" i="2" s="1"/>
  <c r="C229" i="2"/>
  <c r="D229" i="2"/>
  <c r="E229" i="2"/>
  <c r="F229" i="2"/>
  <c r="G229" i="2" s="1"/>
  <c r="C230" i="2"/>
  <c r="D230" i="2"/>
  <c r="E230" i="2"/>
  <c r="F230" i="2"/>
  <c r="G230" i="2"/>
  <c r="C231" i="2"/>
  <c r="D231" i="2"/>
  <c r="E231" i="2"/>
  <c r="F231" i="2"/>
  <c r="G231" i="2"/>
  <c r="C232" i="2"/>
  <c r="D232" i="2"/>
  <c r="E232" i="2"/>
  <c r="F232" i="2"/>
  <c r="G232" i="2"/>
  <c r="C233" i="2"/>
  <c r="D233" i="2"/>
  <c r="E233" i="2"/>
  <c r="F233" i="2"/>
  <c r="G233" i="2" s="1"/>
  <c r="C234" i="2"/>
  <c r="D234" i="2"/>
  <c r="E234" i="2"/>
  <c r="F234" i="2"/>
  <c r="G234" i="2"/>
  <c r="C235" i="2"/>
  <c r="D235" i="2"/>
  <c r="E235" i="2"/>
  <c r="F235" i="2"/>
  <c r="G235" i="2" s="1"/>
  <c r="C236" i="2"/>
  <c r="D236" i="2"/>
  <c r="E236" i="2"/>
  <c r="F236" i="2"/>
  <c r="G236" i="2" s="1"/>
  <c r="C237" i="2"/>
  <c r="D237" i="2"/>
  <c r="E237" i="2"/>
  <c r="F237" i="2"/>
  <c r="G237" i="2" s="1"/>
  <c r="C238" i="2"/>
  <c r="D238" i="2"/>
  <c r="E238" i="2"/>
  <c r="F238" i="2"/>
  <c r="G238" i="2"/>
  <c r="C239" i="2"/>
  <c r="D239" i="2"/>
  <c r="E239" i="2"/>
  <c r="F239" i="2"/>
  <c r="G239" i="2"/>
  <c r="C240" i="2"/>
  <c r="D240" i="2"/>
  <c r="E240" i="2"/>
  <c r="F240" i="2"/>
  <c r="G240" i="2"/>
  <c r="C241" i="2"/>
  <c r="D241" i="2"/>
  <c r="E241" i="2"/>
  <c r="F241" i="2"/>
  <c r="G241" i="2" s="1"/>
  <c r="C242" i="2"/>
  <c r="D242" i="2"/>
  <c r="E242" i="2"/>
  <c r="F242" i="2"/>
  <c r="G242" i="2"/>
  <c r="C243" i="2"/>
  <c r="D243" i="2"/>
  <c r="E243" i="2"/>
  <c r="F243" i="2"/>
  <c r="G243" i="2" s="1"/>
  <c r="C244" i="2"/>
  <c r="D244" i="2"/>
  <c r="E244" i="2"/>
  <c r="F244" i="2"/>
  <c r="G244" i="2" s="1"/>
  <c r="C245" i="2"/>
  <c r="D245" i="2"/>
  <c r="E245" i="2"/>
  <c r="F245" i="2"/>
  <c r="G245" i="2" s="1"/>
  <c r="C246" i="2"/>
  <c r="D246" i="2"/>
  <c r="E246" i="2"/>
  <c r="F246" i="2"/>
  <c r="G246" i="2"/>
  <c r="C247" i="2"/>
  <c r="D247" i="2"/>
  <c r="E247" i="2"/>
  <c r="F247" i="2"/>
  <c r="G247" i="2"/>
  <c r="C248" i="2"/>
  <c r="D248" i="2"/>
  <c r="E248" i="2"/>
  <c r="F248" i="2"/>
  <c r="G248" i="2"/>
  <c r="C249" i="2"/>
  <c r="D249" i="2"/>
  <c r="E249" i="2"/>
  <c r="F249" i="2"/>
  <c r="G249" i="2" s="1"/>
  <c r="C250" i="2"/>
  <c r="D250" i="2"/>
  <c r="E250" i="2"/>
  <c r="F250" i="2"/>
  <c r="G250" i="2"/>
  <c r="C251" i="2"/>
  <c r="D251" i="2"/>
  <c r="E251" i="2"/>
  <c r="F251" i="2"/>
  <c r="G251" i="2" s="1"/>
  <c r="C252" i="2"/>
  <c r="D252" i="2"/>
  <c r="E252" i="2"/>
  <c r="F252" i="2"/>
  <c r="G252" i="2" s="1"/>
  <c r="C253" i="2"/>
  <c r="D253" i="2"/>
  <c r="E253" i="2"/>
  <c r="F253" i="2"/>
  <c r="G253" i="2" s="1"/>
  <c r="C254" i="2"/>
  <c r="D254" i="2"/>
  <c r="E254" i="2"/>
  <c r="F254" i="2"/>
  <c r="G254" i="2"/>
  <c r="C255" i="2"/>
  <c r="D255" i="2"/>
  <c r="E255" i="2"/>
  <c r="F255" i="2"/>
  <c r="G255" i="2"/>
  <c r="C256" i="2"/>
  <c r="D256" i="2"/>
  <c r="E256" i="2"/>
  <c r="F256" i="2"/>
  <c r="G256" i="2"/>
  <c r="C257" i="2"/>
  <c r="D257" i="2"/>
  <c r="E257" i="2"/>
  <c r="F257" i="2"/>
  <c r="G257" i="2" s="1"/>
  <c r="C258" i="2"/>
  <c r="D258" i="2"/>
  <c r="E258" i="2"/>
  <c r="F258" i="2"/>
  <c r="G258" i="2"/>
  <c r="C259" i="2"/>
  <c r="D259" i="2"/>
  <c r="E259" i="2"/>
  <c r="F259" i="2"/>
  <c r="G259" i="2" s="1"/>
  <c r="C260" i="2"/>
  <c r="D260" i="2"/>
  <c r="E260" i="2"/>
  <c r="F260" i="2"/>
  <c r="G260" i="2" s="1"/>
  <c r="C261" i="2"/>
  <c r="D261" i="2"/>
  <c r="E261" i="2"/>
  <c r="F261" i="2"/>
  <c r="G261" i="2" s="1"/>
  <c r="C262" i="2"/>
  <c r="D262" i="2"/>
  <c r="E262" i="2"/>
  <c r="F262" i="2"/>
  <c r="G262" i="2"/>
  <c r="C263" i="2"/>
  <c r="D263" i="2"/>
  <c r="E263" i="2"/>
  <c r="F263" i="2"/>
  <c r="G263" i="2"/>
  <c r="C264" i="2"/>
  <c r="D264" i="2"/>
  <c r="E264" i="2"/>
  <c r="F264" i="2"/>
  <c r="G264" i="2"/>
  <c r="C265" i="2"/>
  <c r="D265" i="2"/>
  <c r="E265" i="2"/>
  <c r="F265" i="2"/>
  <c r="G265" i="2" s="1"/>
  <c r="C266" i="2"/>
  <c r="D266" i="2"/>
  <c r="E266" i="2"/>
  <c r="F266" i="2"/>
  <c r="G266" i="2"/>
  <c r="C267" i="2"/>
  <c r="D267" i="2"/>
  <c r="E267" i="2"/>
  <c r="F267" i="2"/>
  <c r="G267" i="2" s="1"/>
  <c r="C268" i="2"/>
  <c r="D268" i="2"/>
  <c r="E268" i="2"/>
  <c r="F268" i="2"/>
  <c r="G268" i="2" s="1"/>
  <c r="C269" i="2"/>
  <c r="D269" i="2"/>
  <c r="E269" i="2"/>
  <c r="F269" i="2"/>
  <c r="G269" i="2" s="1"/>
  <c r="C270" i="2"/>
  <c r="D270" i="2"/>
  <c r="E270" i="2"/>
  <c r="F270" i="2"/>
  <c r="G270" i="2"/>
  <c r="C271" i="2"/>
  <c r="D271" i="2"/>
  <c r="E271" i="2"/>
  <c r="F271" i="2"/>
  <c r="G271" i="2"/>
  <c r="C272" i="2"/>
  <c r="D272" i="2"/>
  <c r="E272" i="2"/>
  <c r="F272" i="2"/>
  <c r="G272" i="2"/>
  <c r="C273" i="2"/>
  <c r="D273" i="2"/>
  <c r="E273" i="2"/>
  <c r="F273" i="2"/>
  <c r="G273" i="2" s="1"/>
  <c r="C274" i="2"/>
  <c r="D274" i="2"/>
  <c r="E274" i="2"/>
  <c r="F274" i="2"/>
  <c r="G274" i="2"/>
  <c r="C275" i="2"/>
  <c r="D275" i="2"/>
  <c r="E275" i="2"/>
  <c r="F275" i="2"/>
  <c r="G275" i="2" s="1"/>
  <c r="C276" i="2"/>
  <c r="D276" i="2"/>
  <c r="E276" i="2"/>
  <c r="F276" i="2"/>
  <c r="G276" i="2" s="1"/>
  <c r="C277" i="2"/>
  <c r="D277" i="2"/>
  <c r="E277" i="2"/>
  <c r="F277" i="2"/>
  <c r="G277" i="2" s="1"/>
  <c r="C278" i="2"/>
  <c r="D278" i="2"/>
  <c r="E278" i="2"/>
  <c r="F278" i="2"/>
  <c r="G278" i="2"/>
  <c r="C279" i="2"/>
  <c r="D279" i="2"/>
  <c r="E279" i="2"/>
  <c r="F279" i="2"/>
  <c r="G279" i="2"/>
  <c r="C280" i="2"/>
  <c r="D280" i="2"/>
  <c r="E280" i="2"/>
  <c r="F280" i="2"/>
  <c r="G280" i="2"/>
  <c r="C281" i="2"/>
  <c r="D281" i="2"/>
  <c r="E281" i="2"/>
  <c r="F281" i="2"/>
  <c r="G281" i="2" s="1"/>
  <c r="C282" i="2"/>
  <c r="D282" i="2"/>
  <c r="E282" i="2"/>
  <c r="F282" i="2"/>
  <c r="G282" i="2"/>
  <c r="C283" i="2"/>
  <c r="D283" i="2"/>
  <c r="E283" i="2"/>
  <c r="F283" i="2"/>
  <c r="G283" i="2" s="1"/>
  <c r="C284" i="2"/>
  <c r="D284" i="2"/>
  <c r="E284" i="2"/>
  <c r="F284" i="2"/>
  <c r="G284" i="2" s="1"/>
  <c r="C285" i="2"/>
  <c r="D285" i="2"/>
  <c r="E285" i="2"/>
  <c r="F285" i="2"/>
  <c r="G285" i="2" s="1"/>
  <c r="C286" i="2"/>
  <c r="D286" i="2"/>
  <c r="E286" i="2"/>
  <c r="F286" i="2"/>
  <c r="G286" i="2"/>
  <c r="C287" i="2"/>
  <c r="D287" i="2"/>
  <c r="E287" i="2"/>
  <c r="F287" i="2"/>
  <c r="G287" i="2"/>
  <c r="C288" i="2"/>
  <c r="D288" i="2"/>
  <c r="E288" i="2"/>
  <c r="F288" i="2"/>
  <c r="G288" i="2"/>
  <c r="C289" i="2"/>
  <c r="D289" i="2"/>
  <c r="E289" i="2"/>
  <c r="F289" i="2"/>
  <c r="G289" i="2" s="1"/>
  <c r="C290" i="2"/>
  <c r="D290" i="2"/>
  <c r="E290" i="2"/>
  <c r="F290" i="2"/>
  <c r="G290" i="2"/>
  <c r="C291" i="2"/>
  <c r="D291" i="2"/>
  <c r="E291" i="2"/>
  <c r="F291" i="2"/>
  <c r="G291" i="2" s="1"/>
  <c r="C292" i="2"/>
  <c r="D292" i="2"/>
  <c r="E292" i="2"/>
  <c r="F292" i="2"/>
  <c r="G292" i="2" s="1"/>
  <c r="C293" i="2"/>
  <c r="D293" i="2"/>
  <c r="E293" i="2"/>
  <c r="F293" i="2"/>
  <c r="G293" i="2" s="1"/>
  <c r="C294" i="2"/>
  <c r="D294" i="2"/>
  <c r="E294" i="2"/>
  <c r="F294" i="2"/>
  <c r="G294" i="2"/>
  <c r="C295" i="2"/>
  <c r="D295" i="2"/>
  <c r="E295" i="2"/>
  <c r="F295" i="2"/>
  <c r="G295" i="2"/>
  <c r="C296" i="2"/>
  <c r="D296" i="2"/>
  <c r="E296" i="2"/>
  <c r="F296" i="2"/>
  <c r="G296" i="2"/>
  <c r="C297" i="2"/>
  <c r="D297" i="2"/>
  <c r="E297" i="2"/>
  <c r="F297" i="2"/>
  <c r="G297" i="2" s="1"/>
  <c r="C298" i="2"/>
  <c r="D298" i="2"/>
  <c r="E298" i="2"/>
  <c r="F298" i="2"/>
  <c r="G298" i="2"/>
  <c r="C299" i="2"/>
  <c r="D299" i="2"/>
  <c r="E299" i="2"/>
  <c r="F299" i="2"/>
  <c r="G299" i="2" s="1"/>
  <c r="C300" i="2"/>
  <c r="D300" i="2"/>
  <c r="E300" i="2"/>
  <c r="F300" i="2"/>
  <c r="G300" i="2" s="1"/>
  <c r="C301" i="2"/>
  <c r="D301" i="2"/>
  <c r="E301" i="2"/>
  <c r="F301" i="2"/>
  <c r="G301" i="2" s="1"/>
  <c r="C302" i="2"/>
  <c r="D302" i="2"/>
  <c r="E302" i="2"/>
  <c r="F302" i="2"/>
  <c r="G302" i="2"/>
  <c r="C303" i="2"/>
  <c r="D303" i="2"/>
  <c r="E303" i="2"/>
  <c r="F303" i="2"/>
  <c r="G303" i="2"/>
  <c r="C304" i="2"/>
  <c r="D304" i="2"/>
  <c r="E304" i="2"/>
  <c r="F304" i="2"/>
  <c r="G304" i="2"/>
  <c r="C305" i="2"/>
  <c r="D305" i="2"/>
  <c r="E305" i="2"/>
  <c r="F305" i="2"/>
  <c r="G305" i="2" s="1"/>
  <c r="C306" i="2"/>
  <c r="D306" i="2"/>
  <c r="E306" i="2"/>
  <c r="F306" i="2"/>
  <c r="G306" i="2"/>
  <c r="C307" i="2"/>
  <c r="D307" i="2"/>
  <c r="E307" i="2"/>
  <c r="F307" i="2"/>
  <c r="G307" i="2" s="1"/>
  <c r="C308" i="2"/>
  <c r="D308" i="2"/>
  <c r="E308" i="2"/>
  <c r="F308" i="2"/>
  <c r="G308" i="2" s="1"/>
  <c r="C309" i="2"/>
  <c r="D309" i="2"/>
  <c r="E309" i="2"/>
  <c r="F309" i="2"/>
  <c r="G309" i="2" s="1"/>
  <c r="C310" i="2"/>
  <c r="D310" i="2"/>
  <c r="E310" i="2"/>
  <c r="F310" i="2"/>
  <c r="G310" i="2"/>
  <c r="C311" i="2"/>
  <c r="D311" i="2"/>
  <c r="E311" i="2"/>
  <c r="F311" i="2"/>
  <c r="G311" i="2"/>
  <c r="C312" i="2"/>
  <c r="D312" i="2"/>
  <c r="E312" i="2"/>
  <c r="F312" i="2"/>
  <c r="G312" i="2"/>
  <c r="C313" i="2"/>
  <c r="D313" i="2"/>
  <c r="E313" i="2"/>
  <c r="F313" i="2"/>
  <c r="G313" i="2" s="1"/>
  <c r="C314" i="2"/>
  <c r="D314" i="2"/>
  <c r="E314" i="2"/>
  <c r="F314" i="2"/>
  <c r="G314" i="2"/>
  <c r="C315" i="2"/>
  <c r="D315" i="2"/>
  <c r="E315" i="2"/>
  <c r="F315" i="2"/>
  <c r="G315" i="2" s="1"/>
  <c r="C316" i="2"/>
  <c r="D316" i="2"/>
  <c r="E316" i="2"/>
  <c r="F316" i="2"/>
  <c r="G316" i="2" s="1"/>
  <c r="C317" i="2"/>
  <c r="D317" i="2"/>
  <c r="E317" i="2"/>
  <c r="F317" i="2"/>
  <c r="G317" i="2" s="1"/>
  <c r="C318" i="2"/>
  <c r="D318" i="2"/>
  <c r="E318" i="2"/>
  <c r="F318" i="2"/>
  <c r="G318" i="2"/>
  <c r="C319" i="2"/>
  <c r="D319" i="2"/>
  <c r="E319" i="2"/>
  <c r="F319" i="2"/>
  <c r="G319" i="2"/>
  <c r="C320" i="2"/>
  <c r="D320" i="2"/>
  <c r="E320" i="2"/>
  <c r="F320" i="2"/>
  <c r="G320" i="2"/>
  <c r="C321" i="2"/>
  <c r="D321" i="2"/>
  <c r="E321" i="2"/>
  <c r="F321" i="2"/>
  <c r="G321" i="2" s="1"/>
  <c r="C322" i="2"/>
  <c r="D322" i="2"/>
  <c r="E322" i="2"/>
  <c r="F322" i="2"/>
  <c r="G322" i="2"/>
  <c r="C323" i="2"/>
  <c r="D323" i="2"/>
  <c r="E323" i="2"/>
  <c r="F323" i="2"/>
  <c r="G323" i="2" s="1"/>
  <c r="C324" i="2"/>
  <c r="D324" i="2"/>
  <c r="E324" i="2"/>
  <c r="F324" i="2"/>
  <c r="G324" i="2" s="1"/>
  <c r="C325" i="2"/>
  <c r="D325" i="2"/>
  <c r="E325" i="2"/>
  <c r="F325" i="2"/>
  <c r="G325" i="2" s="1"/>
  <c r="C326" i="2"/>
  <c r="D326" i="2"/>
  <c r="E326" i="2"/>
  <c r="F326" i="2"/>
  <c r="G326" i="2"/>
  <c r="C327" i="2"/>
  <c r="D327" i="2"/>
  <c r="E327" i="2"/>
  <c r="F327" i="2"/>
  <c r="G327" i="2"/>
  <c r="C328" i="2"/>
  <c r="D328" i="2"/>
  <c r="E328" i="2"/>
  <c r="F328" i="2"/>
  <c r="G328" i="2"/>
  <c r="C329" i="2"/>
  <c r="D329" i="2"/>
  <c r="E329" i="2"/>
  <c r="F329" i="2"/>
  <c r="G329" i="2" s="1"/>
  <c r="C330" i="2"/>
  <c r="D330" i="2"/>
  <c r="E330" i="2"/>
  <c r="F330" i="2"/>
  <c r="G330" i="2"/>
  <c r="C331" i="2"/>
  <c r="D331" i="2"/>
  <c r="E331" i="2"/>
  <c r="F331" i="2"/>
  <c r="G331" i="2" s="1"/>
  <c r="C332" i="2"/>
  <c r="D332" i="2"/>
  <c r="E332" i="2"/>
  <c r="F332" i="2"/>
  <c r="G332" i="2" s="1"/>
  <c r="C333" i="2"/>
  <c r="D333" i="2"/>
  <c r="E333" i="2"/>
  <c r="F333" i="2"/>
  <c r="G333" i="2" s="1"/>
  <c r="C334" i="2"/>
  <c r="D334" i="2"/>
  <c r="E334" i="2"/>
  <c r="F334" i="2"/>
  <c r="G334" i="2"/>
  <c r="C335" i="2"/>
  <c r="D335" i="2"/>
  <c r="E335" i="2"/>
  <c r="F335" i="2"/>
  <c r="G335" i="2"/>
  <c r="C336" i="2"/>
  <c r="D336" i="2"/>
  <c r="E336" i="2"/>
  <c r="F336" i="2"/>
  <c r="G336" i="2"/>
  <c r="C337" i="2"/>
  <c r="D337" i="2"/>
  <c r="E337" i="2"/>
  <c r="F337" i="2"/>
  <c r="G337" i="2" s="1"/>
  <c r="C338" i="2"/>
  <c r="D338" i="2"/>
  <c r="E338" i="2"/>
  <c r="F338" i="2"/>
  <c r="G338" i="2"/>
  <c r="C339" i="2"/>
  <c r="D339" i="2"/>
  <c r="E339" i="2"/>
  <c r="F339" i="2"/>
  <c r="G339" i="2" s="1"/>
  <c r="C340" i="2"/>
  <c r="D340" i="2"/>
  <c r="E340" i="2"/>
  <c r="F340" i="2"/>
  <c r="G340" i="2" s="1"/>
  <c r="C341" i="2"/>
  <c r="D341" i="2"/>
  <c r="E341" i="2"/>
  <c r="F341" i="2"/>
  <c r="G341" i="2" s="1"/>
  <c r="C342" i="2"/>
  <c r="D342" i="2"/>
  <c r="E342" i="2"/>
  <c r="F342" i="2"/>
  <c r="G342" i="2"/>
  <c r="C343" i="2"/>
  <c r="D343" i="2"/>
  <c r="E343" i="2"/>
  <c r="F343" i="2"/>
  <c r="G343" i="2"/>
  <c r="C344" i="2"/>
  <c r="D344" i="2"/>
  <c r="E344" i="2"/>
  <c r="F344" i="2"/>
  <c r="G344" i="2"/>
  <c r="C345" i="2"/>
  <c r="D345" i="2"/>
  <c r="E345" i="2"/>
  <c r="F345" i="2"/>
  <c r="G345" i="2" s="1"/>
  <c r="C346" i="2"/>
  <c r="D346" i="2"/>
  <c r="E346" i="2"/>
  <c r="F346" i="2"/>
  <c r="G346" i="2"/>
  <c r="C347" i="2"/>
  <c r="D347" i="2"/>
  <c r="E347" i="2"/>
  <c r="F347" i="2"/>
  <c r="G347" i="2" s="1"/>
  <c r="C348" i="2"/>
  <c r="D348" i="2"/>
  <c r="E348" i="2"/>
  <c r="F348" i="2"/>
  <c r="G348" i="2" s="1"/>
  <c r="C349" i="2"/>
  <c r="D349" i="2"/>
  <c r="E349" i="2"/>
  <c r="F349" i="2"/>
  <c r="G349" i="2" s="1"/>
  <c r="C350" i="2"/>
  <c r="D350" i="2"/>
  <c r="E350" i="2"/>
  <c r="F350" i="2"/>
  <c r="G350" i="2"/>
  <c r="C351" i="2"/>
  <c r="D351" i="2"/>
  <c r="E351" i="2"/>
  <c r="F351" i="2"/>
  <c r="G351" i="2"/>
  <c r="C352" i="2"/>
  <c r="D352" i="2"/>
  <c r="E352" i="2"/>
  <c r="F352" i="2"/>
  <c r="G352" i="2"/>
  <c r="C353" i="2"/>
  <c r="D353" i="2"/>
  <c r="E353" i="2"/>
  <c r="F353" i="2"/>
  <c r="G353" i="2" s="1"/>
  <c r="C354" i="2"/>
  <c r="D354" i="2"/>
  <c r="E354" i="2"/>
  <c r="F354" i="2"/>
  <c r="G354" i="2"/>
  <c r="C355" i="2"/>
  <c r="D355" i="2"/>
  <c r="E355" i="2"/>
  <c r="F355" i="2"/>
  <c r="G355" i="2" s="1"/>
  <c r="C356" i="2"/>
  <c r="D356" i="2"/>
  <c r="E356" i="2"/>
  <c r="F356" i="2"/>
  <c r="G356" i="2" s="1"/>
  <c r="C357" i="2"/>
  <c r="D357" i="2"/>
  <c r="E357" i="2"/>
  <c r="F357" i="2"/>
  <c r="G357" i="2" s="1"/>
  <c r="C358" i="2"/>
  <c r="D358" i="2"/>
  <c r="E358" i="2"/>
  <c r="F358" i="2"/>
  <c r="G358" i="2"/>
  <c r="C359" i="2"/>
  <c r="D359" i="2"/>
  <c r="E359" i="2"/>
  <c r="F359" i="2"/>
  <c r="G359" i="2"/>
  <c r="C360" i="2"/>
  <c r="D360" i="2"/>
  <c r="E360" i="2"/>
  <c r="F360" i="2"/>
  <c r="G360" i="2"/>
  <c r="C361" i="2"/>
  <c r="D361" i="2"/>
  <c r="E361" i="2"/>
  <c r="F361" i="2"/>
  <c r="G361" i="2" s="1"/>
  <c r="C362" i="2"/>
  <c r="D362" i="2"/>
  <c r="E362" i="2"/>
  <c r="F362" i="2"/>
  <c r="G362" i="2"/>
  <c r="C363" i="2"/>
  <c r="D363" i="2"/>
  <c r="E363" i="2"/>
  <c r="F363" i="2"/>
  <c r="G363" i="2" s="1"/>
  <c r="C364" i="2"/>
  <c r="D364" i="2"/>
  <c r="E364" i="2"/>
  <c r="F364" i="2"/>
  <c r="G364" i="2" s="1"/>
  <c r="C365" i="2"/>
  <c r="D365" i="2"/>
  <c r="E365" i="2"/>
  <c r="F365" i="2"/>
  <c r="G365" i="2" s="1"/>
  <c r="C366" i="2"/>
  <c r="D366" i="2"/>
  <c r="E366" i="2"/>
  <c r="F366" i="2"/>
  <c r="G366" i="2"/>
  <c r="C367" i="2"/>
  <c r="D367" i="2"/>
  <c r="E367" i="2"/>
  <c r="F367" i="2"/>
  <c r="G367" i="2"/>
  <c r="C368" i="2"/>
  <c r="D368" i="2"/>
  <c r="E368" i="2"/>
  <c r="F368" i="2"/>
  <c r="G368" i="2"/>
  <c r="C369" i="2"/>
  <c r="D369" i="2"/>
  <c r="E369" i="2"/>
  <c r="F369" i="2"/>
  <c r="G369" i="2" s="1"/>
  <c r="C370" i="2"/>
  <c r="D370" i="2"/>
  <c r="E370" i="2"/>
  <c r="F370" i="2"/>
  <c r="G370" i="2"/>
  <c r="C371" i="2"/>
  <c r="D371" i="2"/>
  <c r="E371" i="2"/>
  <c r="F371" i="2"/>
  <c r="G371" i="2" s="1"/>
  <c r="C372" i="2"/>
  <c r="D372" i="2"/>
  <c r="E372" i="2"/>
  <c r="F372" i="2"/>
  <c r="G372" i="2" s="1"/>
  <c r="C373" i="2"/>
  <c r="D373" i="2"/>
  <c r="E373" i="2"/>
  <c r="F373" i="2"/>
  <c r="G373" i="2" s="1"/>
  <c r="C374" i="2"/>
  <c r="D374" i="2"/>
  <c r="E374" i="2"/>
  <c r="F374" i="2"/>
  <c r="G374" i="2"/>
  <c r="C375" i="2"/>
  <c r="D375" i="2"/>
  <c r="E375" i="2"/>
  <c r="F375" i="2"/>
  <c r="G375" i="2"/>
  <c r="C376" i="2"/>
  <c r="D376" i="2"/>
  <c r="E376" i="2"/>
  <c r="F376" i="2"/>
  <c r="G376" i="2"/>
  <c r="C377" i="2"/>
  <c r="D377" i="2"/>
  <c r="E377" i="2"/>
  <c r="F377" i="2"/>
  <c r="G377" i="2" s="1"/>
  <c r="C378" i="2"/>
  <c r="D378" i="2"/>
  <c r="E378" i="2"/>
  <c r="F378" i="2"/>
  <c r="G378" i="2"/>
  <c r="C379" i="2"/>
  <c r="D379" i="2"/>
  <c r="E379" i="2"/>
  <c r="F379" i="2"/>
  <c r="G379" i="2" s="1"/>
  <c r="C380" i="2"/>
  <c r="D380" i="2"/>
  <c r="E380" i="2"/>
  <c r="F380" i="2"/>
  <c r="G380" i="2" s="1"/>
  <c r="C381" i="2"/>
  <c r="D381" i="2"/>
  <c r="E381" i="2"/>
  <c r="F381" i="2"/>
  <c r="G381" i="2" s="1"/>
  <c r="C382" i="2"/>
  <c r="D382" i="2"/>
  <c r="E382" i="2"/>
  <c r="F382" i="2"/>
  <c r="G382" i="2"/>
  <c r="C383" i="2"/>
  <c r="D383" i="2"/>
  <c r="E383" i="2"/>
  <c r="F383" i="2"/>
  <c r="G383" i="2"/>
  <c r="C384" i="2"/>
  <c r="D384" i="2"/>
  <c r="E384" i="2"/>
  <c r="F384" i="2"/>
  <c r="G384" i="2"/>
  <c r="C385" i="2"/>
  <c r="D385" i="2"/>
  <c r="E385" i="2"/>
  <c r="F385" i="2"/>
  <c r="G385" i="2" s="1"/>
  <c r="C386" i="2"/>
  <c r="D386" i="2"/>
  <c r="E386" i="2"/>
  <c r="F386" i="2"/>
  <c r="G386" i="2"/>
  <c r="C387" i="2"/>
  <c r="D387" i="2"/>
  <c r="E387" i="2"/>
  <c r="F387" i="2"/>
  <c r="G387" i="2" s="1"/>
  <c r="C388" i="2"/>
  <c r="D388" i="2"/>
  <c r="E388" i="2"/>
  <c r="F388" i="2"/>
  <c r="G388" i="2" s="1"/>
  <c r="C389" i="2"/>
  <c r="D389" i="2"/>
  <c r="E389" i="2"/>
  <c r="F389" i="2"/>
  <c r="G389" i="2" s="1"/>
  <c r="C390" i="2"/>
  <c r="D390" i="2"/>
  <c r="E390" i="2"/>
  <c r="F390" i="2"/>
  <c r="G390" i="2"/>
  <c r="C391" i="2"/>
  <c r="D391" i="2"/>
  <c r="E391" i="2"/>
  <c r="F391" i="2"/>
  <c r="G391" i="2"/>
  <c r="C392" i="2"/>
  <c r="D392" i="2"/>
  <c r="E392" i="2"/>
  <c r="F392" i="2"/>
  <c r="G392" i="2"/>
  <c r="C393" i="2"/>
  <c r="D393" i="2"/>
  <c r="E393" i="2"/>
  <c r="F393" i="2"/>
  <c r="G393" i="2" s="1"/>
  <c r="C394" i="2"/>
  <c r="D394" i="2"/>
  <c r="E394" i="2"/>
  <c r="F394" i="2"/>
  <c r="G394" i="2"/>
  <c r="C395" i="2"/>
  <c r="D395" i="2"/>
  <c r="E395" i="2"/>
  <c r="F395" i="2"/>
  <c r="G395" i="2" s="1"/>
  <c r="C396" i="2"/>
  <c r="D396" i="2"/>
  <c r="E396" i="2"/>
  <c r="F396" i="2"/>
  <c r="G396" i="2" s="1"/>
  <c r="C397" i="2"/>
  <c r="D397" i="2"/>
  <c r="E397" i="2"/>
  <c r="F397" i="2"/>
  <c r="G397" i="2" s="1"/>
  <c r="C398" i="2"/>
  <c r="D398" i="2"/>
  <c r="E398" i="2"/>
  <c r="F398" i="2"/>
  <c r="G398" i="2"/>
  <c r="C399" i="2"/>
  <c r="D399" i="2"/>
  <c r="E399" i="2"/>
  <c r="F399" i="2"/>
  <c r="G399" i="2"/>
  <c r="C400" i="2"/>
  <c r="D400" i="2"/>
  <c r="E400" i="2"/>
  <c r="F400" i="2"/>
  <c r="G400" i="2"/>
  <c r="C401" i="2"/>
  <c r="D401" i="2"/>
  <c r="E401" i="2"/>
  <c r="F401" i="2"/>
  <c r="G401" i="2" s="1"/>
  <c r="C402" i="2"/>
  <c r="D402" i="2"/>
  <c r="E402" i="2"/>
  <c r="F402" i="2"/>
  <c r="G402" i="2"/>
  <c r="C403" i="2"/>
  <c r="D403" i="2"/>
  <c r="E403" i="2"/>
  <c r="F403" i="2"/>
  <c r="G403" i="2" s="1"/>
  <c r="C404" i="2"/>
  <c r="D404" i="2"/>
  <c r="E404" i="2"/>
  <c r="F404" i="2"/>
  <c r="G404" i="2" s="1"/>
  <c r="C405" i="2"/>
  <c r="D405" i="2"/>
  <c r="E405" i="2"/>
  <c r="F405" i="2"/>
  <c r="G405" i="2" s="1"/>
  <c r="C406" i="2"/>
  <c r="D406" i="2"/>
  <c r="E406" i="2"/>
  <c r="F406" i="2"/>
  <c r="G406" i="2"/>
  <c r="C407" i="2"/>
  <c r="D407" i="2"/>
  <c r="E407" i="2"/>
  <c r="F407" i="2"/>
  <c r="G407" i="2"/>
  <c r="C408" i="2"/>
  <c r="D408" i="2"/>
  <c r="E408" i="2"/>
  <c r="F408" i="2"/>
  <c r="G408" i="2"/>
  <c r="C409" i="2"/>
  <c r="D409" i="2"/>
  <c r="E409" i="2"/>
  <c r="F409" i="2"/>
  <c r="G409" i="2" s="1"/>
  <c r="C410" i="2"/>
  <c r="D410" i="2"/>
  <c r="E410" i="2"/>
  <c r="F410" i="2"/>
  <c r="G410" i="2"/>
  <c r="C411" i="2"/>
  <c r="D411" i="2"/>
  <c r="E411" i="2"/>
  <c r="F411" i="2"/>
  <c r="G411" i="2" s="1"/>
  <c r="C412" i="2"/>
  <c r="D412" i="2"/>
  <c r="E412" i="2"/>
  <c r="F412" i="2"/>
  <c r="G412" i="2" s="1"/>
  <c r="C413" i="2"/>
  <c r="D413" i="2"/>
  <c r="E413" i="2"/>
  <c r="F413" i="2"/>
  <c r="G413" i="2" s="1"/>
  <c r="C414" i="2"/>
  <c r="D414" i="2"/>
  <c r="E414" i="2"/>
  <c r="F414" i="2"/>
  <c r="G414" i="2"/>
  <c r="C415" i="2"/>
  <c r="D415" i="2"/>
  <c r="E415" i="2"/>
  <c r="F415" i="2"/>
  <c r="G415" i="2"/>
  <c r="C416" i="2"/>
  <c r="D416" i="2"/>
  <c r="E416" i="2"/>
  <c r="F416" i="2"/>
  <c r="G416" i="2"/>
  <c r="C417" i="2"/>
  <c r="D417" i="2"/>
  <c r="E417" i="2"/>
  <c r="F417" i="2"/>
  <c r="G417" i="2" s="1"/>
  <c r="C418" i="2"/>
  <c r="D418" i="2"/>
  <c r="E418" i="2"/>
  <c r="F418" i="2"/>
  <c r="G418" i="2"/>
  <c r="C419" i="2"/>
  <c r="D419" i="2"/>
  <c r="E419" i="2"/>
  <c r="F419" i="2"/>
  <c r="G419" i="2" s="1"/>
  <c r="C420" i="2"/>
  <c r="D420" i="2"/>
  <c r="E420" i="2"/>
  <c r="F420" i="2"/>
  <c r="G420" i="2" s="1"/>
  <c r="C421" i="2"/>
  <c r="D421" i="2"/>
  <c r="E421" i="2"/>
  <c r="F421" i="2"/>
  <c r="G421" i="2" s="1"/>
  <c r="C422" i="2"/>
  <c r="D422" i="2"/>
  <c r="E422" i="2"/>
  <c r="F422" i="2"/>
  <c r="G422" i="2"/>
  <c r="C423" i="2"/>
  <c r="D423" i="2"/>
  <c r="E423" i="2"/>
  <c r="F423" i="2"/>
  <c r="G423" i="2"/>
  <c r="C424" i="2"/>
  <c r="D424" i="2"/>
  <c r="E424" i="2"/>
  <c r="F424" i="2"/>
  <c r="G424" i="2"/>
  <c r="C425" i="2"/>
  <c r="D425" i="2"/>
  <c r="E425" i="2"/>
  <c r="F425" i="2"/>
  <c r="G425" i="2" s="1"/>
  <c r="C426" i="2"/>
  <c r="D426" i="2"/>
  <c r="E426" i="2"/>
  <c r="F426" i="2"/>
  <c r="G426" i="2"/>
  <c r="C427" i="2"/>
  <c r="D427" i="2"/>
  <c r="E427" i="2"/>
  <c r="F427" i="2"/>
  <c r="G427" i="2" s="1"/>
  <c r="C428" i="2"/>
  <c r="D428" i="2"/>
  <c r="E428" i="2"/>
  <c r="F428" i="2"/>
  <c r="G428" i="2" s="1"/>
  <c r="C429" i="2"/>
  <c r="D429" i="2"/>
  <c r="E429" i="2"/>
  <c r="F429" i="2"/>
  <c r="G429" i="2" s="1"/>
  <c r="C430" i="2"/>
  <c r="D430" i="2"/>
  <c r="E430" i="2"/>
  <c r="F430" i="2"/>
  <c r="G430" i="2"/>
  <c r="C431" i="2"/>
  <c r="D431" i="2"/>
  <c r="E431" i="2"/>
  <c r="F431" i="2"/>
  <c r="G431" i="2"/>
  <c r="C432" i="2"/>
  <c r="D432" i="2"/>
  <c r="E432" i="2"/>
  <c r="F432" i="2"/>
  <c r="G432" i="2"/>
  <c r="C433" i="2"/>
  <c r="D433" i="2"/>
  <c r="E433" i="2"/>
  <c r="F433" i="2"/>
  <c r="G433" i="2" s="1"/>
  <c r="C434" i="2"/>
  <c r="D434" i="2"/>
  <c r="E434" i="2"/>
  <c r="F434" i="2"/>
  <c r="G434" i="2"/>
  <c r="C435" i="2"/>
  <c r="D435" i="2"/>
  <c r="E435" i="2"/>
  <c r="F435" i="2"/>
  <c r="G435" i="2" s="1"/>
  <c r="C436" i="2"/>
  <c r="D436" i="2"/>
  <c r="E436" i="2"/>
  <c r="F436" i="2"/>
  <c r="G436" i="2" s="1"/>
  <c r="C437" i="2"/>
  <c r="D437" i="2"/>
  <c r="E437" i="2"/>
  <c r="F437" i="2"/>
  <c r="G437" i="2" s="1"/>
  <c r="C438" i="2"/>
  <c r="D438" i="2"/>
  <c r="E438" i="2"/>
  <c r="F438" i="2"/>
  <c r="G438" i="2"/>
  <c r="C439" i="2"/>
  <c r="D439" i="2"/>
  <c r="E439" i="2"/>
  <c r="F439" i="2"/>
  <c r="G439" i="2"/>
  <c r="C440" i="2"/>
  <c r="D440" i="2"/>
  <c r="E440" i="2"/>
  <c r="F440" i="2"/>
  <c r="G440" i="2"/>
  <c r="C441" i="2"/>
  <c r="D441" i="2"/>
  <c r="E441" i="2"/>
  <c r="F441" i="2"/>
  <c r="G441" i="2" s="1"/>
  <c r="C442" i="2"/>
  <c r="D442" i="2"/>
  <c r="E442" i="2"/>
  <c r="F442" i="2"/>
  <c r="G442" i="2"/>
  <c r="C443" i="2"/>
  <c r="D443" i="2"/>
  <c r="E443" i="2"/>
  <c r="F443" i="2"/>
  <c r="G443" i="2" s="1"/>
  <c r="C444" i="2"/>
  <c r="D444" i="2"/>
  <c r="E444" i="2"/>
  <c r="F444" i="2"/>
  <c r="G444" i="2" s="1"/>
  <c r="C445" i="2"/>
  <c r="D445" i="2"/>
  <c r="E445" i="2"/>
  <c r="F445" i="2"/>
  <c r="G445" i="2" s="1"/>
  <c r="C446" i="2"/>
  <c r="D446" i="2"/>
  <c r="E446" i="2"/>
  <c r="F446" i="2"/>
  <c r="G446" i="2"/>
  <c r="C447" i="2"/>
  <c r="D447" i="2"/>
  <c r="E447" i="2"/>
  <c r="F447" i="2"/>
  <c r="G447" i="2"/>
  <c r="C448" i="2"/>
  <c r="D448" i="2"/>
  <c r="E448" i="2"/>
  <c r="F448" i="2"/>
  <c r="G448" i="2"/>
  <c r="C449" i="2"/>
  <c r="D449" i="2"/>
  <c r="E449" i="2"/>
  <c r="F449" i="2"/>
  <c r="G449" i="2" s="1"/>
  <c r="C450" i="2"/>
  <c r="D450" i="2"/>
  <c r="E450" i="2"/>
  <c r="F450" i="2"/>
  <c r="G450" i="2"/>
  <c r="C451" i="2"/>
  <c r="D451" i="2"/>
  <c r="E451" i="2"/>
  <c r="F451" i="2"/>
  <c r="G451" i="2" s="1"/>
  <c r="C452" i="2"/>
  <c r="D452" i="2"/>
  <c r="E452" i="2"/>
  <c r="F452" i="2"/>
  <c r="G452" i="2" s="1"/>
  <c r="C453" i="2"/>
  <c r="D453" i="2"/>
  <c r="E453" i="2"/>
  <c r="F453" i="2"/>
  <c r="G453" i="2" s="1"/>
  <c r="C454" i="2"/>
  <c r="D454" i="2"/>
  <c r="E454" i="2"/>
  <c r="F454" i="2"/>
  <c r="G454" i="2"/>
  <c r="C455" i="2"/>
  <c r="D455" i="2"/>
  <c r="E455" i="2"/>
  <c r="F455" i="2"/>
  <c r="G455" i="2"/>
  <c r="C456" i="2"/>
  <c r="D456" i="2"/>
  <c r="E456" i="2"/>
  <c r="F456" i="2"/>
  <c r="G456" i="2"/>
  <c r="C457" i="2"/>
  <c r="D457" i="2"/>
  <c r="E457" i="2"/>
  <c r="F457" i="2"/>
  <c r="G457" i="2" s="1"/>
  <c r="C458" i="2"/>
  <c r="D458" i="2"/>
  <c r="E458" i="2"/>
  <c r="F458" i="2"/>
  <c r="G458" i="2"/>
  <c r="C459" i="2"/>
  <c r="D459" i="2"/>
  <c r="E459" i="2"/>
  <c r="F459" i="2"/>
  <c r="G459" i="2" s="1"/>
  <c r="C460" i="2"/>
  <c r="D460" i="2"/>
  <c r="E460" i="2"/>
  <c r="F460" i="2"/>
  <c r="G460" i="2" s="1"/>
  <c r="C461" i="2"/>
  <c r="D461" i="2"/>
  <c r="E461" i="2"/>
  <c r="F461" i="2"/>
  <c r="G461" i="2" s="1"/>
  <c r="C462" i="2"/>
  <c r="D462" i="2"/>
  <c r="E462" i="2"/>
  <c r="F462" i="2"/>
  <c r="G462" i="2"/>
  <c r="C463" i="2"/>
  <c r="D463" i="2"/>
  <c r="E463" i="2"/>
  <c r="F463" i="2"/>
  <c r="G463" i="2"/>
  <c r="C464" i="2"/>
  <c r="D464" i="2"/>
  <c r="E464" i="2"/>
  <c r="F464" i="2"/>
  <c r="G464" i="2"/>
  <c r="C465" i="2"/>
  <c r="D465" i="2"/>
  <c r="E465" i="2"/>
  <c r="F465" i="2"/>
  <c r="G465" i="2" s="1"/>
  <c r="C466" i="2"/>
  <c r="D466" i="2"/>
  <c r="E466" i="2"/>
  <c r="F466" i="2"/>
  <c r="G466" i="2"/>
  <c r="C467" i="2"/>
  <c r="D467" i="2"/>
  <c r="E467" i="2"/>
  <c r="F467" i="2"/>
  <c r="G467" i="2" s="1"/>
  <c r="C468" i="2"/>
  <c r="D468" i="2"/>
  <c r="E468" i="2"/>
  <c r="F468" i="2"/>
  <c r="G468" i="2" s="1"/>
  <c r="C469" i="2"/>
  <c r="D469" i="2"/>
  <c r="E469" i="2"/>
  <c r="F469" i="2"/>
  <c r="G469" i="2" s="1"/>
  <c r="C470" i="2"/>
  <c r="D470" i="2"/>
  <c r="E470" i="2"/>
  <c r="F470" i="2"/>
  <c r="G470" i="2"/>
  <c r="C471" i="2"/>
  <c r="D471" i="2"/>
  <c r="E471" i="2"/>
  <c r="F471" i="2"/>
  <c r="G471" i="2"/>
  <c r="C472" i="2"/>
  <c r="D472" i="2"/>
  <c r="E472" i="2"/>
  <c r="F472" i="2"/>
  <c r="G472" i="2"/>
  <c r="C473" i="2"/>
  <c r="D473" i="2"/>
  <c r="E473" i="2"/>
  <c r="F473" i="2"/>
  <c r="G473" i="2" s="1"/>
  <c r="C474" i="2"/>
  <c r="D474" i="2"/>
  <c r="E474" i="2"/>
  <c r="F474" i="2"/>
  <c r="G474" i="2"/>
  <c r="C475" i="2"/>
  <c r="D475" i="2"/>
  <c r="E475" i="2"/>
  <c r="F475" i="2"/>
  <c r="G475" i="2" s="1"/>
  <c r="C476" i="2"/>
  <c r="D476" i="2"/>
  <c r="E476" i="2"/>
  <c r="F476" i="2"/>
  <c r="G476" i="2" s="1"/>
  <c r="C477" i="2"/>
  <c r="D477" i="2"/>
  <c r="E477" i="2"/>
  <c r="F477" i="2"/>
  <c r="G477" i="2" s="1"/>
  <c r="C478" i="2"/>
  <c r="D478" i="2"/>
  <c r="E478" i="2"/>
  <c r="F478" i="2"/>
  <c r="G478" i="2"/>
  <c r="C479" i="2"/>
  <c r="D479" i="2"/>
  <c r="E479" i="2"/>
  <c r="F479" i="2"/>
  <c r="G479" i="2"/>
  <c r="C480" i="2"/>
  <c r="D480" i="2"/>
  <c r="E480" i="2"/>
  <c r="F480" i="2"/>
  <c r="G480" i="2"/>
  <c r="C481" i="2"/>
  <c r="D481" i="2"/>
  <c r="E481" i="2"/>
  <c r="F481" i="2"/>
  <c r="G481" i="2" s="1"/>
  <c r="C482" i="2"/>
  <c r="D482" i="2"/>
  <c r="E482" i="2"/>
  <c r="F482" i="2"/>
  <c r="G482" i="2"/>
  <c r="C483" i="2"/>
  <c r="D483" i="2"/>
  <c r="E483" i="2"/>
  <c r="F483" i="2"/>
  <c r="G483" i="2" s="1"/>
  <c r="C484" i="2"/>
  <c r="D484" i="2"/>
  <c r="E484" i="2"/>
  <c r="F484" i="2"/>
  <c r="G484" i="2" s="1"/>
  <c r="C485" i="2"/>
  <c r="D485" i="2"/>
  <c r="E485" i="2"/>
  <c r="F485" i="2"/>
  <c r="G485" i="2" s="1"/>
  <c r="C486" i="2"/>
  <c r="D486" i="2"/>
  <c r="E486" i="2"/>
  <c r="F486" i="2"/>
  <c r="G486" i="2"/>
  <c r="C487" i="2"/>
  <c r="D487" i="2"/>
  <c r="E487" i="2"/>
  <c r="F487" i="2"/>
  <c r="G487" i="2"/>
  <c r="C488" i="2"/>
  <c r="D488" i="2"/>
  <c r="E488" i="2"/>
  <c r="F488" i="2"/>
  <c r="G488" i="2"/>
  <c r="C489" i="2"/>
  <c r="D489" i="2"/>
  <c r="E489" i="2"/>
  <c r="F489" i="2"/>
  <c r="G489" i="2" s="1"/>
  <c r="C490" i="2"/>
  <c r="D490" i="2"/>
  <c r="E490" i="2"/>
  <c r="F490" i="2"/>
  <c r="G490" i="2"/>
  <c r="C491" i="2"/>
  <c r="D491" i="2"/>
  <c r="E491" i="2"/>
  <c r="F491" i="2"/>
  <c r="G491" i="2" s="1"/>
  <c r="C492" i="2"/>
  <c r="D492" i="2"/>
  <c r="E492" i="2"/>
  <c r="F492" i="2"/>
  <c r="G492" i="2" s="1"/>
  <c r="C493" i="2"/>
  <c r="D493" i="2"/>
  <c r="E493" i="2"/>
  <c r="F493" i="2"/>
  <c r="G493" i="2" s="1"/>
  <c r="C494" i="2"/>
  <c r="D494" i="2"/>
  <c r="E494" i="2"/>
  <c r="F494" i="2"/>
  <c r="G494" i="2" s="1"/>
  <c r="C495" i="2"/>
  <c r="D495" i="2"/>
  <c r="E495" i="2"/>
  <c r="F495" i="2"/>
  <c r="G495" i="2"/>
  <c r="C496" i="2"/>
  <c r="D496" i="2"/>
  <c r="E496" i="2"/>
  <c r="F496" i="2"/>
  <c r="G496" i="2"/>
  <c r="C497" i="2"/>
  <c r="D497" i="2"/>
  <c r="E497" i="2"/>
  <c r="F497" i="2"/>
  <c r="G497" i="2" s="1"/>
  <c r="C498" i="2"/>
  <c r="D498" i="2"/>
  <c r="E498" i="2"/>
  <c r="F498" i="2"/>
  <c r="G498" i="2"/>
  <c r="C499" i="2"/>
  <c r="D499" i="2"/>
  <c r="E499" i="2"/>
  <c r="F499" i="2"/>
  <c r="G499" i="2" s="1"/>
  <c r="C500" i="2"/>
  <c r="D500" i="2"/>
  <c r="E500" i="2"/>
  <c r="F500" i="2"/>
  <c r="G500" i="2" s="1"/>
  <c r="C501" i="2"/>
  <c r="D501" i="2"/>
  <c r="E501" i="2"/>
  <c r="F501" i="2"/>
  <c r="G501" i="2" s="1"/>
  <c r="C502" i="2"/>
  <c r="D502" i="2"/>
  <c r="E502" i="2"/>
  <c r="F502" i="2"/>
  <c r="G502" i="2" s="1"/>
  <c r="C503" i="2"/>
  <c r="D503" i="2"/>
  <c r="E503" i="2"/>
  <c r="F503" i="2"/>
  <c r="G503" i="2"/>
  <c r="C504" i="2"/>
  <c r="D504" i="2"/>
  <c r="E504" i="2"/>
  <c r="F504" i="2"/>
  <c r="G504" i="2"/>
  <c r="C505" i="2"/>
  <c r="D505" i="2"/>
  <c r="E505" i="2"/>
  <c r="F505" i="2"/>
  <c r="G505" i="2" s="1"/>
  <c r="C506" i="2"/>
  <c r="D506" i="2"/>
  <c r="E506" i="2"/>
  <c r="F506" i="2"/>
  <c r="G506" i="2"/>
  <c r="C507" i="2"/>
  <c r="D507" i="2"/>
  <c r="E507" i="2"/>
  <c r="F507" i="2"/>
  <c r="G507" i="2" s="1"/>
  <c r="C508" i="2"/>
  <c r="D508" i="2"/>
  <c r="E508" i="2"/>
  <c r="F508" i="2"/>
  <c r="G508" i="2" s="1"/>
  <c r="C509" i="2"/>
  <c r="D509" i="2"/>
  <c r="E509" i="2"/>
  <c r="F509" i="2"/>
  <c r="G509" i="2" s="1"/>
  <c r="C510" i="2"/>
  <c r="D510" i="2"/>
  <c r="E510" i="2"/>
  <c r="F510" i="2"/>
  <c r="G510" i="2" s="1"/>
  <c r="C511" i="2"/>
  <c r="D511" i="2"/>
  <c r="E511" i="2"/>
  <c r="F511" i="2"/>
  <c r="G511" i="2"/>
  <c r="C512" i="2"/>
  <c r="D512" i="2"/>
  <c r="E512" i="2"/>
  <c r="F512" i="2"/>
  <c r="G512" i="2"/>
  <c r="C513" i="2"/>
  <c r="D513" i="2"/>
  <c r="E513" i="2"/>
  <c r="F513" i="2"/>
  <c r="G513" i="2" s="1"/>
  <c r="C514" i="2"/>
  <c r="D514" i="2"/>
  <c r="E514" i="2"/>
  <c r="F514" i="2"/>
  <c r="G514" i="2"/>
  <c r="C515" i="2"/>
  <c r="D515" i="2"/>
  <c r="E515" i="2"/>
  <c r="F515" i="2"/>
  <c r="G515" i="2"/>
  <c r="C516" i="2"/>
  <c r="D516" i="2"/>
  <c r="E516" i="2"/>
  <c r="F516" i="2"/>
  <c r="G516" i="2" s="1"/>
  <c r="C517" i="2"/>
  <c r="D517" i="2"/>
  <c r="E517" i="2"/>
  <c r="F517" i="2"/>
  <c r="G517" i="2" s="1"/>
  <c r="C518" i="2"/>
  <c r="D518" i="2"/>
  <c r="E518" i="2"/>
  <c r="F518" i="2"/>
  <c r="G518" i="2" s="1"/>
  <c r="C519" i="2"/>
  <c r="D519" i="2"/>
  <c r="E519" i="2"/>
  <c r="F519" i="2"/>
  <c r="G519" i="2"/>
  <c r="C520" i="2"/>
  <c r="D520" i="2"/>
  <c r="E520" i="2"/>
  <c r="F520" i="2"/>
  <c r="G520" i="2"/>
  <c r="C521" i="2"/>
  <c r="D521" i="2"/>
  <c r="E521" i="2"/>
  <c r="F521" i="2"/>
  <c r="G521" i="2" s="1"/>
  <c r="C522" i="2"/>
  <c r="D522" i="2"/>
  <c r="E522" i="2"/>
  <c r="F522" i="2"/>
  <c r="G522" i="2"/>
  <c r="C523" i="2"/>
  <c r="D523" i="2"/>
  <c r="E523" i="2"/>
  <c r="F523" i="2"/>
  <c r="G523" i="2"/>
  <c r="C524" i="2"/>
  <c r="D524" i="2"/>
  <c r="E524" i="2"/>
  <c r="F524" i="2"/>
  <c r="G524" i="2" s="1"/>
  <c r="C525" i="2"/>
  <c r="D525" i="2"/>
  <c r="E525" i="2"/>
  <c r="F525" i="2"/>
  <c r="G525" i="2" s="1"/>
  <c r="C526" i="2"/>
  <c r="D526" i="2"/>
  <c r="E526" i="2"/>
  <c r="F526" i="2"/>
  <c r="G526" i="2" s="1"/>
  <c r="C527" i="2"/>
  <c r="D527" i="2"/>
  <c r="E527" i="2"/>
  <c r="F527" i="2"/>
  <c r="G527" i="2"/>
  <c r="C528" i="2"/>
  <c r="D528" i="2"/>
  <c r="E528" i="2"/>
  <c r="F528" i="2"/>
  <c r="G528" i="2"/>
  <c r="C529" i="2"/>
  <c r="D529" i="2"/>
  <c r="E529" i="2"/>
  <c r="F529" i="2"/>
  <c r="G529" i="2" s="1"/>
  <c r="C530" i="2"/>
  <c r="D530" i="2"/>
  <c r="E530" i="2"/>
  <c r="F530" i="2"/>
  <c r="G530" i="2"/>
  <c r="C531" i="2"/>
  <c r="D531" i="2"/>
  <c r="E531" i="2"/>
  <c r="F531" i="2"/>
  <c r="G531" i="2"/>
  <c r="C532" i="2"/>
  <c r="D532" i="2"/>
  <c r="E532" i="2"/>
  <c r="F532" i="2"/>
  <c r="G532" i="2" s="1"/>
  <c r="C533" i="2"/>
  <c r="D533" i="2"/>
  <c r="E533" i="2"/>
  <c r="F533" i="2"/>
  <c r="G533" i="2" s="1"/>
  <c r="C534" i="2"/>
  <c r="D534" i="2"/>
  <c r="E534" i="2"/>
  <c r="F534" i="2"/>
  <c r="G534" i="2" s="1"/>
  <c r="C535" i="2"/>
  <c r="D535" i="2"/>
  <c r="E535" i="2"/>
  <c r="F535" i="2"/>
  <c r="G535" i="2"/>
  <c r="C536" i="2"/>
  <c r="D536" i="2"/>
  <c r="E536" i="2"/>
  <c r="F536" i="2"/>
  <c r="G536" i="2"/>
  <c r="C537" i="2"/>
  <c r="D537" i="2"/>
  <c r="E537" i="2"/>
  <c r="F537" i="2"/>
  <c r="G537" i="2" s="1"/>
  <c r="C538" i="2"/>
  <c r="D538" i="2"/>
  <c r="E538" i="2"/>
  <c r="F538" i="2"/>
  <c r="G538" i="2"/>
  <c r="C539" i="2"/>
  <c r="D539" i="2"/>
  <c r="E539" i="2"/>
  <c r="F539" i="2"/>
  <c r="G539" i="2"/>
  <c r="C540" i="2"/>
  <c r="D540" i="2"/>
  <c r="E540" i="2"/>
  <c r="F540" i="2"/>
  <c r="G540" i="2" s="1"/>
  <c r="C541" i="2"/>
  <c r="D541" i="2"/>
  <c r="E541" i="2"/>
  <c r="F541" i="2"/>
  <c r="G541" i="2" s="1"/>
  <c r="C542" i="2"/>
  <c r="D542" i="2"/>
  <c r="E542" i="2"/>
  <c r="F542" i="2"/>
  <c r="G542" i="2" s="1"/>
  <c r="C543" i="2"/>
  <c r="D543" i="2"/>
  <c r="E543" i="2"/>
  <c r="F543" i="2"/>
  <c r="G543" i="2"/>
  <c r="C544" i="2"/>
  <c r="D544" i="2"/>
  <c r="E544" i="2"/>
  <c r="F544" i="2"/>
  <c r="G544" i="2"/>
  <c r="C545" i="2"/>
  <c r="D545" i="2"/>
  <c r="E545" i="2"/>
  <c r="F545" i="2"/>
  <c r="G545" i="2" s="1"/>
  <c r="C546" i="2"/>
  <c r="D546" i="2"/>
  <c r="E546" i="2"/>
  <c r="F546" i="2"/>
  <c r="G546" i="2"/>
  <c r="C547" i="2"/>
  <c r="D547" i="2"/>
  <c r="E547" i="2"/>
  <c r="F547" i="2"/>
  <c r="G547" i="2"/>
  <c r="C548" i="2"/>
  <c r="D548" i="2"/>
  <c r="E548" i="2"/>
  <c r="F548" i="2"/>
  <c r="G548" i="2" s="1"/>
  <c r="C549" i="2"/>
  <c r="D549" i="2"/>
  <c r="E549" i="2"/>
  <c r="F549" i="2"/>
  <c r="G549" i="2" s="1"/>
  <c r="C550" i="2"/>
  <c r="D550" i="2"/>
  <c r="E550" i="2"/>
  <c r="F550" i="2"/>
  <c r="G550" i="2" s="1"/>
  <c r="C551" i="2"/>
  <c r="D551" i="2"/>
  <c r="E551" i="2"/>
  <c r="F551" i="2"/>
  <c r="G551" i="2"/>
  <c r="C552" i="2"/>
  <c r="D552" i="2"/>
  <c r="E552" i="2"/>
  <c r="F552" i="2"/>
  <c r="G552" i="2"/>
  <c r="C553" i="2"/>
  <c r="D553" i="2"/>
  <c r="E553" i="2"/>
  <c r="F553" i="2"/>
  <c r="G553" i="2" s="1"/>
  <c r="C554" i="2"/>
  <c r="D554" i="2"/>
  <c r="E554" i="2"/>
  <c r="F554" i="2"/>
  <c r="G554" i="2"/>
  <c r="C555" i="2"/>
  <c r="D555" i="2"/>
  <c r="E555" i="2"/>
  <c r="F555" i="2"/>
  <c r="G555" i="2"/>
  <c r="C556" i="2"/>
  <c r="D556" i="2"/>
  <c r="E556" i="2"/>
  <c r="F556" i="2"/>
  <c r="G556" i="2" s="1"/>
  <c r="C557" i="2"/>
  <c r="D557" i="2"/>
  <c r="E557" i="2"/>
  <c r="F557" i="2"/>
  <c r="G557" i="2" s="1"/>
  <c r="C558" i="2"/>
  <c r="D558" i="2"/>
  <c r="E558" i="2"/>
  <c r="F558" i="2"/>
  <c r="G558" i="2" s="1"/>
  <c r="C559" i="2"/>
  <c r="D559" i="2"/>
  <c r="E559" i="2"/>
  <c r="F559" i="2"/>
  <c r="G559" i="2"/>
  <c r="C560" i="2"/>
  <c r="D560" i="2"/>
  <c r="E560" i="2"/>
  <c r="F560" i="2"/>
  <c r="G560" i="2"/>
  <c r="C561" i="2"/>
  <c r="D561" i="2"/>
  <c r="E561" i="2"/>
  <c r="F561" i="2"/>
  <c r="G561" i="2" s="1"/>
  <c r="C562" i="2"/>
  <c r="D562" i="2"/>
  <c r="E562" i="2"/>
  <c r="F562" i="2"/>
  <c r="G562" i="2"/>
  <c r="C563" i="2"/>
  <c r="D563" i="2"/>
  <c r="E563" i="2"/>
  <c r="F563" i="2"/>
  <c r="G563" i="2"/>
  <c r="C564" i="2"/>
  <c r="D564" i="2"/>
  <c r="E564" i="2"/>
  <c r="F564" i="2"/>
  <c r="G564" i="2" s="1"/>
  <c r="C565" i="2"/>
  <c r="D565" i="2"/>
  <c r="E565" i="2"/>
  <c r="F565" i="2"/>
  <c r="G565" i="2" s="1"/>
  <c r="C566" i="2"/>
  <c r="D566" i="2"/>
  <c r="E566" i="2"/>
  <c r="F566" i="2"/>
  <c r="G566" i="2" s="1"/>
  <c r="C567" i="2"/>
  <c r="D567" i="2"/>
  <c r="E567" i="2"/>
  <c r="F567" i="2"/>
  <c r="G567" i="2"/>
  <c r="C568" i="2"/>
  <c r="D568" i="2"/>
  <c r="E568" i="2"/>
  <c r="F568" i="2"/>
  <c r="G568" i="2"/>
  <c r="C569" i="2"/>
  <c r="D569" i="2"/>
  <c r="E569" i="2"/>
  <c r="F569" i="2"/>
  <c r="G569" i="2" s="1"/>
  <c r="C570" i="2"/>
  <c r="D570" i="2"/>
  <c r="E570" i="2"/>
  <c r="F570" i="2"/>
  <c r="G570" i="2"/>
  <c r="C571" i="2"/>
  <c r="D571" i="2"/>
  <c r="E571" i="2"/>
  <c r="F571" i="2"/>
  <c r="G571" i="2"/>
  <c r="C572" i="2"/>
  <c r="D572" i="2"/>
  <c r="E572" i="2"/>
  <c r="F572" i="2"/>
  <c r="G572" i="2" s="1"/>
  <c r="C573" i="2"/>
  <c r="D573" i="2"/>
  <c r="E573" i="2"/>
  <c r="F573" i="2"/>
  <c r="G573" i="2" s="1"/>
  <c r="C574" i="2"/>
  <c r="D574" i="2"/>
  <c r="E574" i="2"/>
  <c r="F574" i="2"/>
  <c r="G574" i="2" s="1"/>
  <c r="C575" i="2"/>
  <c r="D575" i="2"/>
  <c r="E575" i="2"/>
  <c r="F575" i="2"/>
  <c r="G575" i="2"/>
  <c r="C576" i="2"/>
  <c r="D576" i="2"/>
  <c r="E576" i="2"/>
  <c r="F576" i="2"/>
  <c r="G576" i="2"/>
  <c r="C577" i="2"/>
  <c r="D577" i="2"/>
  <c r="E577" i="2"/>
  <c r="F577" i="2"/>
  <c r="G577" i="2" s="1"/>
  <c r="C578" i="2"/>
  <c r="D578" i="2"/>
  <c r="E578" i="2"/>
  <c r="F578" i="2"/>
  <c r="G578" i="2"/>
  <c r="C579" i="2"/>
  <c r="D579" i="2"/>
  <c r="E579" i="2"/>
  <c r="F579" i="2"/>
  <c r="G579" i="2"/>
  <c r="C580" i="2"/>
  <c r="D580" i="2"/>
  <c r="E580" i="2"/>
  <c r="F580" i="2"/>
  <c r="G580" i="2" s="1"/>
  <c r="C581" i="2"/>
  <c r="D581" i="2"/>
  <c r="E581" i="2"/>
  <c r="F581" i="2"/>
  <c r="G581" i="2" s="1"/>
  <c r="C582" i="2"/>
  <c r="D582" i="2"/>
  <c r="E582" i="2"/>
  <c r="F582" i="2"/>
  <c r="G582" i="2" s="1"/>
  <c r="C583" i="2"/>
  <c r="D583" i="2"/>
  <c r="E583" i="2"/>
  <c r="F583" i="2"/>
  <c r="G583" i="2"/>
  <c r="C584" i="2"/>
  <c r="D584" i="2"/>
  <c r="E584" i="2"/>
  <c r="F584" i="2"/>
  <c r="G584" i="2"/>
  <c r="C585" i="2"/>
  <c r="D585" i="2"/>
  <c r="E585" i="2"/>
  <c r="F585" i="2"/>
  <c r="G585" i="2" s="1"/>
  <c r="C586" i="2"/>
  <c r="D586" i="2"/>
  <c r="E586" i="2"/>
  <c r="F586" i="2"/>
  <c r="G586" i="2"/>
  <c r="C587" i="2"/>
  <c r="D587" i="2"/>
  <c r="E587" i="2"/>
  <c r="F587" i="2"/>
  <c r="G587" i="2"/>
  <c r="C588" i="2"/>
  <c r="D588" i="2"/>
  <c r="E588" i="2"/>
  <c r="F588" i="2"/>
  <c r="G588" i="2" s="1"/>
  <c r="C589" i="2"/>
  <c r="D589" i="2"/>
  <c r="E589" i="2"/>
  <c r="F589" i="2"/>
  <c r="G589" i="2" s="1"/>
  <c r="C590" i="2"/>
  <c r="D590" i="2"/>
  <c r="E590" i="2"/>
  <c r="F590" i="2"/>
  <c r="G590" i="2" s="1"/>
  <c r="C591" i="2"/>
  <c r="D591" i="2"/>
  <c r="E591" i="2"/>
  <c r="F591" i="2"/>
  <c r="G591" i="2"/>
  <c r="C592" i="2"/>
  <c r="D592" i="2"/>
  <c r="E592" i="2"/>
  <c r="F592" i="2"/>
  <c r="G592" i="2"/>
  <c r="C593" i="2"/>
  <c r="D593" i="2"/>
  <c r="E593" i="2"/>
  <c r="F593" i="2"/>
  <c r="G593" i="2" s="1"/>
  <c r="C594" i="2"/>
  <c r="D594" i="2"/>
  <c r="E594" i="2"/>
  <c r="F594" i="2"/>
  <c r="G594" i="2"/>
  <c r="C595" i="2"/>
  <c r="D595" i="2"/>
  <c r="E595" i="2"/>
  <c r="F595" i="2"/>
  <c r="G595" i="2"/>
  <c r="C596" i="2"/>
  <c r="D596" i="2"/>
  <c r="E596" i="2"/>
  <c r="F596" i="2"/>
  <c r="G596" i="2" s="1"/>
  <c r="C597" i="2"/>
  <c r="D597" i="2"/>
  <c r="E597" i="2"/>
  <c r="F597" i="2"/>
  <c r="G597" i="2" s="1"/>
  <c r="C598" i="2"/>
  <c r="D598" i="2"/>
  <c r="E598" i="2"/>
  <c r="F598" i="2"/>
  <c r="G598" i="2" s="1"/>
  <c r="C599" i="2"/>
  <c r="D599" i="2"/>
  <c r="E599" i="2"/>
  <c r="F599" i="2"/>
  <c r="G599" i="2"/>
  <c r="C600" i="2"/>
  <c r="D600" i="2"/>
  <c r="E600" i="2"/>
  <c r="F600" i="2"/>
  <c r="G600" i="2"/>
  <c r="C601" i="2"/>
  <c r="D601" i="2"/>
  <c r="E601" i="2"/>
  <c r="F601" i="2"/>
  <c r="G601" i="2" s="1"/>
  <c r="C602" i="2"/>
  <c r="D602" i="2"/>
  <c r="E602" i="2"/>
  <c r="F602" i="2"/>
  <c r="G602" i="2"/>
  <c r="C603" i="2"/>
  <c r="D603" i="2"/>
  <c r="E603" i="2"/>
  <c r="F603" i="2"/>
  <c r="G603" i="2"/>
  <c r="C604" i="2"/>
  <c r="D604" i="2"/>
  <c r="E604" i="2"/>
  <c r="F604" i="2"/>
  <c r="G604" i="2" s="1"/>
  <c r="C605" i="2"/>
  <c r="D605" i="2"/>
  <c r="E605" i="2"/>
  <c r="F605" i="2"/>
  <c r="G605" i="2" s="1"/>
  <c r="C606" i="2"/>
  <c r="D606" i="2"/>
  <c r="E606" i="2"/>
  <c r="F606" i="2"/>
  <c r="G606" i="2" s="1"/>
  <c r="C607" i="2"/>
  <c r="D607" i="2"/>
  <c r="E607" i="2"/>
  <c r="F607" i="2"/>
  <c r="G607" i="2"/>
  <c r="C608" i="2"/>
  <c r="D608" i="2"/>
  <c r="E608" i="2"/>
  <c r="F608" i="2"/>
  <c r="G608" i="2"/>
  <c r="C609" i="2"/>
  <c r="D609" i="2"/>
  <c r="E609" i="2"/>
  <c r="F609" i="2"/>
  <c r="G609" i="2" s="1"/>
  <c r="C610" i="2"/>
  <c r="D610" i="2"/>
  <c r="E610" i="2"/>
  <c r="F610" i="2"/>
  <c r="G610" i="2"/>
  <c r="C611" i="2"/>
  <c r="D611" i="2"/>
  <c r="E611" i="2"/>
  <c r="F611" i="2"/>
  <c r="G611" i="2"/>
  <c r="C612" i="2"/>
  <c r="D612" i="2"/>
  <c r="E612" i="2"/>
  <c r="F612" i="2"/>
  <c r="G612" i="2" s="1"/>
  <c r="C613" i="2"/>
  <c r="D613" i="2"/>
  <c r="E613" i="2"/>
  <c r="F613" i="2"/>
  <c r="G613" i="2" s="1"/>
  <c r="C614" i="2"/>
  <c r="D614" i="2"/>
  <c r="E614" i="2"/>
  <c r="F614" i="2"/>
  <c r="G614" i="2" s="1"/>
  <c r="C615" i="2"/>
  <c r="D615" i="2"/>
  <c r="E615" i="2"/>
  <c r="F615" i="2"/>
  <c r="G615" i="2"/>
  <c r="C616" i="2"/>
  <c r="D616" i="2"/>
  <c r="E616" i="2"/>
  <c r="F616" i="2"/>
  <c r="G616" i="2"/>
  <c r="C617" i="2"/>
  <c r="D617" i="2"/>
  <c r="E617" i="2"/>
  <c r="F617" i="2"/>
  <c r="G617" i="2" s="1"/>
  <c r="C618" i="2"/>
  <c r="D618" i="2"/>
  <c r="E618" i="2"/>
  <c r="F618" i="2"/>
  <c r="G618" i="2"/>
  <c r="C619" i="2"/>
  <c r="D619" i="2"/>
  <c r="E619" i="2"/>
  <c r="F619" i="2"/>
  <c r="G619" i="2"/>
  <c r="C620" i="2"/>
  <c r="D620" i="2"/>
  <c r="E620" i="2"/>
  <c r="F620" i="2"/>
  <c r="G620" i="2" s="1"/>
  <c r="C621" i="2"/>
  <c r="D621" i="2"/>
  <c r="E621" i="2"/>
  <c r="F621" i="2"/>
  <c r="G621" i="2" s="1"/>
  <c r="C622" i="2"/>
  <c r="D622" i="2"/>
  <c r="E622" i="2"/>
  <c r="F622" i="2"/>
  <c r="G622" i="2" s="1"/>
  <c r="C623" i="2"/>
  <c r="D623" i="2"/>
  <c r="E623" i="2"/>
  <c r="F623" i="2"/>
  <c r="G623" i="2"/>
  <c r="C624" i="2"/>
  <c r="D624" i="2"/>
  <c r="E624" i="2"/>
  <c r="F624" i="2"/>
  <c r="G624" i="2"/>
  <c r="C625" i="2"/>
  <c r="D625" i="2"/>
  <c r="E625" i="2"/>
  <c r="F625" i="2"/>
  <c r="G625" i="2" s="1"/>
  <c r="C626" i="2"/>
  <c r="D626" i="2"/>
  <c r="E626" i="2"/>
  <c r="F626" i="2"/>
  <c r="G626" i="2"/>
  <c r="C627" i="2"/>
  <c r="D627" i="2"/>
  <c r="E627" i="2"/>
  <c r="F627" i="2"/>
  <c r="G627" i="2"/>
  <c r="C628" i="2"/>
  <c r="D628" i="2"/>
  <c r="E628" i="2"/>
  <c r="F628" i="2"/>
  <c r="G628" i="2" s="1"/>
  <c r="C629" i="2"/>
  <c r="D629" i="2"/>
  <c r="E629" i="2"/>
  <c r="F629" i="2"/>
  <c r="G629" i="2" s="1"/>
  <c r="C630" i="2"/>
  <c r="D630" i="2"/>
  <c r="E630" i="2"/>
  <c r="F630" i="2"/>
  <c r="G630" i="2" s="1"/>
  <c r="C631" i="2"/>
  <c r="D631" i="2"/>
  <c r="E631" i="2"/>
  <c r="F631" i="2"/>
  <c r="G631" i="2"/>
  <c r="C632" i="2"/>
  <c r="D632" i="2"/>
  <c r="E632" i="2"/>
  <c r="F632" i="2"/>
  <c r="G632" i="2"/>
  <c r="C633" i="2"/>
  <c r="D633" i="2"/>
  <c r="E633" i="2"/>
  <c r="F633" i="2"/>
  <c r="G633" i="2" s="1"/>
  <c r="C634" i="2"/>
  <c r="D634" i="2"/>
  <c r="E634" i="2"/>
  <c r="F634" i="2"/>
  <c r="G634" i="2"/>
  <c r="C635" i="2"/>
  <c r="D635" i="2"/>
  <c r="E635" i="2"/>
  <c r="F635" i="2"/>
  <c r="G635" i="2"/>
  <c r="C636" i="2"/>
  <c r="D636" i="2"/>
  <c r="E636" i="2"/>
  <c r="F636" i="2"/>
  <c r="G636" i="2" s="1"/>
  <c r="C637" i="2"/>
  <c r="D637" i="2"/>
  <c r="E637" i="2"/>
  <c r="F637" i="2"/>
  <c r="G637" i="2" s="1"/>
  <c r="C638" i="2"/>
  <c r="D638" i="2"/>
  <c r="E638" i="2"/>
  <c r="F638" i="2"/>
  <c r="G638" i="2" s="1"/>
  <c r="C639" i="2"/>
  <c r="D639" i="2"/>
  <c r="E639" i="2"/>
  <c r="F639" i="2"/>
  <c r="G639" i="2"/>
  <c r="C640" i="2"/>
  <c r="D640" i="2"/>
  <c r="E640" i="2"/>
  <c r="F640" i="2"/>
  <c r="G640" i="2"/>
  <c r="C641" i="2"/>
  <c r="D641" i="2"/>
  <c r="E641" i="2"/>
  <c r="F641" i="2"/>
  <c r="G641" i="2" s="1"/>
  <c r="C642" i="2"/>
  <c r="D642" i="2"/>
  <c r="E642" i="2"/>
  <c r="F642" i="2"/>
  <c r="G642" i="2"/>
  <c r="C643" i="2"/>
  <c r="D643" i="2"/>
  <c r="E643" i="2"/>
  <c r="F643" i="2"/>
  <c r="G643" i="2"/>
  <c r="C644" i="2"/>
  <c r="D644" i="2"/>
  <c r="E644" i="2"/>
  <c r="F644" i="2"/>
  <c r="G644" i="2" s="1"/>
  <c r="C645" i="2"/>
  <c r="D645" i="2"/>
  <c r="E645" i="2"/>
  <c r="F645" i="2"/>
  <c r="G645" i="2" s="1"/>
  <c r="C646" i="2"/>
  <c r="D646" i="2"/>
  <c r="E646" i="2"/>
  <c r="F646" i="2"/>
  <c r="G646" i="2" s="1"/>
  <c r="C647" i="2"/>
  <c r="D647" i="2"/>
  <c r="E647" i="2"/>
  <c r="F647" i="2"/>
  <c r="G647" i="2"/>
  <c r="C648" i="2"/>
  <c r="D648" i="2"/>
  <c r="E648" i="2"/>
  <c r="F648" i="2"/>
  <c r="G648" i="2"/>
  <c r="C649" i="2"/>
  <c r="D649" i="2"/>
  <c r="E649" i="2"/>
  <c r="F649" i="2"/>
  <c r="G649" i="2" s="1"/>
  <c r="C650" i="2"/>
  <c r="D650" i="2"/>
  <c r="E650" i="2"/>
  <c r="F650" i="2"/>
  <c r="G650" i="2"/>
  <c r="C651" i="2"/>
  <c r="D651" i="2"/>
  <c r="E651" i="2"/>
  <c r="F651" i="2"/>
  <c r="G651" i="2"/>
  <c r="C652" i="2"/>
  <c r="D652" i="2"/>
  <c r="E652" i="2"/>
  <c r="F652" i="2"/>
  <c r="G652" i="2" s="1"/>
  <c r="C653" i="2"/>
  <c r="D653" i="2"/>
  <c r="E653" i="2"/>
  <c r="F653" i="2"/>
  <c r="G653" i="2" s="1"/>
  <c r="C654" i="2"/>
  <c r="D654" i="2"/>
  <c r="E654" i="2"/>
  <c r="F654" i="2"/>
  <c r="G654" i="2" s="1"/>
  <c r="C655" i="2"/>
  <c r="D655" i="2"/>
  <c r="E655" i="2"/>
  <c r="F655" i="2"/>
  <c r="G655" i="2"/>
  <c r="C656" i="2"/>
  <c r="D656" i="2"/>
  <c r="E656" i="2"/>
  <c r="F656" i="2"/>
  <c r="G656" i="2"/>
  <c r="C657" i="2"/>
  <c r="D657" i="2"/>
  <c r="E657" i="2"/>
  <c r="F657" i="2"/>
  <c r="G657" i="2" s="1"/>
  <c r="C658" i="2"/>
  <c r="D658" i="2"/>
  <c r="E658" i="2"/>
  <c r="F658" i="2"/>
  <c r="G658" i="2"/>
  <c r="C659" i="2"/>
  <c r="D659" i="2"/>
  <c r="E659" i="2"/>
  <c r="F659" i="2"/>
  <c r="G659" i="2"/>
  <c r="C660" i="2"/>
  <c r="D660" i="2"/>
  <c r="E660" i="2"/>
  <c r="F660" i="2"/>
  <c r="G660" i="2" s="1"/>
  <c r="C661" i="2"/>
  <c r="D661" i="2"/>
  <c r="E661" i="2"/>
  <c r="F661" i="2"/>
  <c r="G661" i="2" s="1"/>
  <c r="C662" i="2"/>
  <c r="D662" i="2"/>
  <c r="E662" i="2"/>
  <c r="F662" i="2"/>
  <c r="G662" i="2" s="1"/>
  <c r="C663" i="2"/>
  <c r="D663" i="2"/>
  <c r="E663" i="2"/>
  <c r="F663" i="2"/>
  <c r="G663" i="2"/>
  <c r="C664" i="2"/>
  <c r="D664" i="2"/>
  <c r="E664" i="2"/>
  <c r="F664" i="2"/>
  <c r="G664" i="2"/>
  <c r="C665" i="2"/>
  <c r="D665" i="2"/>
  <c r="E665" i="2"/>
  <c r="F665" i="2"/>
  <c r="G665" i="2" s="1"/>
  <c r="C666" i="2"/>
  <c r="D666" i="2"/>
  <c r="E666" i="2"/>
  <c r="F666" i="2"/>
  <c r="G666" i="2"/>
  <c r="C667" i="2"/>
  <c r="D667" i="2"/>
  <c r="E667" i="2"/>
  <c r="F667" i="2"/>
  <c r="G667" i="2"/>
  <c r="C668" i="2"/>
  <c r="D668" i="2"/>
  <c r="E668" i="2"/>
  <c r="F668" i="2"/>
  <c r="G668" i="2" s="1"/>
  <c r="C669" i="2"/>
  <c r="D669" i="2"/>
  <c r="E669" i="2"/>
  <c r="F669" i="2"/>
  <c r="G669" i="2" s="1"/>
  <c r="C670" i="2"/>
  <c r="D670" i="2"/>
  <c r="E670" i="2"/>
  <c r="F670" i="2"/>
  <c r="G670" i="2" s="1"/>
  <c r="C671" i="2"/>
  <c r="D671" i="2"/>
  <c r="E671" i="2"/>
  <c r="F671" i="2"/>
  <c r="G671" i="2"/>
  <c r="C672" i="2"/>
  <c r="D672" i="2"/>
  <c r="E672" i="2"/>
  <c r="F672" i="2"/>
  <c r="G672" i="2"/>
  <c r="C673" i="2"/>
  <c r="D673" i="2"/>
  <c r="E673" i="2"/>
  <c r="F673" i="2"/>
  <c r="G673" i="2" s="1"/>
  <c r="C674" i="2"/>
  <c r="D674" i="2"/>
  <c r="E674" i="2"/>
  <c r="F674" i="2"/>
  <c r="G674" i="2"/>
  <c r="C675" i="2"/>
  <c r="D675" i="2"/>
  <c r="E675" i="2"/>
  <c r="F675" i="2"/>
  <c r="G675" i="2"/>
  <c r="C676" i="2"/>
  <c r="D676" i="2"/>
  <c r="E676" i="2"/>
  <c r="F676" i="2"/>
  <c r="G676" i="2"/>
  <c r="C677" i="2"/>
  <c r="D677" i="2"/>
  <c r="E677" i="2"/>
  <c r="F677" i="2"/>
  <c r="G677" i="2" s="1"/>
  <c r="C678" i="2"/>
  <c r="D678" i="2"/>
  <c r="E678" i="2"/>
  <c r="F678" i="2"/>
  <c r="G678" i="2" s="1"/>
  <c r="C679" i="2"/>
  <c r="D679" i="2"/>
  <c r="E679" i="2"/>
  <c r="F679" i="2"/>
  <c r="G679" i="2"/>
  <c r="C680" i="2"/>
  <c r="D680" i="2"/>
  <c r="E680" i="2"/>
  <c r="F680" i="2"/>
  <c r="G680" i="2" s="1"/>
  <c r="C681" i="2"/>
  <c r="D681" i="2"/>
  <c r="E681" i="2"/>
  <c r="F681" i="2"/>
  <c r="G681" i="2"/>
  <c r="C682" i="2"/>
  <c r="D682" i="2"/>
  <c r="E682" i="2"/>
  <c r="F682" i="2"/>
  <c r="G682" i="2"/>
  <c r="C683" i="2"/>
  <c r="D683" i="2"/>
  <c r="E683" i="2"/>
  <c r="F683" i="2"/>
  <c r="G683" i="2"/>
  <c r="C684" i="2"/>
  <c r="D684" i="2"/>
  <c r="E684" i="2"/>
  <c r="F684" i="2"/>
  <c r="G684" i="2" s="1"/>
  <c r="C685" i="2"/>
  <c r="D685" i="2"/>
  <c r="E685" i="2"/>
  <c r="F685" i="2"/>
  <c r="G685" i="2"/>
  <c r="C686" i="2"/>
  <c r="D686" i="2"/>
  <c r="E686" i="2"/>
  <c r="F686" i="2"/>
  <c r="G686" i="2" s="1"/>
  <c r="C687" i="2"/>
  <c r="D687" i="2"/>
  <c r="E687" i="2"/>
  <c r="F687" i="2"/>
  <c r="G687" i="2"/>
  <c r="C688" i="2"/>
  <c r="D688" i="2"/>
  <c r="E688" i="2"/>
  <c r="F688" i="2"/>
  <c r="G688" i="2" s="1"/>
  <c r="C689" i="2"/>
  <c r="D689" i="2"/>
  <c r="E689" i="2"/>
  <c r="F689" i="2"/>
  <c r="G689" i="2" s="1"/>
  <c r="C690" i="2"/>
  <c r="D690" i="2"/>
  <c r="E690" i="2"/>
  <c r="F690" i="2"/>
  <c r="G690" i="2"/>
  <c r="C691" i="2"/>
  <c r="D691" i="2"/>
  <c r="E691" i="2"/>
  <c r="F691" i="2"/>
  <c r="G691" i="2"/>
  <c r="C692" i="2"/>
  <c r="D692" i="2"/>
  <c r="E692" i="2"/>
  <c r="F692" i="2"/>
  <c r="G692" i="2"/>
  <c r="C693" i="2"/>
  <c r="D693" i="2"/>
  <c r="E693" i="2"/>
  <c r="F693" i="2"/>
  <c r="G693" i="2" s="1"/>
  <c r="C694" i="2"/>
  <c r="D694" i="2"/>
  <c r="E694" i="2"/>
  <c r="F694" i="2"/>
  <c r="G694" i="2" s="1"/>
  <c r="C695" i="2"/>
  <c r="D695" i="2"/>
  <c r="E695" i="2"/>
  <c r="F695" i="2"/>
  <c r="G695" i="2"/>
  <c r="C696" i="2"/>
  <c r="D696" i="2"/>
  <c r="E696" i="2"/>
  <c r="F696" i="2"/>
  <c r="G696" i="2"/>
  <c r="C697" i="2"/>
  <c r="D697" i="2"/>
  <c r="E697" i="2"/>
  <c r="F697" i="2"/>
  <c r="G697" i="2"/>
  <c r="C698" i="2"/>
  <c r="D698" i="2"/>
  <c r="E698" i="2"/>
  <c r="F698" i="2"/>
  <c r="G698" i="2" s="1"/>
  <c r="C699" i="2"/>
  <c r="D699" i="2"/>
  <c r="E699" i="2"/>
  <c r="F699" i="2"/>
  <c r="G699" i="2"/>
  <c r="C700" i="2"/>
  <c r="D700" i="2"/>
  <c r="E700" i="2"/>
  <c r="F700" i="2"/>
  <c r="G700" i="2"/>
  <c r="C701" i="2"/>
  <c r="D701" i="2"/>
  <c r="E701" i="2"/>
  <c r="F701" i="2"/>
  <c r="G701" i="2" s="1"/>
  <c r="C702" i="2"/>
  <c r="D702" i="2"/>
  <c r="E702" i="2"/>
  <c r="F702" i="2"/>
  <c r="G702" i="2" s="1"/>
  <c r="C703" i="2"/>
  <c r="D703" i="2"/>
  <c r="E703" i="2"/>
  <c r="F703" i="2"/>
  <c r="G703" i="2" s="1"/>
  <c r="C704" i="2"/>
  <c r="D704" i="2"/>
  <c r="E704" i="2"/>
  <c r="F704" i="2"/>
  <c r="G704" i="2"/>
  <c r="C705" i="2"/>
  <c r="D705" i="2"/>
  <c r="E705" i="2"/>
  <c r="F705" i="2"/>
  <c r="G705" i="2"/>
  <c r="C706" i="2"/>
  <c r="D706" i="2"/>
  <c r="E706" i="2"/>
  <c r="F706" i="2"/>
  <c r="G706" i="2" s="1"/>
  <c r="C707" i="2"/>
  <c r="D707" i="2"/>
  <c r="E707" i="2"/>
  <c r="F707" i="2"/>
  <c r="G707" i="2" s="1"/>
  <c r="C708" i="2"/>
  <c r="D708" i="2"/>
  <c r="E708" i="2"/>
  <c r="F708" i="2"/>
  <c r="G708" i="2"/>
  <c r="C709" i="2"/>
  <c r="D709" i="2"/>
  <c r="E709" i="2"/>
  <c r="F709" i="2"/>
  <c r="G709" i="2"/>
  <c r="C710" i="2"/>
  <c r="D710" i="2"/>
  <c r="E710" i="2"/>
  <c r="F710" i="2"/>
  <c r="G710" i="2"/>
  <c r="C711" i="2"/>
  <c r="D711" i="2"/>
  <c r="E711" i="2"/>
  <c r="F711" i="2"/>
  <c r="G711" i="2" s="1"/>
  <c r="C712" i="2"/>
  <c r="D712" i="2"/>
  <c r="E712" i="2"/>
  <c r="F712" i="2"/>
  <c r="G712" i="2"/>
  <c r="C713" i="2"/>
  <c r="D713" i="2"/>
  <c r="E713" i="2"/>
  <c r="F713" i="2"/>
  <c r="G713" i="2"/>
  <c r="C714" i="2"/>
  <c r="D714" i="2"/>
  <c r="E714" i="2"/>
  <c r="F714" i="2"/>
  <c r="G714" i="2" s="1"/>
  <c r="C715" i="2"/>
  <c r="D715" i="2"/>
  <c r="E715" i="2"/>
  <c r="F715" i="2"/>
  <c r="G715" i="2" s="1"/>
  <c r="C716" i="2"/>
  <c r="D716" i="2"/>
  <c r="E716" i="2"/>
  <c r="F716" i="2"/>
  <c r="G716" i="2"/>
  <c r="C717" i="2"/>
  <c r="D717" i="2"/>
  <c r="E717" i="2"/>
  <c r="F717" i="2"/>
  <c r="G717" i="2"/>
  <c r="C718" i="2"/>
  <c r="D718" i="2"/>
  <c r="E718" i="2"/>
  <c r="F718" i="2"/>
  <c r="G718" i="2"/>
  <c r="C719" i="2"/>
  <c r="D719" i="2"/>
  <c r="E719" i="2"/>
  <c r="F719" i="2"/>
  <c r="G719" i="2" s="1"/>
  <c r="C720" i="2"/>
  <c r="D720" i="2"/>
  <c r="E720" i="2"/>
  <c r="F720" i="2"/>
  <c r="G720" i="2"/>
  <c r="C721" i="2"/>
  <c r="D721" i="2"/>
  <c r="E721" i="2"/>
  <c r="F721" i="2"/>
  <c r="G721" i="2"/>
  <c r="C722" i="2"/>
  <c r="D722" i="2"/>
  <c r="E722" i="2"/>
  <c r="F722" i="2"/>
  <c r="G722" i="2" s="1"/>
  <c r="C723" i="2"/>
  <c r="D723" i="2"/>
  <c r="E723" i="2"/>
  <c r="F723" i="2"/>
  <c r="G723" i="2" s="1"/>
  <c r="C724" i="2"/>
  <c r="D724" i="2"/>
  <c r="E724" i="2"/>
  <c r="F724" i="2"/>
  <c r="G724" i="2"/>
  <c r="C725" i="2"/>
  <c r="D725" i="2"/>
  <c r="E725" i="2"/>
  <c r="F725" i="2"/>
  <c r="G725" i="2"/>
  <c r="C726" i="2"/>
  <c r="D726" i="2"/>
  <c r="E726" i="2"/>
  <c r="F726" i="2"/>
  <c r="G726" i="2"/>
  <c r="C727" i="2"/>
  <c r="D727" i="2"/>
  <c r="E727" i="2"/>
  <c r="F727" i="2"/>
  <c r="G727" i="2" s="1"/>
  <c r="C728" i="2"/>
  <c r="D728" i="2"/>
  <c r="E728" i="2"/>
  <c r="F728" i="2"/>
  <c r="G728" i="2"/>
  <c r="C729" i="2"/>
  <c r="D729" i="2"/>
  <c r="E729" i="2"/>
  <c r="F729" i="2"/>
  <c r="G729" i="2"/>
  <c r="C730" i="2"/>
  <c r="D730" i="2"/>
  <c r="E730" i="2"/>
  <c r="F730" i="2"/>
  <c r="G730" i="2" s="1"/>
  <c r="C731" i="2"/>
  <c r="D731" i="2"/>
  <c r="E731" i="2"/>
  <c r="F731" i="2"/>
  <c r="G731" i="2" s="1"/>
  <c r="C732" i="2"/>
  <c r="D732" i="2"/>
  <c r="E732" i="2"/>
  <c r="F732" i="2"/>
  <c r="G732" i="2"/>
  <c r="C733" i="2"/>
  <c r="D733" i="2"/>
  <c r="E733" i="2"/>
  <c r="F733" i="2"/>
  <c r="G733" i="2"/>
  <c r="C734" i="2"/>
  <c r="D734" i="2"/>
  <c r="E734" i="2"/>
  <c r="F734" i="2"/>
  <c r="G734" i="2"/>
  <c r="C735" i="2"/>
  <c r="D735" i="2"/>
  <c r="E735" i="2"/>
  <c r="F735" i="2"/>
  <c r="G735" i="2" s="1"/>
  <c r="C736" i="2"/>
  <c r="D736" i="2"/>
  <c r="E736" i="2"/>
  <c r="F736" i="2"/>
  <c r="G736" i="2"/>
  <c r="C737" i="2"/>
  <c r="D737" i="2"/>
  <c r="E737" i="2"/>
  <c r="F737" i="2"/>
  <c r="G737" i="2"/>
  <c r="C738" i="2"/>
  <c r="D738" i="2"/>
  <c r="E738" i="2"/>
  <c r="F738" i="2"/>
  <c r="G738" i="2" s="1"/>
  <c r="C739" i="2"/>
  <c r="D739" i="2"/>
  <c r="E739" i="2"/>
  <c r="F739" i="2"/>
  <c r="G739" i="2" s="1"/>
  <c r="C740" i="2"/>
  <c r="D740" i="2"/>
  <c r="E740" i="2"/>
  <c r="F740" i="2"/>
  <c r="G740" i="2"/>
  <c r="C741" i="2"/>
  <c r="D741" i="2"/>
  <c r="E741" i="2"/>
  <c r="F741" i="2"/>
  <c r="G741" i="2"/>
  <c r="C742" i="2"/>
  <c r="D742" i="2"/>
  <c r="E742" i="2"/>
  <c r="F742" i="2"/>
  <c r="G742" i="2"/>
  <c r="C743" i="2"/>
  <c r="D743" i="2"/>
  <c r="E743" i="2"/>
  <c r="F743" i="2"/>
  <c r="G743" i="2" s="1"/>
  <c r="C744" i="2"/>
  <c r="D744" i="2"/>
  <c r="E744" i="2"/>
  <c r="F744" i="2"/>
  <c r="G744" i="2"/>
  <c r="C745" i="2"/>
  <c r="D745" i="2"/>
  <c r="E745" i="2"/>
  <c r="F745" i="2"/>
  <c r="G745" i="2"/>
  <c r="C746" i="2"/>
  <c r="D746" i="2"/>
  <c r="E746" i="2"/>
  <c r="F746" i="2"/>
  <c r="G746" i="2" s="1"/>
  <c r="C747" i="2"/>
  <c r="D747" i="2"/>
  <c r="E747" i="2"/>
  <c r="F747" i="2"/>
  <c r="G747" i="2" s="1"/>
  <c r="C748" i="2"/>
  <c r="D748" i="2"/>
  <c r="E748" i="2"/>
  <c r="F748" i="2"/>
  <c r="G748" i="2"/>
  <c r="C749" i="2"/>
  <c r="D749" i="2"/>
  <c r="E749" i="2"/>
  <c r="F749" i="2"/>
  <c r="G749" i="2"/>
  <c r="C750" i="2"/>
  <c r="D750" i="2"/>
  <c r="E750" i="2"/>
  <c r="F750" i="2"/>
  <c r="G750" i="2"/>
  <c r="C751" i="2"/>
  <c r="D751" i="2"/>
  <c r="E751" i="2"/>
  <c r="F751" i="2"/>
  <c r="G751" i="2" s="1"/>
  <c r="C752" i="2"/>
  <c r="D752" i="2"/>
  <c r="E752" i="2"/>
  <c r="F752" i="2"/>
  <c r="G752" i="2"/>
  <c r="C753" i="2"/>
  <c r="D753" i="2"/>
  <c r="E753" i="2"/>
  <c r="F753" i="2"/>
  <c r="G753" i="2"/>
  <c r="C754" i="2"/>
  <c r="D754" i="2"/>
  <c r="E754" i="2"/>
  <c r="F754" i="2"/>
  <c r="G754" i="2" s="1"/>
  <c r="C755" i="2"/>
  <c r="D755" i="2"/>
  <c r="E755" i="2"/>
  <c r="F755" i="2"/>
  <c r="G755" i="2" s="1"/>
  <c r="C756" i="2"/>
  <c r="D756" i="2"/>
  <c r="E756" i="2"/>
  <c r="F756" i="2"/>
  <c r="G756" i="2"/>
  <c r="C757" i="2"/>
  <c r="D757" i="2"/>
  <c r="E757" i="2"/>
  <c r="F757" i="2"/>
  <c r="G757" i="2"/>
  <c r="C758" i="2"/>
  <c r="D758" i="2"/>
  <c r="E758" i="2"/>
  <c r="F758" i="2"/>
  <c r="G758" i="2" s="1"/>
  <c r="C759" i="2"/>
  <c r="D759" i="2"/>
  <c r="E759" i="2"/>
  <c r="F759" i="2"/>
  <c r="G759" i="2" s="1"/>
  <c r="C760" i="2"/>
  <c r="D760" i="2"/>
  <c r="E760" i="2"/>
  <c r="F760" i="2"/>
  <c r="G760" i="2"/>
  <c r="C761" i="2"/>
  <c r="D761" i="2"/>
  <c r="E761" i="2"/>
  <c r="F761" i="2"/>
  <c r="G761" i="2"/>
  <c r="C762" i="2"/>
  <c r="D762" i="2"/>
  <c r="E762" i="2"/>
  <c r="F762" i="2"/>
  <c r="G762" i="2" s="1"/>
  <c r="C763" i="2"/>
  <c r="D763" i="2"/>
  <c r="E763" i="2"/>
  <c r="F763" i="2"/>
  <c r="G763" i="2" s="1"/>
  <c r="C764" i="2"/>
  <c r="D764" i="2"/>
  <c r="E764" i="2"/>
  <c r="F764" i="2"/>
  <c r="G764" i="2"/>
  <c r="C765" i="2"/>
  <c r="D765" i="2"/>
  <c r="E765" i="2"/>
  <c r="F765" i="2"/>
  <c r="G765" i="2"/>
  <c r="C766" i="2"/>
  <c r="D766" i="2"/>
  <c r="E766" i="2"/>
  <c r="F766" i="2"/>
  <c r="G766" i="2" s="1"/>
  <c r="C767" i="2"/>
  <c r="D767" i="2"/>
  <c r="E767" i="2"/>
  <c r="F767" i="2"/>
  <c r="G767" i="2" s="1"/>
  <c r="C768" i="2"/>
  <c r="D768" i="2"/>
  <c r="E768" i="2"/>
  <c r="F768" i="2"/>
  <c r="G768" i="2"/>
  <c r="C769" i="2"/>
  <c r="D769" i="2"/>
  <c r="E769" i="2"/>
  <c r="F769" i="2"/>
  <c r="G769" i="2"/>
  <c r="C770" i="2"/>
  <c r="D770" i="2"/>
  <c r="E770" i="2"/>
  <c r="F770" i="2"/>
  <c r="G770" i="2" s="1"/>
  <c r="C771" i="2"/>
  <c r="D771" i="2"/>
  <c r="E771" i="2"/>
  <c r="F771" i="2"/>
  <c r="G771" i="2" s="1"/>
  <c r="C772" i="2"/>
  <c r="D772" i="2"/>
  <c r="E772" i="2"/>
  <c r="F772" i="2"/>
  <c r="G772" i="2"/>
  <c r="C773" i="2"/>
  <c r="D773" i="2"/>
  <c r="E773" i="2"/>
  <c r="F773" i="2"/>
  <c r="G773" i="2"/>
  <c r="C774" i="2"/>
  <c r="D774" i="2"/>
  <c r="E774" i="2"/>
  <c r="F774" i="2"/>
  <c r="G774" i="2" s="1"/>
  <c r="C775" i="2"/>
  <c r="D775" i="2"/>
  <c r="E775" i="2"/>
  <c r="F775" i="2"/>
  <c r="G775" i="2" s="1"/>
  <c r="C776" i="2"/>
  <c r="D776" i="2"/>
  <c r="E776" i="2"/>
  <c r="F776" i="2"/>
  <c r="G776" i="2"/>
  <c r="C777" i="2"/>
  <c r="D777" i="2"/>
  <c r="E777" i="2"/>
  <c r="F777" i="2"/>
  <c r="G777" i="2"/>
  <c r="C778" i="2"/>
  <c r="D778" i="2"/>
  <c r="E778" i="2"/>
  <c r="F778" i="2"/>
  <c r="G778" i="2" s="1"/>
  <c r="C779" i="2"/>
  <c r="D779" i="2"/>
  <c r="E779" i="2"/>
  <c r="F779" i="2"/>
  <c r="G779" i="2" s="1"/>
  <c r="C780" i="2"/>
  <c r="D780" i="2"/>
  <c r="E780" i="2"/>
  <c r="F780" i="2"/>
  <c r="G780" i="2"/>
  <c r="C781" i="2"/>
  <c r="D781" i="2"/>
  <c r="E781" i="2"/>
  <c r="F781" i="2"/>
  <c r="G781" i="2"/>
  <c r="C782" i="2"/>
  <c r="D782" i="2"/>
  <c r="E782" i="2"/>
  <c r="F782" i="2"/>
  <c r="G782" i="2" s="1"/>
  <c r="C783" i="2"/>
  <c r="D783" i="2"/>
  <c r="E783" i="2"/>
  <c r="F783" i="2"/>
  <c r="G783" i="2" s="1"/>
  <c r="C784" i="2"/>
  <c r="D784" i="2"/>
  <c r="E784" i="2"/>
  <c r="F784" i="2"/>
  <c r="G784" i="2"/>
  <c r="C785" i="2"/>
  <c r="D785" i="2"/>
  <c r="E785" i="2"/>
  <c r="F785" i="2"/>
  <c r="G785" i="2"/>
  <c r="C786" i="2"/>
  <c r="D786" i="2"/>
  <c r="E786" i="2"/>
  <c r="F786" i="2"/>
  <c r="G786" i="2" s="1"/>
  <c r="C787" i="2"/>
  <c r="D787" i="2"/>
  <c r="E787" i="2"/>
  <c r="F787" i="2"/>
  <c r="G787" i="2" s="1"/>
  <c r="C788" i="2"/>
  <c r="D788" i="2"/>
  <c r="E788" i="2"/>
  <c r="F788" i="2"/>
  <c r="G788" i="2"/>
  <c r="C789" i="2"/>
  <c r="D789" i="2"/>
  <c r="E789" i="2"/>
  <c r="F789" i="2"/>
  <c r="G789" i="2"/>
  <c r="C790" i="2"/>
  <c r="D790" i="2"/>
  <c r="E790" i="2"/>
  <c r="F790" i="2"/>
  <c r="G790" i="2" s="1"/>
  <c r="C791" i="2"/>
  <c r="D791" i="2"/>
  <c r="E791" i="2"/>
  <c r="F791" i="2"/>
  <c r="G791" i="2" s="1"/>
  <c r="C792" i="2"/>
  <c r="D792" i="2"/>
  <c r="E792" i="2"/>
  <c r="F792" i="2"/>
  <c r="G792" i="2"/>
  <c r="C793" i="2"/>
  <c r="D793" i="2"/>
  <c r="E793" i="2"/>
  <c r="F793" i="2"/>
  <c r="G793" i="2"/>
  <c r="C794" i="2"/>
  <c r="D794" i="2"/>
  <c r="E794" i="2"/>
  <c r="F794" i="2"/>
  <c r="G794" i="2" s="1"/>
  <c r="C795" i="2"/>
  <c r="D795" i="2"/>
  <c r="E795" i="2"/>
  <c r="F795" i="2"/>
  <c r="G795" i="2" s="1"/>
  <c r="C796" i="2"/>
  <c r="D796" i="2"/>
  <c r="E796" i="2"/>
  <c r="F796" i="2"/>
  <c r="G796" i="2"/>
  <c r="C797" i="2"/>
  <c r="D797" i="2"/>
  <c r="E797" i="2"/>
  <c r="F797" i="2"/>
  <c r="G797" i="2"/>
  <c r="C798" i="2"/>
  <c r="D798" i="2"/>
  <c r="E798" i="2"/>
  <c r="F798" i="2"/>
  <c r="G798" i="2" s="1"/>
  <c r="C799" i="2"/>
  <c r="D799" i="2"/>
  <c r="E799" i="2"/>
  <c r="F799" i="2"/>
  <c r="G799" i="2" s="1"/>
  <c r="C800" i="2"/>
  <c r="D800" i="2"/>
  <c r="E800" i="2"/>
  <c r="F800" i="2"/>
  <c r="G800" i="2"/>
  <c r="C801" i="2"/>
  <c r="D801" i="2"/>
  <c r="E801" i="2"/>
  <c r="F801" i="2"/>
  <c r="G801" i="2"/>
  <c r="C802" i="2"/>
  <c r="D802" i="2"/>
  <c r="E802" i="2"/>
  <c r="F802" i="2"/>
  <c r="G802" i="2" s="1"/>
  <c r="C803" i="2"/>
  <c r="D803" i="2"/>
  <c r="E803" i="2"/>
  <c r="F803" i="2"/>
  <c r="G803" i="2" s="1"/>
  <c r="C804" i="2"/>
  <c r="D804" i="2"/>
  <c r="E804" i="2"/>
  <c r="F804" i="2"/>
  <c r="G804" i="2"/>
  <c r="C805" i="2"/>
  <c r="D805" i="2"/>
  <c r="E805" i="2"/>
  <c r="F805" i="2"/>
  <c r="G805" i="2"/>
  <c r="C806" i="2"/>
  <c r="D806" i="2"/>
  <c r="E806" i="2"/>
  <c r="F806" i="2"/>
  <c r="G806" i="2" s="1"/>
  <c r="C807" i="2"/>
  <c r="D807" i="2"/>
  <c r="E807" i="2"/>
  <c r="F807" i="2"/>
  <c r="G807" i="2" s="1"/>
  <c r="C808" i="2"/>
  <c r="D808" i="2"/>
  <c r="E808" i="2"/>
  <c r="F808" i="2"/>
  <c r="G808" i="2"/>
  <c r="C809" i="2"/>
  <c r="D809" i="2"/>
  <c r="E809" i="2"/>
  <c r="F809" i="2"/>
  <c r="G809" i="2"/>
  <c r="C810" i="2"/>
  <c r="D810" i="2"/>
  <c r="E810" i="2"/>
  <c r="F810" i="2"/>
  <c r="G810" i="2" s="1"/>
  <c r="C811" i="2"/>
  <c r="D811" i="2"/>
  <c r="E811" i="2"/>
  <c r="F811" i="2"/>
  <c r="G811" i="2" s="1"/>
  <c r="C812" i="2"/>
  <c r="D812" i="2"/>
  <c r="E812" i="2"/>
  <c r="F812" i="2"/>
  <c r="G812" i="2"/>
  <c r="C813" i="2"/>
  <c r="D813" i="2"/>
  <c r="E813" i="2"/>
  <c r="F813" i="2"/>
  <c r="G813" i="2"/>
  <c r="C814" i="2"/>
  <c r="D814" i="2"/>
  <c r="E814" i="2"/>
  <c r="F814" i="2"/>
  <c r="G814" i="2" s="1"/>
  <c r="C815" i="2"/>
  <c r="D815" i="2"/>
  <c r="E815" i="2"/>
  <c r="F815" i="2"/>
  <c r="G815" i="2" s="1"/>
  <c r="C816" i="2"/>
  <c r="D816" i="2"/>
  <c r="E816" i="2"/>
  <c r="F816" i="2"/>
  <c r="G816" i="2"/>
  <c r="C817" i="2"/>
  <c r="D817" i="2"/>
  <c r="E817" i="2"/>
  <c r="F817" i="2"/>
  <c r="G817" i="2"/>
  <c r="C818" i="2"/>
  <c r="D818" i="2"/>
  <c r="E818" i="2"/>
  <c r="F818" i="2"/>
  <c r="G818" i="2" s="1"/>
  <c r="C819" i="2"/>
  <c r="D819" i="2"/>
  <c r="E819" i="2"/>
  <c r="F819" i="2"/>
  <c r="G819" i="2" s="1"/>
  <c r="C820" i="2"/>
  <c r="D820" i="2"/>
  <c r="E820" i="2"/>
  <c r="F820" i="2"/>
  <c r="G820" i="2"/>
  <c r="C821" i="2"/>
  <c r="D821" i="2"/>
  <c r="E821" i="2"/>
  <c r="F821" i="2"/>
  <c r="G821" i="2"/>
  <c r="C822" i="2"/>
  <c r="D822" i="2"/>
  <c r="E822" i="2"/>
  <c r="F822" i="2"/>
  <c r="G822" i="2" s="1"/>
  <c r="C823" i="2"/>
  <c r="D823" i="2"/>
  <c r="E823" i="2"/>
  <c r="F823" i="2"/>
  <c r="G823" i="2" s="1"/>
  <c r="C824" i="2"/>
  <c r="D824" i="2"/>
  <c r="E824" i="2"/>
  <c r="F824" i="2"/>
  <c r="G824" i="2"/>
  <c r="C825" i="2"/>
  <c r="D825" i="2"/>
  <c r="E825" i="2"/>
  <c r="F825" i="2"/>
  <c r="G825" i="2"/>
  <c r="C826" i="2"/>
  <c r="D826" i="2"/>
  <c r="E826" i="2"/>
  <c r="F826" i="2"/>
  <c r="G826" i="2" s="1"/>
  <c r="C827" i="2"/>
  <c r="D827" i="2"/>
  <c r="E827" i="2"/>
  <c r="F827" i="2"/>
  <c r="G827" i="2" s="1"/>
  <c r="C828" i="2"/>
  <c r="D828" i="2"/>
  <c r="E828" i="2"/>
  <c r="F828" i="2"/>
  <c r="G828" i="2"/>
  <c r="C829" i="2"/>
  <c r="D829" i="2"/>
  <c r="E829" i="2"/>
  <c r="F829" i="2"/>
  <c r="G829" i="2"/>
  <c r="C830" i="2"/>
  <c r="D830" i="2"/>
  <c r="E830" i="2"/>
  <c r="F830" i="2"/>
  <c r="G830" i="2" s="1"/>
  <c r="C831" i="2"/>
  <c r="D831" i="2"/>
  <c r="E831" i="2"/>
  <c r="F831" i="2"/>
  <c r="G831" i="2" s="1"/>
  <c r="C832" i="2"/>
  <c r="D832" i="2"/>
  <c r="E832" i="2"/>
  <c r="F832" i="2"/>
  <c r="G832" i="2"/>
  <c r="C833" i="2"/>
  <c r="D833" i="2"/>
  <c r="E833" i="2"/>
  <c r="F833" i="2"/>
  <c r="G833" i="2"/>
  <c r="C834" i="2"/>
  <c r="D834" i="2"/>
  <c r="E834" i="2"/>
  <c r="F834" i="2"/>
  <c r="G834" i="2" s="1"/>
  <c r="C835" i="2"/>
  <c r="D835" i="2"/>
  <c r="E835" i="2"/>
  <c r="F835" i="2"/>
  <c r="G835" i="2" s="1"/>
  <c r="C836" i="2"/>
  <c r="D836" i="2"/>
  <c r="E836" i="2"/>
  <c r="F836" i="2"/>
  <c r="G836" i="2"/>
  <c r="C837" i="2"/>
  <c r="D837" i="2"/>
  <c r="E837" i="2"/>
  <c r="F837" i="2"/>
  <c r="G837" i="2"/>
  <c r="C838" i="2"/>
  <c r="D838" i="2"/>
  <c r="E838" i="2"/>
  <c r="F838" i="2"/>
  <c r="G838" i="2" s="1"/>
  <c r="C839" i="2"/>
  <c r="D839" i="2"/>
  <c r="E839" i="2"/>
  <c r="F839" i="2"/>
  <c r="G839" i="2" s="1"/>
  <c r="C840" i="2"/>
  <c r="D840" i="2"/>
  <c r="E840" i="2"/>
  <c r="F840" i="2"/>
  <c r="G840" i="2"/>
  <c r="C841" i="2"/>
  <c r="D841" i="2"/>
  <c r="E841" i="2"/>
  <c r="F841" i="2"/>
  <c r="G841" i="2"/>
  <c r="C842" i="2"/>
  <c r="D842" i="2"/>
  <c r="E842" i="2"/>
  <c r="F842" i="2"/>
  <c r="G842" i="2" s="1"/>
  <c r="C843" i="2"/>
  <c r="D843" i="2"/>
  <c r="E843" i="2"/>
  <c r="F843" i="2"/>
  <c r="G843" i="2" s="1"/>
  <c r="C844" i="2"/>
  <c r="D844" i="2"/>
  <c r="E844" i="2"/>
  <c r="F844" i="2"/>
  <c r="G844" i="2"/>
  <c r="C845" i="2"/>
  <c r="D845" i="2"/>
  <c r="E845" i="2"/>
  <c r="F845" i="2"/>
  <c r="G845" i="2"/>
  <c r="C846" i="2"/>
  <c r="D846" i="2"/>
  <c r="E846" i="2"/>
  <c r="F846" i="2"/>
  <c r="G846" i="2" s="1"/>
  <c r="C847" i="2"/>
  <c r="D847" i="2"/>
  <c r="E847" i="2"/>
  <c r="F847" i="2"/>
  <c r="G847" i="2" s="1"/>
  <c r="C848" i="2"/>
  <c r="D848" i="2"/>
  <c r="E848" i="2"/>
  <c r="F848" i="2"/>
  <c r="G848" i="2"/>
  <c r="C849" i="2"/>
  <c r="D849" i="2"/>
  <c r="E849" i="2"/>
  <c r="F849" i="2"/>
  <c r="G849" i="2"/>
  <c r="C850" i="2"/>
  <c r="D850" i="2"/>
  <c r="E850" i="2"/>
  <c r="F850" i="2"/>
  <c r="G850" i="2" s="1"/>
  <c r="C851" i="2"/>
  <c r="D851" i="2"/>
  <c r="E851" i="2"/>
  <c r="F851" i="2"/>
  <c r="G851" i="2" s="1"/>
  <c r="C852" i="2"/>
  <c r="D852" i="2"/>
  <c r="E852" i="2"/>
  <c r="F852" i="2"/>
  <c r="G852" i="2"/>
  <c r="C853" i="2"/>
  <c r="D853" i="2"/>
  <c r="E853" i="2"/>
  <c r="F853" i="2"/>
  <c r="G853" i="2"/>
  <c r="C854" i="2"/>
  <c r="D854" i="2"/>
  <c r="E854" i="2"/>
  <c r="F854" i="2"/>
  <c r="G854" i="2" s="1"/>
  <c r="C855" i="2"/>
  <c r="D855" i="2"/>
  <c r="E855" i="2"/>
  <c r="F855" i="2"/>
  <c r="G855" i="2"/>
  <c r="C856" i="2"/>
  <c r="D856" i="2"/>
  <c r="E856" i="2"/>
  <c r="F856" i="2"/>
  <c r="G856" i="2"/>
  <c r="C857" i="2"/>
  <c r="D857" i="2"/>
  <c r="E857" i="2"/>
  <c r="F857" i="2"/>
  <c r="G857" i="2"/>
  <c r="C858" i="2"/>
  <c r="D858" i="2"/>
  <c r="E858" i="2"/>
  <c r="F858" i="2"/>
  <c r="G858" i="2" s="1"/>
  <c r="C859" i="2"/>
  <c r="D859" i="2"/>
  <c r="E859" i="2"/>
  <c r="F859" i="2"/>
  <c r="G859" i="2" s="1"/>
  <c r="C860" i="2"/>
  <c r="D860" i="2"/>
  <c r="E860" i="2"/>
  <c r="F860" i="2"/>
  <c r="G860" i="2"/>
  <c r="C861" i="2"/>
  <c r="D861" i="2"/>
  <c r="E861" i="2"/>
  <c r="F861" i="2"/>
  <c r="G861" i="2"/>
  <c r="C862" i="2"/>
  <c r="D862" i="2"/>
  <c r="E862" i="2"/>
  <c r="F862" i="2"/>
  <c r="G862" i="2" s="1"/>
  <c r="C863" i="2"/>
  <c r="D863" i="2"/>
  <c r="E863" i="2"/>
  <c r="F863" i="2"/>
  <c r="G863" i="2"/>
  <c r="C864" i="2"/>
  <c r="D864" i="2"/>
  <c r="E864" i="2"/>
  <c r="F864" i="2"/>
  <c r="G864" i="2"/>
  <c r="C865" i="2"/>
  <c r="D865" i="2"/>
  <c r="E865" i="2"/>
  <c r="F865" i="2"/>
  <c r="G865" i="2"/>
  <c r="C866" i="2"/>
  <c r="D866" i="2"/>
  <c r="E866" i="2"/>
  <c r="F866" i="2"/>
  <c r="G866" i="2" s="1"/>
  <c r="C867" i="2"/>
  <c r="D867" i="2"/>
  <c r="E867" i="2"/>
  <c r="F867" i="2"/>
  <c r="G867" i="2" s="1"/>
  <c r="C868" i="2"/>
  <c r="D868" i="2"/>
  <c r="E868" i="2"/>
  <c r="F868" i="2"/>
  <c r="G868" i="2"/>
  <c r="C869" i="2"/>
  <c r="D869" i="2"/>
  <c r="E869" i="2"/>
  <c r="F869" i="2"/>
  <c r="G869" i="2"/>
  <c r="C870" i="2"/>
  <c r="D870" i="2"/>
  <c r="E870" i="2"/>
  <c r="F870" i="2"/>
  <c r="G870" i="2" s="1"/>
  <c r="C871" i="2"/>
  <c r="D871" i="2"/>
  <c r="E871" i="2"/>
  <c r="F871" i="2"/>
  <c r="G871" i="2"/>
  <c r="C872" i="2"/>
  <c r="D872" i="2"/>
  <c r="E872" i="2"/>
  <c r="F872" i="2"/>
  <c r="G872" i="2"/>
  <c r="C873" i="2"/>
  <c r="D873" i="2"/>
  <c r="E873" i="2"/>
  <c r="F873" i="2"/>
  <c r="G873" i="2"/>
  <c r="C874" i="2"/>
  <c r="D874" i="2"/>
  <c r="E874" i="2"/>
  <c r="F874" i="2"/>
  <c r="G874" i="2" s="1"/>
  <c r="C875" i="2"/>
  <c r="D875" i="2"/>
  <c r="E875" i="2"/>
  <c r="F875" i="2"/>
  <c r="G875" i="2" s="1"/>
  <c r="C876" i="2"/>
  <c r="D876" i="2"/>
  <c r="E876" i="2"/>
  <c r="F876" i="2"/>
  <c r="G876" i="2"/>
  <c r="C877" i="2"/>
  <c r="D877" i="2"/>
  <c r="E877" i="2"/>
  <c r="F877" i="2"/>
  <c r="G877" i="2"/>
  <c r="C878" i="2"/>
  <c r="D878" i="2"/>
  <c r="E878" i="2"/>
  <c r="F878" i="2"/>
  <c r="G878" i="2" s="1"/>
  <c r="C879" i="2"/>
  <c r="D879" i="2"/>
  <c r="E879" i="2"/>
  <c r="F879" i="2"/>
  <c r="G879" i="2"/>
  <c r="C880" i="2"/>
  <c r="D880" i="2"/>
  <c r="E880" i="2"/>
  <c r="F880" i="2"/>
  <c r="G880" i="2"/>
  <c r="C881" i="2"/>
  <c r="D881" i="2"/>
  <c r="E881" i="2"/>
  <c r="F881" i="2"/>
  <c r="G881" i="2"/>
  <c r="C882" i="2"/>
  <c r="D882" i="2"/>
  <c r="E882" i="2"/>
  <c r="F882" i="2"/>
  <c r="G882" i="2" s="1"/>
  <c r="C883" i="2"/>
  <c r="D883" i="2"/>
  <c r="E883" i="2"/>
  <c r="F883" i="2"/>
  <c r="G883" i="2" s="1"/>
  <c r="C884" i="2"/>
  <c r="D884" i="2"/>
  <c r="E884" i="2"/>
  <c r="F884" i="2"/>
  <c r="G884" i="2"/>
  <c r="C885" i="2"/>
  <c r="D885" i="2"/>
  <c r="E885" i="2"/>
  <c r="F885" i="2"/>
  <c r="G885" i="2"/>
  <c r="C886" i="2"/>
  <c r="D886" i="2"/>
  <c r="E886" i="2"/>
  <c r="F886" i="2"/>
  <c r="G886" i="2" s="1"/>
  <c r="C887" i="2"/>
  <c r="D887" i="2"/>
  <c r="E887" i="2"/>
  <c r="F887" i="2"/>
  <c r="G887" i="2"/>
  <c r="C888" i="2"/>
  <c r="D888" i="2"/>
  <c r="E888" i="2"/>
  <c r="F888" i="2"/>
  <c r="G888" i="2"/>
  <c r="C889" i="2"/>
  <c r="D889" i="2"/>
  <c r="E889" i="2"/>
  <c r="F889" i="2"/>
  <c r="G889" i="2"/>
  <c r="C890" i="2"/>
  <c r="D890" i="2"/>
  <c r="E890" i="2"/>
  <c r="F890" i="2"/>
  <c r="G890" i="2" s="1"/>
  <c r="C891" i="2"/>
  <c r="D891" i="2"/>
  <c r="E891" i="2"/>
  <c r="F891" i="2"/>
  <c r="G891" i="2" s="1"/>
  <c r="C892" i="2"/>
  <c r="D892" i="2"/>
  <c r="E892" i="2"/>
  <c r="F892" i="2"/>
  <c r="G892" i="2"/>
  <c r="C893" i="2"/>
  <c r="D893" i="2"/>
  <c r="E893" i="2"/>
  <c r="F893" i="2"/>
  <c r="G893" i="2"/>
  <c r="C894" i="2"/>
  <c r="D894" i="2"/>
  <c r="E894" i="2"/>
  <c r="F894" i="2"/>
  <c r="G894" i="2" s="1"/>
  <c r="C895" i="2"/>
  <c r="D895" i="2"/>
  <c r="E895" i="2"/>
  <c r="F895" i="2"/>
  <c r="G895" i="2"/>
  <c r="C896" i="2"/>
  <c r="D896" i="2"/>
  <c r="E896" i="2"/>
  <c r="F896" i="2"/>
  <c r="G896" i="2"/>
  <c r="C897" i="2"/>
  <c r="D897" i="2"/>
  <c r="E897" i="2"/>
  <c r="F897" i="2"/>
  <c r="G897" i="2"/>
  <c r="C898" i="2"/>
  <c r="D898" i="2"/>
  <c r="E898" i="2"/>
  <c r="F898" i="2"/>
  <c r="G898" i="2" s="1"/>
  <c r="C899" i="2"/>
  <c r="D899" i="2"/>
  <c r="E899" i="2"/>
  <c r="F899" i="2"/>
  <c r="G899" i="2" s="1"/>
  <c r="C900" i="2"/>
  <c r="D900" i="2"/>
  <c r="E900" i="2"/>
  <c r="F900" i="2"/>
  <c r="G900" i="2"/>
  <c r="C901" i="2"/>
  <c r="D901" i="2"/>
  <c r="E901" i="2"/>
  <c r="F901" i="2"/>
  <c r="G901" i="2"/>
  <c r="C902" i="2"/>
  <c r="D902" i="2"/>
  <c r="E902" i="2"/>
  <c r="F902" i="2"/>
  <c r="G902" i="2" s="1"/>
  <c r="C903" i="2"/>
  <c r="D903" i="2"/>
  <c r="E903" i="2"/>
  <c r="F903" i="2"/>
  <c r="G903" i="2"/>
  <c r="C904" i="2"/>
  <c r="D904" i="2"/>
  <c r="E904" i="2"/>
  <c r="F904" i="2"/>
  <c r="G904" i="2"/>
  <c r="C905" i="2"/>
  <c r="D905" i="2"/>
  <c r="E905" i="2"/>
  <c r="F905" i="2"/>
  <c r="G905" i="2"/>
  <c r="C906" i="2"/>
  <c r="D906" i="2"/>
  <c r="E906" i="2"/>
  <c r="F906" i="2"/>
  <c r="G906" i="2" s="1"/>
  <c r="C907" i="2"/>
  <c r="D907" i="2"/>
  <c r="E907" i="2"/>
  <c r="F907" i="2"/>
  <c r="G907" i="2" s="1"/>
  <c r="C908" i="2"/>
  <c r="D908" i="2"/>
  <c r="E908" i="2"/>
  <c r="F908" i="2"/>
  <c r="G908" i="2"/>
  <c r="C909" i="2"/>
  <c r="D909" i="2"/>
  <c r="E909" i="2"/>
  <c r="F909" i="2"/>
  <c r="G909" i="2"/>
  <c r="C910" i="2"/>
  <c r="D910" i="2"/>
  <c r="E910" i="2"/>
  <c r="F910" i="2"/>
  <c r="G910" i="2" s="1"/>
  <c r="C911" i="2"/>
  <c r="D911" i="2"/>
  <c r="E911" i="2"/>
  <c r="F911" i="2"/>
  <c r="G911" i="2"/>
  <c r="C912" i="2"/>
  <c r="D912" i="2"/>
  <c r="E912" i="2"/>
  <c r="F912" i="2"/>
  <c r="G912" i="2"/>
  <c r="C913" i="2"/>
  <c r="D913" i="2"/>
  <c r="E913" i="2"/>
  <c r="F913" i="2"/>
  <c r="G913" i="2"/>
  <c r="C914" i="2"/>
  <c r="D914" i="2"/>
  <c r="E914" i="2"/>
  <c r="F914" i="2"/>
  <c r="G914" i="2" s="1"/>
  <c r="C915" i="2"/>
  <c r="D915" i="2"/>
  <c r="E915" i="2"/>
  <c r="F915" i="2"/>
  <c r="G915" i="2" s="1"/>
  <c r="C916" i="2"/>
  <c r="D916" i="2"/>
  <c r="E916" i="2"/>
  <c r="F916" i="2"/>
  <c r="G916" i="2"/>
  <c r="C917" i="2"/>
  <c r="D917" i="2"/>
  <c r="E917" i="2"/>
  <c r="F917" i="2"/>
  <c r="G917" i="2"/>
  <c r="C918" i="2"/>
  <c r="D918" i="2"/>
  <c r="E918" i="2"/>
  <c r="F918" i="2"/>
  <c r="G918" i="2" s="1"/>
  <c r="C919" i="2"/>
  <c r="D919" i="2"/>
  <c r="E919" i="2"/>
  <c r="F919" i="2"/>
  <c r="G919" i="2"/>
  <c r="C920" i="2"/>
  <c r="D920" i="2"/>
  <c r="E920" i="2"/>
  <c r="F920" i="2"/>
  <c r="G920" i="2"/>
  <c r="C921" i="2"/>
  <c r="D921" i="2"/>
  <c r="E921" i="2"/>
  <c r="F921" i="2"/>
  <c r="G921" i="2"/>
  <c r="C922" i="2"/>
  <c r="D922" i="2"/>
  <c r="E922" i="2"/>
  <c r="F922" i="2"/>
  <c r="G922" i="2" s="1"/>
  <c r="C923" i="2"/>
  <c r="D923" i="2"/>
  <c r="E923" i="2"/>
  <c r="F923" i="2"/>
  <c r="G923" i="2" s="1"/>
  <c r="C924" i="2"/>
  <c r="D924" i="2"/>
  <c r="E924" i="2"/>
  <c r="F924" i="2"/>
  <c r="G924" i="2"/>
  <c r="C925" i="2"/>
  <c r="D925" i="2"/>
  <c r="E925" i="2"/>
  <c r="F925" i="2"/>
  <c r="G925" i="2"/>
  <c r="C926" i="2"/>
  <c r="D926" i="2"/>
  <c r="E926" i="2"/>
  <c r="F926" i="2"/>
  <c r="G926" i="2" s="1"/>
  <c r="C927" i="2"/>
  <c r="D927" i="2"/>
  <c r="E927" i="2"/>
  <c r="F927" i="2"/>
  <c r="G927" i="2"/>
  <c r="C928" i="2"/>
  <c r="D928" i="2"/>
  <c r="E928" i="2"/>
  <c r="F928" i="2"/>
  <c r="G928" i="2"/>
  <c r="C929" i="2"/>
  <c r="D929" i="2"/>
  <c r="E929" i="2"/>
  <c r="F929" i="2"/>
  <c r="G929" i="2"/>
  <c r="C930" i="2"/>
  <c r="D930" i="2"/>
  <c r="E930" i="2"/>
  <c r="F930" i="2"/>
  <c r="G930" i="2" s="1"/>
  <c r="C931" i="2"/>
  <c r="D931" i="2"/>
  <c r="E931" i="2"/>
  <c r="F931" i="2"/>
  <c r="G931" i="2" s="1"/>
  <c r="C932" i="2"/>
  <c r="D932" i="2"/>
  <c r="E932" i="2"/>
  <c r="F932" i="2"/>
  <c r="G932" i="2"/>
  <c r="C933" i="2"/>
  <c r="D933" i="2"/>
  <c r="E933" i="2"/>
  <c r="F933" i="2"/>
  <c r="G933" i="2"/>
  <c r="C934" i="2"/>
  <c r="D934" i="2"/>
  <c r="E934" i="2"/>
  <c r="F934" i="2"/>
  <c r="G934" i="2" s="1"/>
  <c r="C935" i="2"/>
  <c r="D935" i="2"/>
  <c r="E935" i="2"/>
  <c r="F935" i="2"/>
  <c r="G935" i="2"/>
  <c r="C936" i="2"/>
  <c r="D936" i="2"/>
  <c r="E936" i="2"/>
  <c r="F936" i="2"/>
  <c r="G936" i="2"/>
  <c r="C937" i="2"/>
  <c r="D937" i="2"/>
  <c r="E937" i="2"/>
  <c r="F937" i="2"/>
  <c r="G937" i="2"/>
  <c r="C938" i="2"/>
  <c r="D938" i="2"/>
  <c r="E938" i="2"/>
  <c r="F938" i="2"/>
  <c r="G938" i="2" s="1"/>
  <c r="C939" i="2"/>
  <c r="D939" i="2"/>
  <c r="E939" i="2"/>
  <c r="F939" i="2"/>
  <c r="G939" i="2" s="1"/>
  <c r="C940" i="2"/>
  <c r="D940" i="2"/>
  <c r="E940" i="2"/>
  <c r="F940" i="2"/>
  <c r="G940" i="2"/>
  <c r="C941" i="2"/>
  <c r="D941" i="2"/>
  <c r="E941" i="2"/>
  <c r="F941" i="2"/>
  <c r="G941" i="2"/>
  <c r="C942" i="2"/>
  <c r="D942" i="2"/>
  <c r="E942" i="2"/>
  <c r="F942" i="2"/>
  <c r="G942" i="2" s="1"/>
  <c r="C943" i="2"/>
  <c r="D943" i="2"/>
  <c r="E943" i="2"/>
  <c r="F943" i="2"/>
  <c r="G943" i="2"/>
  <c r="C944" i="2"/>
  <c r="D944" i="2"/>
  <c r="E944" i="2"/>
  <c r="F944" i="2"/>
  <c r="G944" i="2"/>
  <c r="C945" i="2"/>
  <c r="D945" i="2"/>
  <c r="E945" i="2"/>
  <c r="F945" i="2"/>
  <c r="G945" i="2"/>
  <c r="C946" i="2"/>
  <c r="D946" i="2"/>
  <c r="E946" i="2"/>
  <c r="F946" i="2"/>
  <c r="G946" i="2" s="1"/>
  <c r="C947" i="2"/>
  <c r="D947" i="2"/>
  <c r="E947" i="2"/>
  <c r="F947" i="2"/>
  <c r="G947" i="2" s="1"/>
  <c r="C948" i="2"/>
  <c r="D948" i="2"/>
  <c r="E948" i="2"/>
  <c r="F948" i="2"/>
  <c r="G948" i="2"/>
  <c r="C949" i="2"/>
  <c r="D949" i="2"/>
  <c r="E949" i="2"/>
  <c r="F949" i="2"/>
  <c r="G949" i="2"/>
  <c r="C950" i="2"/>
  <c r="D950" i="2"/>
  <c r="E950" i="2"/>
  <c r="F950" i="2"/>
  <c r="G950" i="2" s="1"/>
  <c r="C951" i="2"/>
  <c r="D951" i="2"/>
  <c r="E951" i="2"/>
  <c r="F951" i="2"/>
  <c r="G951" i="2"/>
  <c r="C952" i="2"/>
  <c r="D952" i="2"/>
  <c r="E952" i="2"/>
  <c r="F952" i="2"/>
  <c r="G952" i="2"/>
  <c r="C953" i="2"/>
  <c r="D953" i="2"/>
  <c r="E953" i="2"/>
  <c r="F953" i="2"/>
  <c r="G953" i="2"/>
  <c r="C954" i="2"/>
  <c r="D954" i="2"/>
  <c r="E954" i="2"/>
  <c r="F954" i="2"/>
  <c r="G954" i="2" s="1"/>
  <c r="C955" i="2"/>
  <c r="D955" i="2"/>
  <c r="E955" i="2"/>
  <c r="F955" i="2"/>
  <c r="G955" i="2" s="1"/>
  <c r="C956" i="2"/>
  <c r="D956" i="2"/>
  <c r="E956" i="2"/>
  <c r="F956" i="2"/>
  <c r="G956" i="2"/>
  <c r="C957" i="2"/>
  <c r="D957" i="2"/>
  <c r="E957" i="2"/>
  <c r="F957" i="2"/>
  <c r="G957" i="2"/>
  <c r="C958" i="2"/>
  <c r="D958" i="2"/>
  <c r="E958" i="2"/>
  <c r="F958" i="2"/>
  <c r="G958" i="2" s="1"/>
  <c r="C959" i="2"/>
  <c r="D959" i="2"/>
  <c r="E959" i="2"/>
  <c r="F959" i="2"/>
  <c r="G959" i="2"/>
  <c r="C960" i="2"/>
  <c r="D960" i="2"/>
  <c r="E960" i="2"/>
  <c r="F960" i="2"/>
  <c r="G960" i="2"/>
  <c r="C961" i="2"/>
  <c r="D961" i="2"/>
  <c r="E961" i="2"/>
  <c r="F961" i="2"/>
  <c r="G961" i="2"/>
  <c r="C962" i="2"/>
  <c r="D962" i="2"/>
  <c r="E962" i="2"/>
  <c r="F962" i="2"/>
  <c r="G962" i="2" s="1"/>
  <c r="C963" i="2"/>
  <c r="D963" i="2"/>
  <c r="E963" i="2"/>
  <c r="F963" i="2"/>
  <c r="G963" i="2" s="1"/>
  <c r="C964" i="2"/>
  <c r="D964" i="2"/>
  <c r="E964" i="2"/>
  <c r="F964" i="2"/>
  <c r="G964" i="2"/>
  <c r="C965" i="2"/>
  <c r="D965" i="2"/>
  <c r="E965" i="2"/>
  <c r="F965" i="2"/>
  <c r="G965" i="2"/>
  <c r="C966" i="2"/>
  <c r="D966" i="2"/>
  <c r="E966" i="2"/>
  <c r="F966" i="2"/>
  <c r="G966" i="2" s="1"/>
  <c r="C967" i="2"/>
  <c r="D967" i="2"/>
  <c r="E967" i="2"/>
  <c r="F967" i="2"/>
  <c r="G967" i="2"/>
  <c r="C968" i="2"/>
  <c r="D968" i="2"/>
  <c r="E968" i="2"/>
  <c r="F968" i="2"/>
  <c r="G968" i="2"/>
  <c r="C969" i="2"/>
  <c r="D969" i="2"/>
  <c r="E969" i="2"/>
  <c r="F969" i="2"/>
  <c r="G969" i="2"/>
  <c r="C970" i="2"/>
  <c r="D970" i="2"/>
  <c r="E970" i="2"/>
  <c r="F970" i="2"/>
  <c r="G970" i="2" s="1"/>
  <c r="C971" i="2"/>
  <c r="D971" i="2"/>
  <c r="E971" i="2"/>
  <c r="F971" i="2"/>
  <c r="G971" i="2" s="1"/>
  <c r="C972" i="2"/>
  <c r="D972" i="2"/>
  <c r="E972" i="2"/>
  <c r="F972" i="2"/>
  <c r="G972" i="2"/>
  <c r="C973" i="2"/>
  <c r="D973" i="2"/>
  <c r="E973" i="2"/>
  <c r="F973" i="2"/>
  <c r="G973" i="2"/>
  <c r="C974" i="2"/>
  <c r="D974" i="2"/>
  <c r="E974" i="2"/>
  <c r="F974" i="2"/>
  <c r="G974" i="2" s="1"/>
  <c r="C975" i="2"/>
  <c r="D975" i="2"/>
  <c r="E975" i="2"/>
  <c r="F975" i="2"/>
  <c r="G975" i="2"/>
  <c r="C976" i="2"/>
  <c r="D976" i="2"/>
  <c r="E976" i="2"/>
  <c r="F976" i="2"/>
  <c r="G976" i="2"/>
  <c r="C977" i="2"/>
  <c r="D977" i="2"/>
  <c r="E977" i="2"/>
  <c r="F977" i="2"/>
  <c r="G977" i="2"/>
  <c r="C978" i="2"/>
  <c r="D978" i="2"/>
  <c r="E978" i="2"/>
  <c r="F978" i="2"/>
  <c r="G978" i="2" s="1"/>
  <c r="C979" i="2"/>
  <c r="D979" i="2"/>
  <c r="E979" i="2"/>
  <c r="F979" i="2"/>
  <c r="G979" i="2" s="1"/>
  <c r="C980" i="2"/>
  <c r="D980" i="2"/>
  <c r="E980" i="2"/>
  <c r="F980" i="2"/>
  <c r="G980" i="2"/>
  <c r="C981" i="2"/>
  <c r="D981" i="2"/>
  <c r="E981" i="2"/>
  <c r="F981" i="2"/>
  <c r="G981" i="2"/>
  <c r="C982" i="2"/>
  <c r="D982" i="2"/>
  <c r="E982" i="2"/>
  <c r="F982" i="2"/>
  <c r="G982" i="2" s="1"/>
  <c r="C983" i="2"/>
  <c r="D983" i="2"/>
  <c r="E983" i="2"/>
  <c r="F983" i="2"/>
  <c r="G983" i="2"/>
  <c r="C984" i="2"/>
  <c r="D984" i="2"/>
  <c r="E984" i="2"/>
  <c r="F984" i="2"/>
  <c r="G984" i="2"/>
  <c r="C985" i="2"/>
  <c r="D985" i="2"/>
  <c r="E985" i="2"/>
  <c r="F985" i="2"/>
  <c r="G985" i="2"/>
  <c r="C986" i="2"/>
  <c r="D986" i="2"/>
  <c r="E986" i="2"/>
  <c r="F986" i="2"/>
  <c r="G986" i="2" s="1"/>
  <c r="C987" i="2"/>
  <c r="D987" i="2"/>
  <c r="E987" i="2"/>
  <c r="F987" i="2"/>
  <c r="G987" i="2" s="1"/>
  <c r="C988" i="2"/>
  <c r="D988" i="2"/>
  <c r="E988" i="2"/>
  <c r="F988" i="2"/>
  <c r="G988" i="2"/>
  <c r="C989" i="2"/>
  <c r="D989" i="2"/>
  <c r="E989" i="2"/>
  <c r="F989" i="2"/>
  <c r="G989" i="2"/>
  <c r="C990" i="2"/>
  <c r="D990" i="2"/>
  <c r="E990" i="2"/>
  <c r="F990" i="2"/>
  <c r="G990" i="2" s="1"/>
  <c r="C991" i="2"/>
  <c r="D991" i="2"/>
  <c r="E991" i="2"/>
  <c r="F991" i="2"/>
  <c r="G991" i="2"/>
  <c r="C992" i="2"/>
  <c r="D992" i="2"/>
  <c r="E992" i="2"/>
  <c r="F992" i="2"/>
  <c r="G992" i="2"/>
  <c r="C993" i="2"/>
  <c r="D993" i="2"/>
  <c r="E993" i="2"/>
  <c r="F993" i="2"/>
  <c r="G993" i="2"/>
  <c r="C994" i="2"/>
  <c r="D994" i="2"/>
  <c r="E994" i="2"/>
  <c r="F994" i="2"/>
  <c r="G994" i="2" s="1"/>
  <c r="C995" i="2"/>
  <c r="D995" i="2"/>
  <c r="E995" i="2"/>
  <c r="F995" i="2"/>
  <c r="G995" i="2" s="1"/>
  <c r="C996" i="2"/>
  <c r="D996" i="2"/>
  <c r="E996" i="2"/>
  <c r="F996" i="2"/>
  <c r="G996" i="2"/>
  <c r="C997" i="2"/>
  <c r="D997" i="2"/>
  <c r="E997" i="2"/>
  <c r="F997" i="2"/>
  <c r="G997" i="2"/>
  <c r="C998" i="2"/>
  <c r="D998" i="2"/>
  <c r="E998" i="2"/>
  <c r="F998" i="2"/>
  <c r="G998" i="2" s="1"/>
  <c r="C999" i="2"/>
  <c r="D999" i="2"/>
  <c r="E999" i="2"/>
  <c r="F999" i="2"/>
  <c r="G999" i="2"/>
  <c r="C1000" i="2"/>
  <c r="D1000" i="2"/>
  <c r="E1000" i="2"/>
  <c r="F1000" i="2"/>
  <c r="G1000" i="2"/>
  <c r="C1001" i="2"/>
  <c r="D1001" i="2"/>
  <c r="E1001" i="2"/>
  <c r="F1001" i="2"/>
  <c r="G1001" i="2"/>
  <c r="C1002" i="2"/>
  <c r="D1002" i="2"/>
  <c r="E1002" i="2"/>
  <c r="F1002" i="2"/>
  <c r="G1002" i="2" s="1"/>
  <c r="C1003" i="2"/>
  <c r="D1003" i="2"/>
  <c r="E1003" i="2"/>
  <c r="F1003" i="2"/>
  <c r="G1003" i="2" s="1"/>
  <c r="C1004" i="2"/>
  <c r="D1004" i="2"/>
  <c r="E1004" i="2"/>
  <c r="F1004" i="2"/>
  <c r="G1004" i="2"/>
  <c r="C1005" i="2"/>
  <c r="D1005" i="2"/>
  <c r="E1005" i="2"/>
  <c r="F1005" i="2"/>
  <c r="G1005" i="2"/>
  <c r="C1006" i="2"/>
  <c r="D1006" i="2"/>
  <c r="E1006" i="2"/>
  <c r="F1006" i="2"/>
  <c r="G1006" i="2" s="1"/>
  <c r="C1007" i="2"/>
  <c r="D1007" i="2"/>
  <c r="E1007" i="2"/>
  <c r="F1007" i="2"/>
  <c r="G1007" i="2"/>
  <c r="C1008" i="2"/>
  <c r="D1008" i="2"/>
  <c r="E1008" i="2"/>
  <c r="F1008" i="2"/>
  <c r="G1008" i="2"/>
  <c r="C1009" i="2"/>
  <c r="D1009" i="2"/>
  <c r="E1009" i="2"/>
  <c r="F1009" i="2"/>
  <c r="G1009" i="2"/>
  <c r="C1010" i="2"/>
  <c r="D1010" i="2"/>
  <c r="E1010" i="2"/>
  <c r="F1010" i="2"/>
  <c r="G1010" i="2" s="1"/>
  <c r="C1011" i="2"/>
  <c r="D1011" i="2"/>
  <c r="E1011" i="2"/>
  <c r="F1011" i="2"/>
  <c r="G1011" i="2" s="1"/>
  <c r="C1012" i="2"/>
  <c r="D1012" i="2"/>
  <c r="E1012" i="2"/>
  <c r="F1012" i="2"/>
  <c r="G1012" i="2"/>
  <c r="C1013" i="2"/>
  <c r="D1013" i="2"/>
  <c r="E1013" i="2"/>
  <c r="F1013" i="2"/>
  <c r="G1013" i="2"/>
  <c r="C1014" i="2"/>
  <c r="D1014" i="2"/>
  <c r="E1014" i="2"/>
  <c r="F1014" i="2"/>
  <c r="G1014" i="2" s="1"/>
  <c r="C1015" i="2"/>
  <c r="D1015" i="2"/>
  <c r="E1015" i="2"/>
  <c r="F1015" i="2"/>
  <c r="G1015" i="2"/>
  <c r="C1016" i="2"/>
  <c r="D1016" i="2"/>
  <c r="E1016" i="2"/>
  <c r="F1016" i="2"/>
  <c r="G1016" i="2"/>
  <c r="C1017" i="2"/>
  <c r="D1017" i="2"/>
  <c r="E1017" i="2"/>
  <c r="F1017" i="2"/>
  <c r="G1017" i="2"/>
  <c r="C1018" i="2"/>
  <c r="D1018" i="2"/>
  <c r="E1018" i="2"/>
  <c r="F1018" i="2"/>
  <c r="G1018" i="2" s="1"/>
  <c r="C1019" i="2"/>
  <c r="D1019" i="2"/>
  <c r="E1019" i="2"/>
  <c r="F1019" i="2"/>
  <c r="G1019" i="2" s="1"/>
  <c r="C1020" i="2"/>
  <c r="D1020" i="2"/>
  <c r="E1020" i="2"/>
  <c r="F1020" i="2"/>
  <c r="G1020" i="2"/>
  <c r="C1021" i="2"/>
  <c r="D1021" i="2"/>
  <c r="E1021" i="2"/>
  <c r="F1021" i="2"/>
  <c r="G1021" i="2"/>
  <c r="C1022" i="2"/>
  <c r="D1022" i="2"/>
  <c r="E1022" i="2"/>
  <c r="F1022" i="2"/>
  <c r="G1022" i="2" s="1"/>
  <c r="C1023" i="2"/>
  <c r="D1023" i="2"/>
  <c r="E1023" i="2"/>
  <c r="F1023" i="2"/>
  <c r="G1023" i="2"/>
  <c r="C1024" i="2"/>
  <c r="D1024" i="2"/>
  <c r="E1024" i="2"/>
  <c r="F1024" i="2"/>
  <c r="G1024" i="2"/>
  <c r="C1025" i="2"/>
  <c r="D1025" i="2"/>
  <c r="E1025" i="2"/>
  <c r="F1025" i="2"/>
  <c r="G1025" i="2"/>
  <c r="C1026" i="2"/>
  <c r="D1026" i="2"/>
  <c r="E1026" i="2"/>
  <c r="F1026" i="2"/>
  <c r="G1026" i="2" s="1"/>
  <c r="C1027" i="2"/>
  <c r="D1027" i="2"/>
  <c r="E1027" i="2"/>
  <c r="F1027" i="2"/>
  <c r="G1027" i="2" s="1"/>
  <c r="C1028" i="2"/>
  <c r="D1028" i="2"/>
  <c r="E1028" i="2"/>
  <c r="F1028" i="2"/>
  <c r="G1028" i="2"/>
  <c r="C1029" i="2"/>
  <c r="D1029" i="2"/>
  <c r="E1029" i="2"/>
  <c r="F1029" i="2"/>
  <c r="G1029" i="2"/>
  <c r="C1030" i="2"/>
  <c r="D1030" i="2"/>
  <c r="E1030" i="2"/>
  <c r="F1030" i="2"/>
  <c r="G1030" i="2" s="1"/>
  <c r="C1031" i="2"/>
  <c r="D1031" i="2"/>
  <c r="E1031" i="2"/>
  <c r="F1031" i="2"/>
  <c r="G1031" i="2"/>
  <c r="C1032" i="2"/>
  <c r="D1032" i="2"/>
  <c r="E1032" i="2"/>
  <c r="F1032" i="2"/>
  <c r="G1032" i="2"/>
  <c r="C1033" i="2"/>
  <c r="D1033" i="2"/>
  <c r="E1033" i="2"/>
  <c r="F1033" i="2"/>
  <c r="G1033" i="2"/>
  <c r="C1034" i="2"/>
  <c r="D1034" i="2"/>
  <c r="E1034" i="2"/>
  <c r="F1034" i="2"/>
  <c r="G1034" i="2" s="1"/>
  <c r="C1035" i="2"/>
  <c r="D1035" i="2"/>
  <c r="E1035" i="2"/>
  <c r="F1035" i="2"/>
  <c r="G1035" i="2" s="1"/>
  <c r="C1036" i="2"/>
  <c r="D1036" i="2"/>
  <c r="E1036" i="2"/>
  <c r="F1036" i="2"/>
  <c r="G1036" i="2"/>
  <c r="C1037" i="2"/>
  <c r="D1037" i="2"/>
  <c r="E1037" i="2"/>
  <c r="F1037" i="2"/>
  <c r="G1037" i="2"/>
  <c r="C1038" i="2"/>
  <c r="D1038" i="2"/>
  <c r="E1038" i="2"/>
  <c r="F1038" i="2"/>
  <c r="G1038" i="2" s="1"/>
  <c r="C1039" i="2"/>
  <c r="D1039" i="2"/>
  <c r="E1039" i="2"/>
  <c r="F1039" i="2"/>
  <c r="G1039" i="2"/>
  <c r="C1040" i="2"/>
  <c r="D1040" i="2"/>
  <c r="E1040" i="2"/>
  <c r="F1040" i="2"/>
  <c r="G1040" i="2"/>
  <c r="C1041" i="2"/>
  <c r="D1041" i="2"/>
  <c r="E1041" i="2"/>
  <c r="F1041" i="2"/>
  <c r="G1041" i="2"/>
  <c r="C1042" i="2"/>
  <c r="D1042" i="2"/>
  <c r="E1042" i="2"/>
  <c r="F1042" i="2"/>
  <c r="G1042" i="2" s="1"/>
  <c r="C1043" i="2"/>
  <c r="D1043" i="2"/>
  <c r="E1043" i="2"/>
  <c r="F1043" i="2"/>
  <c r="G1043" i="2" s="1"/>
  <c r="C1044" i="2"/>
  <c r="D1044" i="2"/>
  <c r="E1044" i="2"/>
  <c r="F1044" i="2"/>
  <c r="G1044" i="2"/>
  <c r="C1045" i="2"/>
  <c r="D1045" i="2"/>
  <c r="E1045" i="2"/>
  <c r="F1045" i="2"/>
  <c r="G1045" i="2"/>
  <c r="C1046" i="2"/>
  <c r="D1046" i="2"/>
  <c r="E1046" i="2"/>
  <c r="F1046" i="2"/>
  <c r="G1046" i="2" s="1"/>
  <c r="C1047" i="2"/>
  <c r="D1047" i="2"/>
  <c r="E1047" i="2"/>
  <c r="F1047" i="2"/>
  <c r="G1047" i="2"/>
  <c r="C1048" i="2"/>
  <c r="D1048" i="2"/>
  <c r="E1048" i="2"/>
  <c r="F1048" i="2"/>
  <c r="G1048" i="2"/>
  <c r="C1049" i="2"/>
  <c r="D1049" i="2"/>
  <c r="E1049" i="2"/>
  <c r="F1049" i="2"/>
  <c r="G1049" i="2"/>
  <c r="C1050" i="2"/>
  <c r="D1050" i="2"/>
  <c r="E1050" i="2"/>
  <c r="F1050" i="2"/>
  <c r="G1050" i="2" s="1"/>
  <c r="C1051" i="2"/>
  <c r="D1051" i="2"/>
  <c r="E1051" i="2"/>
  <c r="F1051" i="2"/>
  <c r="G1051" i="2" s="1"/>
  <c r="C1052" i="2"/>
  <c r="D1052" i="2"/>
  <c r="E1052" i="2"/>
  <c r="F1052" i="2"/>
  <c r="G1052" i="2"/>
  <c r="C1053" i="2"/>
  <c r="D1053" i="2"/>
  <c r="E1053" i="2"/>
  <c r="F1053" i="2"/>
  <c r="G1053" i="2"/>
  <c r="C1054" i="2"/>
  <c r="D1054" i="2"/>
  <c r="E1054" i="2"/>
  <c r="F1054" i="2"/>
  <c r="G1054" i="2" s="1"/>
  <c r="C1055" i="2"/>
  <c r="D1055" i="2"/>
  <c r="E1055" i="2"/>
  <c r="F1055" i="2"/>
  <c r="G1055" i="2"/>
  <c r="C1056" i="2"/>
  <c r="D1056" i="2"/>
  <c r="E1056" i="2"/>
  <c r="F1056" i="2"/>
  <c r="G1056" i="2"/>
  <c r="C1057" i="2"/>
  <c r="D1057" i="2"/>
  <c r="E1057" i="2"/>
  <c r="F1057" i="2"/>
  <c r="G1057" i="2"/>
  <c r="C1058" i="2"/>
  <c r="D1058" i="2"/>
  <c r="E1058" i="2"/>
  <c r="F1058" i="2"/>
  <c r="G1058" i="2" s="1"/>
  <c r="C1059" i="2"/>
  <c r="D1059" i="2"/>
  <c r="E1059" i="2"/>
  <c r="F1059" i="2"/>
  <c r="G1059" i="2" s="1"/>
  <c r="C1060" i="2"/>
  <c r="D1060" i="2"/>
  <c r="E1060" i="2"/>
  <c r="F1060" i="2"/>
  <c r="G1060" i="2"/>
  <c r="C1061" i="2"/>
  <c r="D1061" i="2"/>
  <c r="E1061" i="2"/>
  <c r="F1061" i="2"/>
  <c r="G1061" i="2"/>
  <c r="C1062" i="2"/>
  <c r="D1062" i="2"/>
  <c r="E1062" i="2"/>
  <c r="F1062" i="2"/>
  <c r="G1062" i="2" s="1"/>
  <c r="C1063" i="2"/>
  <c r="D1063" i="2"/>
  <c r="E1063" i="2"/>
  <c r="F1063" i="2"/>
  <c r="G1063" i="2"/>
  <c r="C1064" i="2"/>
  <c r="D1064" i="2"/>
  <c r="E1064" i="2"/>
  <c r="F1064" i="2"/>
  <c r="G1064" i="2"/>
  <c r="C1065" i="2"/>
  <c r="D1065" i="2"/>
  <c r="E1065" i="2"/>
  <c r="F1065" i="2"/>
  <c r="G1065" i="2"/>
  <c r="C1066" i="2"/>
  <c r="D1066" i="2"/>
  <c r="E1066" i="2"/>
  <c r="F1066" i="2"/>
  <c r="G1066" i="2" s="1"/>
  <c r="C1067" i="2"/>
  <c r="D1067" i="2"/>
  <c r="E1067" i="2"/>
  <c r="F1067" i="2"/>
  <c r="G1067" i="2" s="1"/>
  <c r="C1068" i="2"/>
  <c r="D1068" i="2"/>
  <c r="E1068" i="2"/>
  <c r="F1068" i="2"/>
  <c r="G1068" i="2"/>
  <c r="C1069" i="2"/>
  <c r="D1069" i="2"/>
  <c r="E1069" i="2"/>
  <c r="F1069" i="2"/>
  <c r="G1069" i="2"/>
  <c r="C1070" i="2"/>
  <c r="D1070" i="2"/>
  <c r="E1070" i="2"/>
  <c r="F1070" i="2"/>
  <c r="G1070" i="2" s="1"/>
  <c r="C1071" i="2"/>
  <c r="D1071" i="2"/>
  <c r="E1071" i="2"/>
  <c r="F1071" i="2"/>
  <c r="G1071" i="2"/>
  <c r="C1072" i="2"/>
  <c r="D1072" i="2"/>
  <c r="E1072" i="2"/>
  <c r="F1072" i="2"/>
  <c r="G1072" i="2"/>
  <c r="C1073" i="2"/>
  <c r="D1073" i="2"/>
  <c r="E1073" i="2"/>
  <c r="F1073" i="2"/>
  <c r="G1073" i="2"/>
  <c r="C1074" i="2"/>
  <c r="D1074" i="2"/>
  <c r="E1074" i="2"/>
  <c r="F1074" i="2"/>
  <c r="G1074" i="2" s="1"/>
  <c r="C1075" i="2"/>
  <c r="D1075" i="2"/>
  <c r="E1075" i="2"/>
  <c r="F1075" i="2"/>
  <c r="G1075" i="2" s="1"/>
  <c r="C1076" i="2"/>
  <c r="D1076" i="2"/>
  <c r="E1076" i="2"/>
  <c r="F1076" i="2"/>
  <c r="G1076" i="2"/>
  <c r="C1077" i="2"/>
  <c r="D1077" i="2"/>
  <c r="E1077" i="2"/>
  <c r="F1077" i="2"/>
  <c r="G1077" i="2"/>
  <c r="C1078" i="2"/>
  <c r="D1078" i="2"/>
  <c r="E1078" i="2"/>
  <c r="F1078" i="2"/>
  <c r="G1078" i="2" s="1"/>
  <c r="C1079" i="2"/>
  <c r="D1079" i="2"/>
  <c r="E1079" i="2"/>
  <c r="F1079" i="2"/>
  <c r="G1079" i="2"/>
  <c r="C1080" i="2"/>
  <c r="D1080" i="2"/>
  <c r="E1080" i="2"/>
  <c r="F1080" i="2"/>
  <c r="G1080" i="2"/>
  <c r="C1081" i="2"/>
  <c r="D1081" i="2"/>
  <c r="E1081" i="2"/>
  <c r="F1081" i="2"/>
  <c r="G1081" i="2"/>
  <c r="C1082" i="2"/>
  <c r="D1082" i="2"/>
  <c r="E1082" i="2"/>
  <c r="F1082" i="2"/>
  <c r="G1082" i="2" s="1"/>
  <c r="C1083" i="2"/>
  <c r="D1083" i="2"/>
  <c r="E1083" i="2"/>
  <c r="F1083" i="2"/>
  <c r="G1083" i="2" s="1"/>
  <c r="C1084" i="2"/>
  <c r="D1084" i="2"/>
  <c r="E1084" i="2"/>
  <c r="F1084" i="2"/>
  <c r="G1084" i="2"/>
  <c r="C1085" i="2"/>
  <c r="D1085" i="2"/>
  <c r="E1085" i="2"/>
  <c r="F1085" i="2"/>
  <c r="G1085" i="2"/>
  <c r="C1086" i="2"/>
  <c r="D1086" i="2"/>
  <c r="E1086" i="2"/>
  <c r="F1086" i="2"/>
  <c r="G1086" i="2" s="1"/>
  <c r="C1087" i="2"/>
  <c r="D1087" i="2"/>
  <c r="E1087" i="2"/>
  <c r="F1087" i="2"/>
  <c r="G1087" i="2"/>
  <c r="C1088" i="2"/>
  <c r="D1088" i="2"/>
  <c r="E1088" i="2"/>
  <c r="F1088" i="2"/>
  <c r="G1088" i="2"/>
  <c r="C1089" i="2"/>
  <c r="D1089" i="2"/>
  <c r="E1089" i="2"/>
  <c r="F1089" i="2"/>
  <c r="G1089" i="2"/>
  <c r="C1090" i="2"/>
  <c r="D1090" i="2"/>
  <c r="E1090" i="2"/>
  <c r="F1090" i="2"/>
  <c r="G1090" i="2" s="1"/>
  <c r="C1091" i="2"/>
  <c r="D1091" i="2"/>
  <c r="E1091" i="2"/>
  <c r="F1091" i="2"/>
  <c r="G1091" i="2" s="1"/>
  <c r="C1092" i="2"/>
  <c r="D1092" i="2"/>
  <c r="E1092" i="2"/>
  <c r="F1092" i="2"/>
  <c r="G1092" i="2"/>
  <c r="C1093" i="2"/>
  <c r="D1093" i="2"/>
  <c r="E1093" i="2"/>
  <c r="F1093" i="2"/>
  <c r="G1093" i="2"/>
  <c r="C1094" i="2"/>
  <c r="D1094" i="2"/>
  <c r="E1094" i="2"/>
  <c r="F1094" i="2"/>
  <c r="G1094" i="2" s="1"/>
  <c r="C1095" i="2"/>
  <c r="D1095" i="2"/>
  <c r="E1095" i="2"/>
  <c r="F1095" i="2"/>
  <c r="G1095" i="2"/>
  <c r="C1096" i="2"/>
  <c r="D1096" i="2"/>
  <c r="E1096" i="2"/>
  <c r="F1096" i="2"/>
  <c r="G1096" i="2"/>
  <c r="C1097" i="2"/>
  <c r="D1097" i="2"/>
  <c r="E1097" i="2"/>
  <c r="F1097" i="2"/>
  <c r="G1097" i="2"/>
  <c r="C1098" i="2"/>
  <c r="D1098" i="2"/>
  <c r="E1098" i="2"/>
  <c r="F1098" i="2"/>
  <c r="G1098" i="2" s="1"/>
  <c r="C1099" i="2"/>
  <c r="D1099" i="2"/>
  <c r="E1099" i="2"/>
  <c r="F1099" i="2"/>
  <c r="G1099" i="2" s="1"/>
  <c r="C1100" i="2"/>
  <c r="D1100" i="2"/>
  <c r="E1100" i="2"/>
  <c r="F1100" i="2"/>
  <c r="G1100" i="2"/>
  <c r="C1101" i="2"/>
  <c r="D1101" i="2"/>
  <c r="E1101" i="2"/>
  <c r="F1101" i="2"/>
  <c r="G1101" i="2"/>
  <c r="C1102" i="2"/>
  <c r="D1102" i="2"/>
  <c r="E1102" i="2"/>
  <c r="F1102" i="2"/>
  <c r="G1102" i="2" s="1"/>
  <c r="C1103" i="2"/>
  <c r="D1103" i="2"/>
  <c r="E1103" i="2"/>
  <c r="F1103" i="2"/>
  <c r="G1103" i="2"/>
  <c r="C1104" i="2"/>
  <c r="D1104" i="2"/>
  <c r="E1104" i="2"/>
  <c r="F1104" i="2"/>
  <c r="G1104" i="2"/>
  <c r="C1105" i="2"/>
  <c r="D1105" i="2"/>
  <c r="E1105" i="2"/>
  <c r="F1105" i="2"/>
  <c r="G1105" i="2"/>
  <c r="C1106" i="2"/>
  <c r="D1106" i="2"/>
  <c r="E1106" i="2"/>
  <c r="F1106" i="2"/>
  <c r="G1106" i="2" s="1"/>
  <c r="C1107" i="2"/>
  <c r="D1107" i="2"/>
  <c r="E1107" i="2"/>
  <c r="F1107" i="2"/>
  <c r="G1107" i="2" s="1"/>
  <c r="C1108" i="2"/>
  <c r="D1108" i="2"/>
  <c r="E1108" i="2"/>
  <c r="F1108" i="2"/>
  <c r="G1108" i="2"/>
  <c r="C1109" i="2"/>
  <c r="D1109" i="2"/>
  <c r="E1109" i="2"/>
  <c r="F1109" i="2"/>
  <c r="G1109" i="2"/>
  <c r="C1110" i="2"/>
  <c r="D1110" i="2"/>
  <c r="E1110" i="2"/>
  <c r="F1110" i="2"/>
  <c r="G1110" i="2" s="1"/>
  <c r="C1111" i="2"/>
  <c r="D1111" i="2"/>
  <c r="E1111" i="2"/>
  <c r="F1111" i="2"/>
  <c r="G1111" i="2"/>
  <c r="C1112" i="2"/>
  <c r="D1112" i="2"/>
  <c r="E1112" i="2"/>
  <c r="F1112" i="2"/>
  <c r="G1112" i="2"/>
  <c r="C1113" i="2"/>
  <c r="D1113" i="2"/>
  <c r="E1113" i="2"/>
  <c r="F1113" i="2"/>
  <c r="G1113" i="2"/>
  <c r="C1114" i="2"/>
  <c r="D1114" i="2"/>
  <c r="E1114" i="2"/>
  <c r="F1114" i="2"/>
  <c r="G1114" i="2" s="1"/>
  <c r="C1115" i="2"/>
  <c r="D1115" i="2"/>
  <c r="E1115" i="2"/>
  <c r="F1115" i="2"/>
  <c r="G1115" i="2" s="1"/>
  <c r="C1116" i="2"/>
  <c r="D1116" i="2"/>
  <c r="E1116" i="2"/>
  <c r="F1116" i="2"/>
  <c r="G1116" i="2"/>
  <c r="C1117" i="2"/>
  <c r="D1117" i="2"/>
  <c r="E1117" i="2"/>
  <c r="F1117" i="2"/>
  <c r="G1117" i="2"/>
  <c r="C1118" i="2"/>
  <c r="D1118" i="2"/>
  <c r="E1118" i="2"/>
  <c r="F1118" i="2"/>
  <c r="G1118" i="2" s="1"/>
  <c r="C1119" i="2"/>
  <c r="D1119" i="2"/>
  <c r="E1119" i="2"/>
  <c r="F1119" i="2"/>
  <c r="G1119" i="2"/>
  <c r="C1120" i="2"/>
  <c r="D1120" i="2"/>
  <c r="E1120" i="2"/>
  <c r="F1120" i="2"/>
  <c r="G1120" i="2"/>
  <c r="C1121" i="2"/>
  <c r="D1121" i="2"/>
  <c r="E1121" i="2"/>
  <c r="F1121" i="2"/>
  <c r="G1121" i="2"/>
  <c r="C1122" i="2"/>
  <c r="D1122" i="2"/>
  <c r="E1122" i="2"/>
  <c r="F1122" i="2"/>
  <c r="G1122" i="2" s="1"/>
  <c r="C1123" i="2"/>
  <c r="D1123" i="2"/>
  <c r="E1123" i="2"/>
  <c r="F1123" i="2"/>
  <c r="G1123" i="2" s="1"/>
  <c r="C1124" i="2"/>
  <c r="D1124" i="2"/>
  <c r="E1124" i="2"/>
  <c r="F1124" i="2"/>
  <c r="G1124" i="2"/>
  <c r="C1125" i="2"/>
  <c r="D1125" i="2"/>
  <c r="E1125" i="2"/>
  <c r="F1125" i="2"/>
  <c r="G1125" i="2"/>
  <c r="C1126" i="2"/>
  <c r="D1126" i="2"/>
  <c r="E1126" i="2"/>
  <c r="F1126" i="2"/>
  <c r="G1126" i="2" s="1"/>
  <c r="C1127" i="2"/>
  <c r="D1127" i="2"/>
  <c r="E1127" i="2"/>
  <c r="F1127" i="2"/>
  <c r="G1127" i="2"/>
  <c r="C1128" i="2"/>
  <c r="D1128" i="2"/>
  <c r="E1128" i="2"/>
  <c r="F1128" i="2"/>
  <c r="G1128" i="2"/>
  <c r="C1129" i="2"/>
  <c r="D1129" i="2"/>
  <c r="E1129" i="2"/>
  <c r="F1129" i="2"/>
  <c r="G1129" i="2"/>
  <c r="C1130" i="2"/>
  <c r="D1130" i="2"/>
  <c r="E1130" i="2"/>
  <c r="F1130" i="2"/>
  <c r="G1130" i="2" s="1"/>
  <c r="C1131" i="2"/>
  <c r="D1131" i="2"/>
  <c r="E1131" i="2"/>
  <c r="F1131" i="2"/>
  <c r="G1131" i="2" s="1"/>
  <c r="C1132" i="2"/>
  <c r="D1132" i="2"/>
  <c r="E1132" i="2"/>
  <c r="F1132" i="2"/>
  <c r="G1132" i="2"/>
  <c r="C1133" i="2"/>
  <c r="D1133" i="2"/>
  <c r="E1133" i="2"/>
  <c r="F1133" i="2"/>
  <c r="G1133" i="2"/>
  <c r="C1134" i="2"/>
  <c r="D1134" i="2"/>
  <c r="E1134" i="2"/>
  <c r="F1134" i="2"/>
  <c r="G1134" i="2" s="1"/>
  <c r="C1135" i="2"/>
  <c r="D1135" i="2"/>
  <c r="E1135" i="2"/>
  <c r="F1135" i="2"/>
  <c r="G1135" i="2"/>
  <c r="C1136" i="2"/>
  <c r="D1136" i="2"/>
  <c r="E1136" i="2"/>
  <c r="F1136" i="2"/>
  <c r="G1136" i="2"/>
  <c r="C1137" i="2"/>
  <c r="D1137" i="2"/>
  <c r="E1137" i="2"/>
  <c r="F1137" i="2"/>
  <c r="G1137" i="2"/>
  <c r="C1138" i="2"/>
  <c r="D1138" i="2"/>
  <c r="E1138" i="2"/>
  <c r="F1138" i="2"/>
  <c r="G1138" i="2" s="1"/>
  <c r="C1139" i="2"/>
  <c r="D1139" i="2"/>
  <c r="E1139" i="2"/>
  <c r="F1139" i="2"/>
  <c r="G1139" i="2" s="1"/>
  <c r="C1140" i="2"/>
  <c r="D1140" i="2"/>
  <c r="E1140" i="2"/>
  <c r="F1140" i="2"/>
  <c r="G1140" i="2"/>
  <c r="C1141" i="2"/>
  <c r="D1141" i="2"/>
  <c r="E1141" i="2"/>
  <c r="F1141" i="2"/>
  <c r="G1141" i="2"/>
  <c r="C1142" i="2"/>
  <c r="D1142" i="2"/>
  <c r="E1142" i="2"/>
  <c r="F1142" i="2"/>
  <c r="G1142" i="2" s="1"/>
  <c r="C1143" i="2"/>
  <c r="D1143" i="2"/>
  <c r="E1143" i="2"/>
  <c r="F1143" i="2"/>
  <c r="G1143" i="2"/>
  <c r="C1144" i="2"/>
  <c r="D1144" i="2"/>
  <c r="E1144" i="2"/>
  <c r="F1144" i="2"/>
  <c r="G1144" i="2"/>
  <c r="C1145" i="2"/>
  <c r="D1145" i="2"/>
  <c r="E1145" i="2"/>
  <c r="F1145" i="2"/>
  <c r="G1145" i="2"/>
  <c r="C1146" i="2"/>
  <c r="D1146" i="2"/>
  <c r="E1146" i="2"/>
  <c r="F1146" i="2"/>
  <c r="G1146" i="2" s="1"/>
  <c r="C1147" i="2"/>
  <c r="D1147" i="2"/>
  <c r="E1147" i="2"/>
  <c r="F1147" i="2"/>
  <c r="G1147" i="2" s="1"/>
  <c r="C1148" i="2"/>
  <c r="D1148" i="2"/>
  <c r="E1148" i="2"/>
  <c r="F1148" i="2"/>
  <c r="G1148" i="2"/>
  <c r="C1149" i="2"/>
  <c r="D1149" i="2"/>
  <c r="E1149" i="2"/>
  <c r="F1149" i="2"/>
  <c r="G1149" i="2"/>
  <c r="C1150" i="2"/>
  <c r="D1150" i="2"/>
  <c r="E1150" i="2"/>
  <c r="F1150" i="2"/>
  <c r="G1150" i="2" s="1"/>
  <c r="C1151" i="2"/>
  <c r="D1151" i="2"/>
  <c r="E1151" i="2"/>
  <c r="F1151" i="2"/>
  <c r="G1151" i="2"/>
  <c r="C1152" i="2"/>
  <c r="D1152" i="2"/>
  <c r="E1152" i="2"/>
  <c r="F1152" i="2"/>
  <c r="G1152" i="2"/>
  <c r="C1153" i="2"/>
  <c r="D1153" i="2"/>
  <c r="E1153" i="2"/>
  <c r="F1153" i="2"/>
  <c r="G1153" i="2"/>
  <c r="C1154" i="2"/>
  <c r="D1154" i="2"/>
  <c r="E1154" i="2"/>
  <c r="F1154" i="2"/>
  <c r="G1154" i="2" s="1"/>
  <c r="C1155" i="2"/>
  <c r="D1155" i="2"/>
  <c r="E1155" i="2"/>
  <c r="F1155" i="2"/>
  <c r="G1155" i="2" s="1"/>
  <c r="C1156" i="2"/>
  <c r="D1156" i="2"/>
  <c r="E1156" i="2"/>
  <c r="F1156" i="2"/>
  <c r="G1156" i="2"/>
  <c r="C1157" i="2"/>
  <c r="D1157" i="2"/>
  <c r="E1157" i="2"/>
  <c r="F1157" i="2"/>
  <c r="G1157" i="2"/>
  <c r="C1158" i="2"/>
  <c r="D1158" i="2"/>
  <c r="E1158" i="2"/>
  <c r="F1158" i="2"/>
  <c r="G1158" i="2" s="1"/>
  <c r="C1159" i="2"/>
  <c r="D1159" i="2"/>
  <c r="E1159" i="2"/>
  <c r="F1159" i="2"/>
  <c r="G1159" i="2"/>
  <c r="C1160" i="2"/>
  <c r="D1160" i="2"/>
  <c r="E1160" i="2"/>
  <c r="F1160" i="2"/>
  <c r="G1160" i="2"/>
  <c r="C1161" i="2"/>
  <c r="D1161" i="2"/>
  <c r="E1161" i="2"/>
  <c r="F1161" i="2"/>
  <c r="G1161" i="2"/>
  <c r="C1162" i="2"/>
  <c r="D1162" i="2"/>
  <c r="E1162" i="2"/>
  <c r="F1162" i="2"/>
  <c r="G1162" i="2" s="1"/>
  <c r="C1163" i="2"/>
  <c r="D1163" i="2"/>
  <c r="E1163" i="2"/>
  <c r="F1163" i="2"/>
  <c r="G1163" i="2" s="1"/>
  <c r="C1164" i="2"/>
  <c r="D1164" i="2"/>
  <c r="E1164" i="2"/>
  <c r="F1164" i="2"/>
  <c r="G1164" i="2"/>
  <c r="C1165" i="2"/>
  <c r="D1165" i="2"/>
  <c r="E1165" i="2"/>
  <c r="F1165" i="2"/>
  <c r="G1165" i="2" s="1"/>
  <c r="C1166" i="2"/>
  <c r="D1166" i="2"/>
  <c r="E1166" i="2"/>
  <c r="F1166" i="2"/>
  <c r="G1166" i="2" s="1"/>
  <c r="C1167" i="2"/>
  <c r="D1167" i="2"/>
  <c r="E1167" i="2"/>
  <c r="F1167" i="2"/>
  <c r="G1167" i="2"/>
  <c r="C1168" i="2"/>
  <c r="D1168" i="2"/>
  <c r="E1168" i="2"/>
  <c r="F1168" i="2"/>
  <c r="G1168" i="2"/>
  <c r="C1169" i="2"/>
  <c r="D1169" i="2"/>
  <c r="E1169" i="2"/>
  <c r="F1169" i="2"/>
  <c r="G1169" i="2" s="1"/>
  <c r="C1170" i="2"/>
  <c r="D1170" i="2"/>
  <c r="E1170" i="2"/>
  <c r="F1170" i="2"/>
  <c r="G1170" i="2" s="1"/>
  <c r="C1171" i="2"/>
  <c r="D1171" i="2"/>
  <c r="E1171" i="2"/>
  <c r="F1171" i="2"/>
  <c r="G1171" i="2" s="1"/>
  <c r="C1172" i="2"/>
  <c r="D1172" i="2"/>
  <c r="E1172" i="2"/>
  <c r="F1172" i="2"/>
  <c r="G1172" i="2"/>
  <c r="C1173" i="2"/>
  <c r="D1173" i="2"/>
  <c r="E1173" i="2"/>
  <c r="F1173" i="2"/>
  <c r="G1173" i="2"/>
  <c r="C1174" i="2"/>
  <c r="D1174" i="2"/>
  <c r="E1174" i="2"/>
  <c r="F1174" i="2"/>
  <c r="G1174" i="2" s="1"/>
  <c r="C1175" i="2"/>
  <c r="D1175" i="2"/>
  <c r="E1175" i="2"/>
  <c r="F1175" i="2"/>
  <c r="G1175" i="2"/>
  <c r="C1176" i="2"/>
  <c r="D1176" i="2"/>
  <c r="E1176" i="2"/>
  <c r="F1176" i="2"/>
  <c r="G1176" i="2"/>
  <c r="C1177" i="2"/>
  <c r="D1177" i="2"/>
  <c r="E1177" i="2"/>
  <c r="F1177" i="2"/>
  <c r="G1177" i="2" s="1"/>
  <c r="C1178" i="2"/>
  <c r="D1178" i="2"/>
  <c r="E1178" i="2"/>
  <c r="F1178" i="2"/>
  <c r="G1178" i="2" s="1"/>
  <c r="C1179" i="2"/>
  <c r="D1179" i="2"/>
  <c r="E1179" i="2"/>
  <c r="F1179" i="2"/>
  <c r="G1179" i="2" s="1"/>
  <c r="C1180" i="2"/>
  <c r="D1180" i="2"/>
  <c r="E1180" i="2"/>
  <c r="F1180" i="2"/>
  <c r="G1180" i="2"/>
  <c r="C1181" i="2"/>
  <c r="D1181" i="2"/>
  <c r="E1181" i="2"/>
  <c r="F1181" i="2"/>
  <c r="G1181" i="2" s="1"/>
  <c r="C1182" i="2"/>
  <c r="D1182" i="2"/>
  <c r="E1182" i="2"/>
  <c r="F1182" i="2"/>
  <c r="G1182" i="2" s="1"/>
  <c r="C1183" i="2"/>
  <c r="D1183" i="2"/>
  <c r="E1183" i="2"/>
  <c r="F1183" i="2"/>
  <c r="G1183" i="2"/>
  <c r="C1184" i="2"/>
  <c r="D1184" i="2"/>
  <c r="E1184" i="2"/>
  <c r="F1184" i="2"/>
  <c r="G1184" i="2"/>
  <c r="C1185" i="2"/>
  <c r="D1185" i="2"/>
  <c r="E1185" i="2"/>
  <c r="F1185" i="2"/>
  <c r="G1185" i="2"/>
  <c r="C1186" i="2"/>
  <c r="D1186" i="2"/>
  <c r="E1186" i="2"/>
  <c r="F1186" i="2"/>
  <c r="G1186" i="2" s="1"/>
  <c r="C1187" i="2"/>
  <c r="D1187" i="2"/>
  <c r="E1187" i="2"/>
  <c r="F1187" i="2"/>
  <c r="G1187" i="2" s="1"/>
  <c r="C1188" i="2"/>
  <c r="D1188" i="2"/>
  <c r="E1188" i="2"/>
  <c r="F1188" i="2"/>
  <c r="G1188" i="2"/>
  <c r="C1189" i="2"/>
  <c r="D1189" i="2"/>
  <c r="E1189" i="2"/>
  <c r="F1189" i="2"/>
  <c r="G1189" i="2" s="1"/>
  <c r="C1190" i="2"/>
  <c r="D1190" i="2"/>
  <c r="E1190" i="2"/>
  <c r="F1190" i="2"/>
  <c r="G1190" i="2" s="1"/>
  <c r="C1191" i="2"/>
  <c r="D1191" i="2"/>
  <c r="E1191" i="2"/>
  <c r="F1191" i="2"/>
  <c r="G1191" i="2"/>
  <c r="C1192" i="2"/>
  <c r="D1192" i="2"/>
  <c r="E1192" i="2"/>
  <c r="F1192" i="2"/>
  <c r="G1192" i="2"/>
  <c r="C1193" i="2"/>
  <c r="D1193" i="2"/>
  <c r="E1193" i="2"/>
  <c r="F1193" i="2"/>
  <c r="G1193" i="2" s="1"/>
  <c r="C1194" i="2"/>
  <c r="D1194" i="2"/>
  <c r="E1194" i="2"/>
  <c r="F1194" i="2"/>
  <c r="G1194" i="2" s="1"/>
  <c r="C1195" i="2"/>
  <c r="D1195" i="2"/>
  <c r="E1195" i="2"/>
  <c r="F1195" i="2"/>
  <c r="G1195" i="2" s="1"/>
  <c r="C1196" i="2"/>
  <c r="D1196" i="2"/>
  <c r="E1196" i="2"/>
  <c r="F1196" i="2"/>
  <c r="G1196" i="2"/>
  <c r="C1197" i="2"/>
  <c r="D1197" i="2"/>
  <c r="E1197" i="2"/>
  <c r="F1197" i="2"/>
  <c r="G1197" i="2" s="1"/>
  <c r="C1198" i="2"/>
  <c r="D1198" i="2"/>
  <c r="E1198" i="2"/>
  <c r="F1198" i="2"/>
  <c r="G1198" i="2" s="1"/>
  <c r="C1199" i="2"/>
  <c r="D1199" i="2"/>
  <c r="E1199" i="2"/>
  <c r="F1199" i="2"/>
  <c r="G1199" i="2"/>
  <c r="C1200" i="2"/>
  <c r="D1200" i="2"/>
  <c r="E1200" i="2"/>
  <c r="F1200" i="2"/>
  <c r="G1200" i="2"/>
  <c r="C1201" i="2"/>
  <c r="D1201" i="2"/>
  <c r="E1201" i="2"/>
  <c r="F1201" i="2"/>
  <c r="G1201" i="2" s="1"/>
  <c r="C1202" i="2"/>
  <c r="D1202" i="2"/>
  <c r="E1202" i="2"/>
  <c r="F1202" i="2"/>
  <c r="G1202" i="2" s="1"/>
  <c r="C1203" i="2"/>
  <c r="D1203" i="2"/>
  <c r="E1203" i="2"/>
  <c r="F1203" i="2"/>
  <c r="G1203" i="2" s="1"/>
  <c r="C1204" i="2"/>
  <c r="D1204" i="2"/>
  <c r="E1204" i="2"/>
  <c r="F1204" i="2"/>
  <c r="G1204" i="2" s="1"/>
  <c r="C1205" i="2"/>
  <c r="D1205" i="2"/>
  <c r="E1205" i="2"/>
  <c r="F1205" i="2"/>
  <c r="G1205" i="2"/>
  <c r="C1206" i="2"/>
  <c r="D1206" i="2"/>
  <c r="E1206" i="2"/>
  <c r="F1206" i="2"/>
  <c r="G1206" i="2" s="1"/>
  <c r="C1207" i="2"/>
  <c r="D1207" i="2"/>
  <c r="E1207" i="2"/>
  <c r="F1207" i="2"/>
  <c r="G1207" i="2"/>
  <c r="C1208" i="2"/>
  <c r="D1208" i="2"/>
  <c r="E1208" i="2"/>
  <c r="F1208" i="2"/>
  <c r="G1208" i="2"/>
  <c r="C1209" i="2"/>
  <c r="D1209" i="2"/>
  <c r="E1209" i="2"/>
  <c r="F1209" i="2"/>
  <c r="G1209" i="2" s="1"/>
  <c r="C1210" i="2"/>
  <c r="D1210" i="2"/>
  <c r="E1210" i="2"/>
  <c r="F1210" i="2"/>
  <c r="G1210" i="2" s="1"/>
  <c r="C1211" i="2"/>
  <c r="D1211" i="2"/>
  <c r="E1211" i="2"/>
  <c r="F1211" i="2"/>
  <c r="G1211" i="2" s="1"/>
  <c r="C1212" i="2"/>
  <c r="D1212" i="2"/>
  <c r="E1212" i="2"/>
  <c r="F1212" i="2"/>
  <c r="G1212" i="2"/>
  <c r="C1213" i="2"/>
  <c r="D1213" i="2"/>
  <c r="E1213" i="2"/>
  <c r="F1213" i="2"/>
  <c r="G1213" i="2"/>
  <c r="C1214" i="2"/>
  <c r="D1214" i="2"/>
  <c r="E1214" i="2"/>
  <c r="F1214" i="2"/>
  <c r="G1214" i="2" s="1"/>
  <c r="C1215" i="2"/>
  <c r="D1215" i="2"/>
  <c r="E1215" i="2"/>
  <c r="F1215" i="2"/>
  <c r="G1215" i="2"/>
  <c r="C1216" i="2"/>
  <c r="D1216" i="2"/>
  <c r="E1216" i="2"/>
  <c r="F1216" i="2"/>
  <c r="G1216" i="2"/>
  <c r="C1217" i="2"/>
  <c r="D1217" i="2"/>
  <c r="E1217" i="2"/>
  <c r="F1217" i="2"/>
  <c r="G1217" i="2" s="1"/>
  <c r="C1218" i="2"/>
  <c r="D1218" i="2"/>
  <c r="E1218" i="2"/>
  <c r="F1218" i="2"/>
  <c r="G1218" i="2" s="1"/>
  <c r="C1219" i="2"/>
  <c r="D1219" i="2"/>
  <c r="E1219" i="2"/>
  <c r="F1219" i="2"/>
  <c r="G1219" i="2" s="1"/>
  <c r="C1220" i="2"/>
  <c r="D1220" i="2"/>
  <c r="E1220" i="2"/>
  <c r="F1220" i="2"/>
  <c r="G1220" i="2" s="1"/>
  <c r="C1221" i="2"/>
  <c r="D1221" i="2"/>
  <c r="E1221" i="2"/>
  <c r="F1221" i="2"/>
  <c r="G1221" i="2" s="1"/>
  <c r="C1222" i="2"/>
  <c r="D1222" i="2"/>
  <c r="E1222" i="2"/>
  <c r="F1222" i="2"/>
  <c r="G1222" i="2"/>
  <c r="C1223" i="2"/>
  <c r="D1223" i="2"/>
  <c r="E1223" i="2"/>
  <c r="F1223" i="2"/>
  <c r="G1223" i="2"/>
  <c r="C1224" i="2"/>
  <c r="D1224" i="2"/>
  <c r="E1224" i="2"/>
  <c r="F1224" i="2"/>
  <c r="G1224" i="2"/>
  <c r="C1225" i="2"/>
  <c r="D1225" i="2"/>
  <c r="E1225" i="2"/>
  <c r="F1225" i="2"/>
  <c r="G1225" i="2" s="1"/>
  <c r="C1226" i="2"/>
  <c r="D1226" i="2"/>
  <c r="E1226" i="2"/>
  <c r="F1226" i="2"/>
  <c r="G1226" i="2" s="1"/>
  <c r="C1227" i="2"/>
  <c r="D1227" i="2"/>
  <c r="E1227" i="2"/>
  <c r="F1227" i="2"/>
  <c r="G1227" i="2" s="1"/>
  <c r="C1228" i="2"/>
  <c r="D1228" i="2"/>
  <c r="E1228" i="2"/>
  <c r="F1228" i="2"/>
  <c r="G1228" i="2"/>
  <c r="C1229" i="2"/>
  <c r="D1229" i="2"/>
  <c r="E1229" i="2"/>
  <c r="F1229" i="2"/>
  <c r="G1229" i="2" s="1"/>
  <c r="C1230" i="2"/>
  <c r="D1230" i="2"/>
  <c r="E1230" i="2"/>
  <c r="F1230" i="2"/>
  <c r="G1230" i="2" s="1"/>
  <c r="C1231" i="2"/>
  <c r="D1231" i="2"/>
  <c r="E1231" i="2"/>
  <c r="F1231" i="2"/>
  <c r="G1231" i="2"/>
  <c r="C1232" i="2"/>
  <c r="D1232" i="2"/>
  <c r="E1232" i="2"/>
  <c r="F1232" i="2"/>
  <c r="G1232" i="2"/>
  <c r="C1233" i="2"/>
  <c r="D1233" i="2"/>
  <c r="E1233" i="2"/>
  <c r="F1233" i="2"/>
  <c r="G1233" i="2"/>
  <c r="C1234" i="2"/>
  <c r="D1234" i="2"/>
  <c r="E1234" i="2"/>
  <c r="F1234" i="2"/>
  <c r="G1234" i="2" s="1"/>
  <c r="C1235" i="2"/>
  <c r="D1235" i="2"/>
  <c r="E1235" i="2"/>
  <c r="F1235" i="2"/>
  <c r="G1235" i="2" s="1"/>
  <c r="C1236" i="2"/>
  <c r="D1236" i="2"/>
  <c r="E1236" i="2"/>
  <c r="F1236" i="2"/>
  <c r="G1236" i="2" s="1"/>
  <c r="C1237" i="2"/>
  <c r="D1237" i="2"/>
  <c r="E1237" i="2"/>
  <c r="F1237" i="2"/>
  <c r="G1237" i="2" s="1"/>
  <c r="C1238" i="2"/>
  <c r="D1238" i="2"/>
  <c r="E1238" i="2"/>
  <c r="F1238" i="2"/>
  <c r="G1238" i="2"/>
  <c r="C1239" i="2"/>
  <c r="D1239" i="2"/>
  <c r="E1239" i="2"/>
  <c r="F1239" i="2"/>
  <c r="G1239" i="2"/>
  <c r="C1240" i="2"/>
  <c r="D1240" i="2"/>
  <c r="E1240" i="2"/>
  <c r="F1240" i="2"/>
  <c r="G1240" i="2"/>
  <c r="C1241" i="2"/>
  <c r="D1241" i="2"/>
  <c r="E1241" i="2"/>
  <c r="F1241" i="2"/>
  <c r="G1241" i="2" s="1"/>
  <c r="C1242" i="2"/>
  <c r="D1242" i="2"/>
  <c r="E1242" i="2"/>
  <c r="F1242" i="2"/>
  <c r="G1242" i="2"/>
  <c r="C1243" i="2"/>
  <c r="D1243" i="2"/>
  <c r="E1243" i="2"/>
  <c r="F1243" i="2"/>
  <c r="G1243" i="2" s="1"/>
  <c r="C1244" i="2"/>
  <c r="D1244" i="2"/>
  <c r="E1244" i="2"/>
  <c r="F1244" i="2"/>
  <c r="G1244" i="2" s="1"/>
  <c r="C1245" i="2"/>
  <c r="D1245" i="2"/>
  <c r="E1245" i="2"/>
  <c r="F1245" i="2"/>
  <c r="G1245" i="2" s="1"/>
  <c r="C1246" i="2"/>
  <c r="D1246" i="2"/>
  <c r="E1246" i="2"/>
  <c r="F1246" i="2"/>
  <c r="G1246" i="2" s="1"/>
  <c r="C1247" i="2"/>
  <c r="D1247" i="2"/>
  <c r="E1247" i="2"/>
  <c r="F1247" i="2"/>
  <c r="G1247" i="2"/>
  <c r="C1248" i="2"/>
  <c r="D1248" i="2"/>
  <c r="E1248" i="2"/>
  <c r="F1248" i="2"/>
  <c r="G1248" i="2"/>
  <c r="C1249" i="2"/>
  <c r="D1249" i="2"/>
  <c r="E1249" i="2"/>
  <c r="F1249" i="2"/>
  <c r="G1249" i="2" s="1"/>
  <c r="C1250" i="2"/>
  <c r="D1250" i="2"/>
  <c r="E1250" i="2"/>
  <c r="F1250" i="2"/>
  <c r="G1250" i="2" s="1"/>
  <c r="C1251" i="2"/>
  <c r="D1251" i="2"/>
  <c r="E1251" i="2"/>
  <c r="F1251" i="2"/>
  <c r="G1251" i="2" s="1"/>
  <c r="C1252" i="2"/>
  <c r="D1252" i="2"/>
  <c r="E1252" i="2"/>
  <c r="F1252" i="2"/>
  <c r="G1252" i="2"/>
  <c r="C1253" i="2"/>
  <c r="D1253" i="2"/>
  <c r="E1253" i="2"/>
  <c r="F1253" i="2"/>
  <c r="G1253" i="2"/>
  <c r="C1254" i="2"/>
  <c r="D1254" i="2"/>
  <c r="E1254" i="2"/>
  <c r="F1254" i="2"/>
  <c r="G1254" i="2" s="1"/>
  <c r="C1255" i="2"/>
  <c r="D1255" i="2"/>
  <c r="E1255" i="2"/>
  <c r="F1255" i="2"/>
  <c r="G1255" i="2" s="1"/>
  <c r="C1256" i="2"/>
  <c r="D1256" i="2"/>
  <c r="E1256" i="2"/>
  <c r="F1256" i="2"/>
  <c r="G1256" i="2"/>
  <c r="C1257" i="2"/>
  <c r="D1257" i="2"/>
  <c r="E1257" i="2"/>
  <c r="F1257" i="2"/>
  <c r="G1257" i="2" s="1"/>
  <c r="C1258" i="2"/>
  <c r="D1258" i="2"/>
  <c r="E1258" i="2"/>
  <c r="F1258" i="2"/>
  <c r="G1258" i="2" s="1"/>
  <c r="C1259" i="2"/>
  <c r="D1259" i="2"/>
  <c r="E1259" i="2"/>
  <c r="F1259" i="2"/>
  <c r="G1259" i="2" s="1"/>
  <c r="C1260" i="2"/>
  <c r="D1260" i="2"/>
  <c r="E1260" i="2"/>
  <c r="F1260" i="2"/>
  <c r="G1260" i="2" s="1"/>
  <c r="C1261" i="2"/>
  <c r="D1261" i="2"/>
  <c r="E1261" i="2"/>
  <c r="F1261" i="2"/>
  <c r="G1261" i="2"/>
  <c r="C1262" i="2"/>
  <c r="D1262" i="2"/>
  <c r="E1262" i="2"/>
  <c r="F1262" i="2"/>
  <c r="G1262" i="2" s="1"/>
  <c r="C1263" i="2"/>
  <c r="D1263" i="2"/>
  <c r="E1263" i="2"/>
  <c r="F1263" i="2"/>
  <c r="G1263" i="2" s="1"/>
  <c r="C1264" i="2"/>
  <c r="D1264" i="2"/>
  <c r="E1264" i="2"/>
  <c r="F1264" i="2"/>
  <c r="G1264" i="2"/>
  <c r="C1265" i="2"/>
  <c r="D1265" i="2"/>
  <c r="E1265" i="2"/>
  <c r="F1265" i="2"/>
  <c r="G1265" i="2"/>
  <c r="C1266" i="2"/>
  <c r="D1266" i="2"/>
  <c r="E1266" i="2"/>
  <c r="F1266" i="2"/>
  <c r="G1266" i="2"/>
  <c r="C1267" i="2"/>
  <c r="D1267" i="2"/>
  <c r="E1267" i="2"/>
  <c r="F1267" i="2"/>
  <c r="G1267" i="2" s="1"/>
  <c r="C1268" i="2"/>
  <c r="D1268" i="2"/>
  <c r="E1268" i="2"/>
  <c r="F1268" i="2"/>
  <c r="G1268" i="2" s="1"/>
  <c r="C1269" i="2"/>
  <c r="D1269" i="2"/>
  <c r="E1269" i="2"/>
  <c r="F1269" i="2"/>
  <c r="G1269" i="2" s="1"/>
  <c r="C1270" i="2"/>
  <c r="D1270" i="2"/>
  <c r="E1270" i="2"/>
  <c r="F1270" i="2"/>
  <c r="G1270" i="2"/>
  <c r="C1271" i="2"/>
  <c r="D1271" i="2"/>
  <c r="E1271" i="2"/>
  <c r="F1271" i="2"/>
  <c r="G1271" i="2"/>
  <c r="C1272" i="2"/>
  <c r="D1272" i="2"/>
  <c r="E1272" i="2"/>
  <c r="F1272" i="2"/>
  <c r="G1272" i="2"/>
  <c r="C1273" i="2"/>
  <c r="D1273" i="2"/>
  <c r="E1273" i="2"/>
  <c r="F1273" i="2"/>
  <c r="G1273" i="2" s="1"/>
  <c r="C1274" i="2"/>
  <c r="D1274" i="2"/>
  <c r="E1274" i="2"/>
  <c r="F1274" i="2"/>
  <c r="G1274" i="2"/>
  <c r="C1275" i="2"/>
  <c r="D1275" i="2"/>
  <c r="E1275" i="2"/>
  <c r="F1275" i="2"/>
  <c r="G1275" i="2" s="1"/>
  <c r="C1276" i="2"/>
  <c r="D1276" i="2"/>
  <c r="E1276" i="2"/>
  <c r="F1276" i="2"/>
  <c r="G1276" i="2"/>
  <c r="C1277" i="2"/>
  <c r="D1277" i="2"/>
  <c r="E1277" i="2"/>
  <c r="F1277" i="2"/>
  <c r="G1277" i="2" s="1"/>
  <c r="C1278" i="2"/>
  <c r="D1278" i="2"/>
  <c r="E1278" i="2"/>
  <c r="F1278" i="2"/>
  <c r="G1278" i="2" s="1"/>
  <c r="C1279" i="2"/>
  <c r="D1279" i="2"/>
  <c r="E1279" i="2"/>
  <c r="F1279" i="2"/>
  <c r="G1279" i="2"/>
  <c r="C1280" i="2"/>
  <c r="D1280" i="2"/>
  <c r="E1280" i="2"/>
  <c r="F1280" i="2"/>
  <c r="G1280" i="2"/>
  <c r="C1281" i="2"/>
  <c r="D1281" i="2"/>
  <c r="E1281" i="2"/>
  <c r="F1281" i="2"/>
  <c r="G1281" i="2" s="1"/>
  <c r="C1282" i="2"/>
  <c r="D1282" i="2"/>
  <c r="E1282" i="2"/>
  <c r="F1282" i="2"/>
  <c r="G1282" i="2" s="1"/>
  <c r="C1283" i="2"/>
  <c r="D1283" i="2"/>
  <c r="E1283" i="2"/>
  <c r="F1283" i="2"/>
  <c r="G1283" i="2" s="1"/>
  <c r="C1284" i="2"/>
  <c r="D1284" i="2"/>
  <c r="E1284" i="2"/>
  <c r="F1284" i="2"/>
  <c r="G1284" i="2"/>
  <c r="C1285" i="2"/>
  <c r="D1285" i="2"/>
  <c r="E1285" i="2"/>
  <c r="F1285" i="2"/>
  <c r="G1285" i="2" s="1"/>
  <c r="C1286" i="2"/>
  <c r="D1286" i="2"/>
  <c r="E1286" i="2"/>
  <c r="F1286" i="2"/>
  <c r="G1286" i="2" s="1"/>
  <c r="C1287" i="2"/>
  <c r="D1287" i="2"/>
  <c r="E1287" i="2"/>
  <c r="F1287" i="2"/>
  <c r="G1287" i="2" s="1"/>
  <c r="C1288" i="2"/>
  <c r="D1288" i="2"/>
  <c r="E1288" i="2"/>
  <c r="F1288" i="2"/>
  <c r="G1288" i="2"/>
  <c r="C1289" i="2"/>
  <c r="D1289" i="2"/>
  <c r="E1289" i="2"/>
  <c r="F1289" i="2"/>
  <c r="G1289" i="2"/>
  <c r="C1290" i="2"/>
  <c r="D1290" i="2"/>
  <c r="E1290" i="2"/>
  <c r="F1290" i="2"/>
  <c r="G1290" i="2" s="1"/>
  <c r="C1291" i="2"/>
  <c r="D1291" i="2"/>
  <c r="E1291" i="2"/>
  <c r="F1291" i="2"/>
  <c r="G1291" i="2" s="1"/>
  <c r="C1292" i="2"/>
  <c r="D1292" i="2"/>
  <c r="E1292" i="2"/>
  <c r="F1292" i="2"/>
  <c r="G1292" i="2" s="1"/>
  <c r="C1293" i="2"/>
  <c r="D1293" i="2"/>
  <c r="E1293" i="2"/>
  <c r="F1293" i="2"/>
  <c r="G1293" i="2"/>
  <c r="C1294" i="2"/>
  <c r="D1294" i="2"/>
  <c r="E1294" i="2"/>
  <c r="F1294" i="2"/>
  <c r="G1294" i="2"/>
  <c r="C1295" i="2"/>
  <c r="D1295" i="2"/>
  <c r="E1295" i="2"/>
  <c r="F1295" i="2"/>
  <c r="G1295" i="2" s="1"/>
  <c r="C1296" i="2"/>
  <c r="D1296" i="2"/>
  <c r="E1296" i="2"/>
  <c r="F1296" i="2"/>
  <c r="G1296" i="2"/>
  <c r="C1297" i="2"/>
  <c r="D1297" i="2"/>
  <c r="E1297" i="2"/>
  <c r="F1297" i="2"/>
  <c r="G1297" i="2"/>
  <c r="C1298" i="2"/>
  <c r="D1298" i="2"/>
  <c r="E1298" i="2"/>
  <c r="F1298" i="2"/>
  <c r="G1298" i="2" s="1"/>
  <c r="C1299" i="2"/>
  <c r="D1299" i="2"/>
  <c r="E1299" i="2"/>
  <c r="F1299" i="2"/>
  <c r="G1299" i="2" s="1"/>
  <c r="C1300" i="2"/>
  <c r="D1300" i="2"/>
  <c r="E1300" i="2"/>
  <c r="F1300" i="2"/>
  <c r="G1300" i="2" s="1"/>
  <c r="C1301" i="2"/>
  <c r="D1301" i="2"/>
  <c r="E1301" i="2"/>
  <c r="F1301" i="2"/>
  <c r="G1301" i="2" s="1"/>
  <c r="C1302" i="2"/>
  <c r="D1302" i="2"/>
  <c r="E1302" i="2"/>
  <c r="F1302" i="2"/>
  <c r="G1302" i="2"/>
  <c r="C1303" i="2"/>
  <c r="D1303" i="2"/>
  <c r="E1303" i="2"/>
  <c r="F1303" i="2"/>
  <c r="G1303" i="2" s="1"/>
  <c r="C1304" i="2"/>
  <c r="D1304" i="2"/>
  <c r="E1304" i="2"/>
  <c r="F1304" i="2"/>
  <c r="G1304" i="2"/>
  <c r="C1305" i="2"/>
  <c r="D1305" i="2"/>
  <c r="E1305" i="2"/>
  <c r="F1305" i="2"/>
  <c r="G1305" i="2" s="1"/>
  <c r="C1306" i="2"/>
  <c r="D1306" i="2"/>
  <c r="E1306" i="2"/>
  <c r="F1306" i="2"/>
  <c r="G1306" i="2"/>
  <c r="C1307" i="2"/>
  <c r="D1307" i="2"/>
  <c r="E1307" i="2"/>
  <c r="F1307" i="2"/>
  <c r="G1307" i="2" s="1"/>
  <c r="C1308" i="2"/>
  <c r="D1308" i="2"/>
  <c r="E1308" i="2"/>
  <c r="F1308" i="2"/>
  <c r="G1308" i="2" s="1"/>
  <c r="C1309" i="2"/>
  <c r="D1309" i="2"/>
  <c r="E1309" i="2"/>
  <c r="F1309" i="2"/>
  <c r="G1309" i="2"/>
  <c r="C1310" i="2"/>
  <c r="D1310" i="2"/>
  <c r="E1310" i="2"/>
  <c r="F1310" i="2"/>
  <c r="G1310" i="2" s="1"/>
  <c r="C1311" i="2"/>
  <c r="D1311" i="2"/>
  <c r="E1311" i="2"/>
  <c r="F1311" i="2"/>
  <c r="G1311" i="2"/>
  <c r="C1312" i="2"/>
  <c r="D1312" i="2"/>
  <c r="E1312" i="2"/>
  <c r="F1312" i="2"/>
  <c r="G1312" i="2"/>
  <c r="C1313" i="2"/>
  <c r="D1313" i="2"/>
  <c r="E1313" i="2"/>
  <c r="F1313" i="2"/>
  <c r="G1313" i="2" s="1"/>
  <c r="C1314" i="2"/>
  <c r="D1314" i="2"/>
  <c r="E1314" i="2"/>
  <c r="F1314" i="2"/>
  <c r="G1314" i="2" s="1"/>
  <c r="C1315" i="2"/>
  <c r="D1315" i="2"/>
  <c r="E1315" i="2"/>
  <c r="F1315" i="2"/>
  <c r="G1315" i="2" s="1"/>
  <c r="C1316" i="2"/>
  <c r="D1316" i="2"/>
  <c r="E1316" i="2"/>
  <c r="F1316" i="2"/>
  <c r="G1316" i="2"/>
  <c r="C1317" i="2"/>
  <c r="D1317" i="2"/>
  <c r="E1317" i="2"/>
  <c r="F1317" i="2"/>
  <c r="G1317" i="2"/>
  <c r="C1318" i="2"/>
  <c r="D1318" i="2"/>
  <c r="E1318" i="2"/>
  <c r="F1318" i="2"/>
  <c r="G1318" i="2" s="1"/>
  <c r="C1319" i="2"/>
  <c r="D1319" i="2"/>
  <c r="E1319" i="2"/>
  <c r="F1319" i="2"/>
  <c r="G1319" i="2" s="1"/>
  <c r="C1320" i="2"/>
  <c r="D1320" i="2"/>
  <c r="E1320" i="2"/>
  <c r="F1320" i="2"/>
  <c r="G1320" i="2"/>
  <c r="C1321" i="2"/>
  <c r="D1321" i="2"/>
  <c r="E1321" i="2"/>
  <c r="F1321" i="2"/>
  <c r="G1321" i="2" s="1"/>
  <c r="C1322" i="2"/>
  <c r="D1322" i="2"/>
  <c r="E1322" i="2"/>
  <c r="F1322" i="2"/>
  <c r="G1322" i="2"/>
  <c r="C1323" i="2"/>
  <c r="D1323" i="2"/>
  <c r="E1323" i="2"/>
  <c r="F1323" i="2"/>
  <c r="G1323" i="2" s="1"/>
  <c r="C1324" i="2"/>
  <c r="D1324" i="2"/>
  <c r="E1324" i="2"/>
  <c r="F1324" i="2"/>
  <c r="G1324" i="2" s="1"/>
  <c r="C1325" i="2"/>
  <c r="D1325" i="2"/>
  <c r="E1325" i="2"/>
  <c r="F1325" i="2"/>
  <c r="G1325" i="2"/>
  <c r="C1326" i="2"/>
  <c r="D1326" i="2"/>
  <c r="E1326" i="2"/>
  <c r="F1326" i="2"/>
  <c r="G1326" i="2" s="1"/>
  <c r="C1327" i="2"/>
  <c r="D1327" i="2"/>
  <c r="E1327" i="2"/>
  <c r="F1327" i="2"/>
  <c r="G1327" i="2"/>
  <c r="C1328" i="2"/>
  <c r="D1328" i="2"/>
  <c r="E1328" i="2"/>
  <c r="F1328" i="2"/>
  <c r="G1328" i="2"/>
  <c r="C1329" i="2"/>
  <c r="D1329" i="2"/>
  <c r="E1329" i="2"/>
  <c r="F1329" i="2"/>
  <c r="G1329" i="2"/>
  <c r="C1330" i="2"/>
  <c r="D1330" i="2"/>
  <c r="E1330" i="2"/>
  <c r="F1330" i="2"/>
  <c r="G1330" i="2"/>
  <c r="C1331" i="2"/>
  <c r="D1331" i="2"/>
  <c r="E1331" i="2"/>
  <c r="F1331" i="2"/>
  <c r="G1331" i="2" s="1"/>
  <c r="C1332" i="2"/>
  <c r="D1332" i="2"/>
  <c r="E1332" i="2"/>
  <c r="F1332" i="2"/>
  <c r="G1332" i="2"/>
  <c r="C1333" i="2"/>
  <c r="D1333" i="2"/>
  <c r="E1333" i="2"/>
  <c r="F1333" i="2"/>
  <c r="G1333" i="2" s="1"/>
  <c r="C1334" i="2"/>
  <c r="D1334" i="2"/>
  <c r="E1334" i="2"/>
  <c r="F1334" i="2"/>
  <c r="G1334" i="2"/>
  <c r="C1335" i="2"/>
  <c r="D1335" i="2"/>
  <c r="E1335" i="2"/>
  <c r="F1335" i="2"/>
  <c r="G1335" i="2"/>
  <c r="C1336" i="2"/>
  <c r="D1336" i="2"/>
  <c r="E1336" i="2"/>
  <c r="F1336" i="2"/>
  <c r="G1336" i="2"/>
  <c r="C1337" i="2"/>
  <c r="D1337" i="2"/>
  <c r="E1337" i="2"/>
  <c r="F1337" i="2"/>
  <c r="G1337" i="2" s="1"/>
  <c r="C1338" i="2"/>
  <c r="D1338" i="2"/>
  <c r="E1338" i="2"/>
  <c r="F1338" i="2"/>
  <c r="G1338" i="2"/>
  <c r="C1339" i="2"/>
  <c r="D1339" i="2"/>
  <c r="E1339" i="2"/>
  <c r="F1339" i="2"/>
  <c r="G1339" i="2" s="1"/>
  <c r="C1340" i="2"/>
  <c r="D1340" i="2"/>
  <c r="E1340" i="2"/>
  <c r="F1340" i="2"/>
  <c r="G1340" i="2"/>
  <c r="C1341" i="2"/>
  <c r="D1341" i="2"/>
  <c r="E1341" i="2"/>
  <c r="F1341" i="2"/>
  <c r="G1341" i="2" s="1"/>
  <c r="C1342" i="2"/>
  <c r="D1342" i="2"/>
  <c r="E1342" i="2"/>
  <c r="F1342" i="2"/>
  <c r="G1342" i="2" s="1"/>
  <c r="C1343" i="2"/>
  <c r="D1343" i="2"/>
  <c r="E1343" i="2"/>
  <c r="F1343" i="2"/>
  <c r="G1343" i="2"/>
  <c r="C1344" i="2"/>
  <c r="D1344" i="2"/>
  <c r="E1344" i="2"/>
  <c r="F1344" i="2"/>
  <c r="G1344" i="2"/>
  <c r="C1345" i="2"/>
  <c r="D1345" i="2"/>
  <c r="E1345" i="2"/>
  <c r="F1345" i="2"/>
  <c r="G1345" i="2"/>
  <c r="C1346" i="2"/>
  <c r="D1346" i="2"/>
  <c r="E1346" i="2"/>
  <c r="F1346" i="2"/>
  <c r="G1346" i="2" s="1"/>
  <c r="C1347" i="2"/>
  <c r="D1347" i="2"/>
  <c r="E1347" i="2"/>
  <c r="F1347" i="2"/>
  <c r="G1347" i="2" s="1"/>
  <c r="C1348" i="2"/>
  <c r="D1348" i="2"/>
  <c r="E1348" i="2"/>
  <c r="F1348" i="2"/>
  <c r="G1348" i="2"/>
  <c r="C1349" i="2"/>
  <c r="D1349" i="2"/>
  <c r="E1349" i="2"/>
  <c r="F1349" i="2"/>
  <c r="G1349" i="2" s="1"/>
  <c r="C1350" i="2"/>
  <c r="D1350" i="2"/>
  <c r="E1350" i="2"/>
  <c r="F1350" i="2"/>
  <c r="G1350" i="2"/>
  <c r="C1351" i="2"/>
  <c r="D1351" i="2"/>
  <c r="E1351" i="2"/>
  <c r="F1351" i="2"/>
  <c r="G1351" i="2" s="1"/>
  <c r="C1352" i="2"/>
  <c r="D1352" i="2"/>
  <c r="E1352" i="2"/>
  <c r="F1352" i="2"/>
  <c r="G1352" i="2"/>
  <c r="C1353" i="2"/>
  <c r="D1353" i="2"/>
  <c r="E1353" i="2"/>
  <c r="F1353" i="2"/>
  <c r="G1353" i="2"/>
  <c r="C1354" i="2"/>
  <c r="D1354" i="2"/>
  <c r="E1354" i="2"/>
  <c r="F1354" i="2"/>
  <c r="G1354" i="2" s="1"/>
  <c r="C1355" i="2"/>
  <c r="D1355" i="2"/>
  <c r="E1355" i="2"/>
  <c r="F1355" i="2"/>
  <c r="G1355" i="2" s="1"/>
  <c r="C1356" i="2"/>
  <c r="D1356" i="2"/>
  <c r="E1356" i="2"/>
  <c r="F1356" i="2"/>
  <c r="G1356" i="2" s="1"/>
  <c r="C1357" i="2"/>
  <c r="D1357" i="2"/>
  <c r="E1357" i="2"/>
  <c r="F1357" i="2"/>
  <c r="G1357" i="2"/>
  <c r="C1358" i="2"/>
  <c r="D1358" i="2"/>
  <c r="E1358" i="2"/>
  <c r="F1358" i="2"/>
  <c r="G1358" i="2"/>
  <c r="C1359" i="2"/>
  <c r="D1359" i="2"/>
  <c r="E1359" i="2"/>
  <c r="F1359" i="2"/>
  <c r="G1359" i="2" s="1"/>
  <c r="C1360" i="2"/>
  <c r="D1360" i="2"/>
  <c r="E1360" i="2"/>
  <c r="F1360" i="2"/>
  <c r="G1360" i="2"/>
  <c r="C1361" i="2"/>
  <c r="D1361" i="2"/>
  <c r="E1361" i="2"/>
  <c r="F1361" i="2"/>
  <c r="G1361" i="2"/>
  <c r="C1362" i="2"/>
  <c r="D1362" i="2"/>
  <c r="E1362" i="2"/>
  <c r="F1362" i="2"/>
  <c r="G1362" i="2" s="1"/>
  <c r="C1363" i="2"/>
  <c r="D1363" i="2"/>
  <c r="E1363" i="2"/>
  <c r="F1363" i="2"/>
  <c r="G1363" i="2" s="1"/>
  <c r="C1364" i="2"/>
  <c r="D1364" i="2"/>
  <c r="E1364" i="2"/>
  <c r="F1364" i="2"/>
  <c r="G1364" i="2" s="1"/>
  <c r="C1365" i="2"/>
  <c r="D1365" i="2"/>
  <c r="E1365" i="2"/>
  <c r="F1365" i="2"/>
  <c r="G1365" i="2" s="1"/>
  <c r="C1366" i="2"/>
  <c r="D1366" i="2"/>
  <c r="E1366" i="2"/>
  <c r="F1366" i="2"/>
  <c r="G1366" i="2"/>
  <c r="C1367" i="2"/>
  <c r="D1367" i="2"/>
  <c r="E1367" i="2"/>
  <c r="F1367" i="2"/>
  <c r="G1367" i="2" s="1"/>
  <c r="C1368" i="2"/>
  <c r="D1368" i="2"/>
  <c r="E1368" i="2"/>
  <c r="F1368" i="2"/>
  <c r="G1368" i="2"/>
  <c r="C1369" i="2"/>
  <c r="D1369" i="2"/>
  <c r="E1369" i="2"/>
  <c r="F1369" i="2"/>
  <c r="G1369" i="2" s="1"/>
  <c r="C1370" i="2"/>
  <c r="D1370" i="2"/>
  <c r="E1370" i="2"/>
  <c r="F1370" i="2"/>
  <c r="G1370" i="2"/>
  <c r="C1371" i="2"/>
  <c r="D1371" i="2"/>
  <c r="E1371" i="2"/>
  <c r="F1371" i="2"/>
  <c r="G1371" i="2"/>
  <c r="C1372" i="2"/>
  <c r="D1372" i="2"/>
  <c r="E1372" i="2"/>
  <c r="F1372" i="2"/>
  <c r="G1372" i="2" s="1"/>
  <c r="C1373" i="2"/>
  <c r="D1373" i="2"/>
  <c r="E1373" i="2"/>
  <c r="F1373" i="2"/>
  <c r="G1373" i="2" s="1"/>
  <c r="C1374" i="2"/>
  <c r="D1374" i="2"/>
  <c r="E1374" i="2"/>
  <c r="F1374" i="2"/>
  <c r="G1374" i="2"/>
  <c r="C1375" i="2"/>
  <c r="D1375" i="2"/>
  <c r="E1375" i="2"/>
  <c r="F1375" i="2"/>
  <c r="G1375" i="2" s="1"/>
  <c r="C1376" i="2"/>
  <c r="D1376" i="2"/>
  <c r="E1376" i="2"/>
  <c r="F1376" i="2"/>
  <c r="G1376" i="2"/>
  <c r="C1377" i="2"/>
  <c r="D1377" i="2"/>
  <c r="E1377" i="2"/>
  <c r="F1377" i="2"/>
  <c r="G1377" i="2" s="1"/>
  <c r="C1378" i="2"/>
  <c r="D1378" i="2"/>
  <c r="E1378" i="2"/>
  <c r="F1378" i="2"/>
  <c r="G1378" i="2"/>
  <c r="C1379" i="2"/>
  <c r="D1379" i="2"/>
  <c r="E1379" i="2"/>
  <c r="F1379" i="2"/>
  <c r="G1379" i="2"/>
  <c r="C1380" i="2"/>
  <c r="D1380" i="2"/>
  <c r="E1380" i="2"/>
  <c r="F1380" i="2"/>
  <c r="G1380" i="2" s="1"/>
  <c r="C1381" i="2"/>
  <c r="D1381" i="2"/>
  <c r="E1381" i="2"/>
  <c r="F1381" i="2"/>
  <c r="G1381" i="2" s="1"/>
  <c r="C1382" i="2"/>
  <c r="D1382" i="2"/>
  <c r="E1382" i="2"/>
  <c r="F1382" i="2"/>
  <c r="G1382" i="2"/>
  <c r="C1383" i="2"/>
  <c r="D1383" i="2"/>
  <c r="E1383" i="2"/>
  <c r="F1383" i="2"/>
  <c r="G1383" i="2" s="1"/>
  <c r="C1384" i="2"/>
  <c r="D1384" i="2"/>
  <c r="E1384" i="2"/>
  <c r="F1384" i="2"/>
  <c r="G1384" i="2"/>
  <c r="C1385" i="2"/>
  <c r="D1385" i="2"/>
  <c r="E1385" i="2"/>
  <c r="F1385" i="2"/>
  <c r="G1385" i="2" s="1"/>
  <c r="C1386" i="2"/>
  <c r="D1386" i="2"/>
  <c r="E1386" i="2"/>
  <c r="F1386" i="2"/>
  <c r="G1386" i="2"/>
  <c r="C1387" i="2"/>
  <c r="D1387" i="2"/>
  <c r="E1387" i="2"/>
  <c r="F1387" i="2"/>
  <c r="G1387" i="2"/>
  <c r="C1388" i="2"/>
  <c r="D1388" i="2"/>
  <c r="E1388" i="2"/>
  <c r="F1388" i="2"/>
  <c r="G1388" i="2" s="1"/>
  <c r="C1389" i="2"/>
  <c r="D1389" i="2"/>
  <c r="E1389" i="2"/>
  <c r="F1389" i="2"/>
  <c r="G1389" i="2" s="1"/>
  <c r="C1390" i="2"/>
  <c r="D1390" i="2"/>
  <c r="E1390" i="2"/>
  <c r="F1390" i="2"/>
  <c r="G1390" i="2"/>
  <c r="C1391" i="2"/>
  <c r="D1391" i="2"/>
  <c r="E1391" i="2"/>
  <c r="F1391" i="2"/>
  <c r="G1391" i="2" s="1"/>
  <c r="C1392" i="2"/>
  <c r="D1392" i="2"/>
  <c r="E1392" i="2"/>
  <c r="F1392" i="2"/>
  <c r="G1392" i="2"/>
  <c r="C1393" i="2"/>
  <c r="D1393" i="2"/>
  <c r="E1393" i="2"/>
  <c r="F1393" i="2"/>
  <c r="G1393" i="2" s="1"/>
  <c r="C1394" i="2"/>
  <c r="D1394" i="2"/>
  <c r="E1394" i="2"/>
  <c r="F1394" i="2"/>
  <c r="G1394" i="2"/>
  <c r="C1395" i="2"/>
  <c r="D1395" i="2"/>
  <c r="E1395" i="2"/>
  <c r="F1395" i="2"/>
  <c r="G1395" i="2"/>
  <c r="C1396" i="2"/>
  <c r="D1396" i="2"/>
  <c r="E1396" i="2"/>
  <c r="F1396" i="2"/>
  <c r="G1396" i="2" s="1"/>
  <c r="C1397" i="2"/>
  <c r="D1397" i="2"/>
  <c r="E1397" i="2"/>
  <c r="F1397" i="2"/>
  <c r="G1397" i="2" s="1"/>
  <c r="C1398" i="2"/>
  <c r="D1398" i="2"/>
  <c r="E1398" i="2"/>
  <c r="F1398" i="2"/>
  <c r="G1398" i="2"/>
  <c r="C1399" i="2"/>
  <c r="D1399" i="2"/>
  <c r="E1399" i="2"/>
  <c r="F1399" i="2"/>
  <c r="G1399" i="2" s="1"/>
  <c r="C1400" i="2"/>
  <c r="D1400" i="2"/>
  <c r="E1400" i="2"/>
  <c r="F1400" i="2"/>
  <c r="G1400" i="2"/>
  <c r="C1401" i="2"/>
  <c r="D1401" i="2"/>
  <c r="E1401" i="2"/>
  <c r="F1401" i="2"/>
  <c r="G1401" i="2" s="1"/>
  <c r="C1402" i="2"/>
  <c r="D1402" i="2"/>
  <c r="E1402" i="2"/>
  <c r="F1402" i="2"/>
  <c r="G1402" i="2"/>
  <c r="C1403" i="2"/>
  <c r="D1403" i="2"/>
  <c r="E1403" i="2"/>
  <c r="F1403" i="2"/>
  <c r="G1403" i="2"/>
  <c r="C1404" i="2"/>
  <c r="D1404" i="2"/>
  <c r="E1404" i="2"/>
  <c r="F1404" i="2"/>
  <c r="G1404" i="2" s="1"/>
  <c r="C1405" i="2"/>
  <c r="D1405" i="2"/>
  <c r="E1405" i="2"/>
  <c r="F1405" i="2"/>
  <c r="G1405" i="2" s="1"/>
  <c r="C1406" i="2"/>
  <c r="D1406" i="2"/>
  <c r="E1406" i="2"/>
  <c r="F1406" i="2"/>
  <c r="G1406" i="2"/>
  <c r="C1407" i="2"/>
  <c r="D1407" i="2"/>
  <c r="E1407" i="2"/>
  <c r="F1407" i="2"/>
  <c r="G1407" i="2" s="1"/>
  <c r="C1408" i="2"/>
  <c r="D1408" i="2"/>
  <c r="E1408" i="2"/>
  <c r="F1408" i="2"/>
  <c r="G1408" i="2"/>
  <c r="C1409" i="2"/>
  <c r="D1409" i="2"/>
  <c r="E1409" i="2"/>
  <c r="F1409" i="2"/>
  <c r="G1409" i="2" s="1"/>
  <c r="C1410" i="2"/>
  <c r="D1410" i="2"/>
  <c r="E1410" i="2"/>
  <c r="F1410" i="2"/>
  <c r="G1410" i="2"/>
  <c r="C1411" i="2"/>
  <c r="D1411" i="2"/>
  <c r="E1411" i="2"/>
  <c r="F1411" i="2"/>
  <c r="G1411" i="2"/>
  <c r="C1412" i="2"/>
  <c r="D1412" i="2"/>
  <c r="E1412" i="2"/>
  <c r="F1412" i="2"/>
  <c r="G1412" i="2" s="1"/>
  <c r="C1413" i="2"/>
  <c r="D1413" i="2"/>
  <c r="E1413" i="2"/>
  <c r="F1413" i="2"/>
  <c r="G1413" i="2" s="1"/>
  <c r="C1414" i="2"/>
  <c r="D1414" i="2"/>
  <c r="E1414" i="2"/>
  <c r="F1414" i="2"/>
  <c r="G1414" i="2"/>
  <c r="C1415" i="2"/>
  <c r="D1415" i="2"/>
  <c r="E1415" i="2"/>
  <c r="F1415" i="2"/>
  <c r="G1415" i="2" s="1"/>
  <c r="C1416" i="2"/>
  <c r="D1416" i="2"/>
  <c r="E1416" i="2"/>
  <c r="F1416" i="2"/>
  <c r="G1416" i="2"/>
  <c r="C1417" i="2"/>
  <c r="D1417" i="2"/>
  <c r="E1417" i="2"/>
  <c r="F1417" i="2"/>
  <c r="G1417" i="2" s="1"/>
  <c r="C1418" i="2"/>
  <c r="D1418" i="2"/>
  <c r="E1418" i="2"/>
  <c r="F1418" i="2"/>
  <c r="G1418" i="2"/>
  <c r="C1419" i="2"/>
  <c r="D1419" i="2"/>
  <c r="E1419" i="2"/>
  <c r="F1419" i="2"/>
  <c r="G1419" i="2"/>
  <c r="C1420" i="2"/>
  <c r="D1420" i="2"/>
  <c r="E1420" i="2"/>
  <c r="F1420" i="2"/>
  <c r="G1420" i="2" s="1"/>
  <c r="C1421" i="2"/>
  <c r="D1421" i="2"/>
  <c r="E1421" i="2"/>
  <c r="F1421" i="2"/>
  <c r="G1421" i="2" s="1"/>
  <c r="C1422" i="2"/>
  <c r="D1422" i="2"/>
  <c r="E1422" i="2"/>
  <c r="F1422" i="2"/>
  <c r="G1422" i="2"/>
  <c r="C1423" i="2"/>
  <c r="D1423" i="2"/>
  <c r="E1423" i="2"/>
  <c r="F1423" i="2"/>
  <c r="G1423" i="2" s="1"/>
  <c r="C1424" i="2"/>
  <c r="D1424" i="2"/>
  <c r="E1424" i="2"/>
  <c r="F1424" i="2"/>
  <c r="G1424" i="2"/>
  <c r="C1425" i="2"/>
  <c r="D1425" i="2"/>
  <c r="E1425" i="2"/>
  <c r="F1425" i="2"/>
  <c r="G1425" i="2" s="1"/>
  <c r="C1426" i="2"/>
  <c r="D1426" i="2"/>
  <c r="E1426" i="2"/>
  <c r="F1426" i="2"/>
  <c r="G1426" i="2"/>
  <c r="C1427" i="2"/>
  <c r="D1427" i="2"/>
  <c r="E1427" i="2"/>
  <c r="F1427" i="2"/>
  <c r="G1427" i="2"/>
  <c r="C1428" i="2"/>
  <c r="D1428" i="2"/>
  <c r="E1428" i="2"/>
  <c r="F1428" i="2"/>
  <c r="G1428" i="2" s="1"/>
  <c r="C1429" i="2"/>
  <c r="D1429" i="2"/>
  <c r="E1429" i="2"/>
  <c r="F1429" i="2"/>
  <c r="G1429" i="2" s="1"/>
  <c r="C1430" i="2"/>
  <c r="D1430" i="2"/>
  <c r="E1430" i="2"/>
  <c r="F1430" i="2"/>
  <c r="G1430" i="2"/>
  <c r="C1431" i="2"/>
  <c r="D1431" i="2"/>
  <c r="E1431" i="2"/>
  <c r="F1431" i="2"/>
  <c r="G1431" i="2" s="1"/>
  <c r="C1432" i="2"/>
  <c r="D1432" i="2"/>
  <c r="E1432" i="2"/>
  <c r="F1432" i="2"/>
  <c r="G1432" i="2"/>
  <c r="C1433" i="2"/>
  <c r="D1433" i="2"/>
  <c r="E1433" i="2"/>
  <c r="F1433" i="2"/>
  <c r="G1433" i="2" s="1"/>
  <c r="C1434" i="2"/>
  <c r="D1434" i="2"/>
  <c r="E1434" i="2"/>
  <c r="F1434" i="2"/>
  <c r="G1434" i="2"/>
  <c r="C1435" i="2"/>
  <c r="D1435" i="2"/>
  <c r="E1435" i="2"/>
  <c r="F1435" i="2"/>
  <c r="G1435" i="2"/>
  <c r="C1436" i="2"/>
  <c r="D1436" i="2"/>
  <c r="E1436" i="2"/>
  <c r="F1436" i="2"/>
  <c r="G1436" i="2" s="1"/>
  <c r="C1437" i="2"/>
  <c r="D1437" i="2"/>
  <c r="E1437" i="2"/>
  <c r="F1437" i="2"/>
  <c r="G1437" i="2" s="1"/>
  <c r="C1438" i="2"/>
  <c r="D1438" i="2"/>
  <c r="E1438" i="2"/>
  <c r="F1438" i="2"/>
  <c r="G1438" i="2"/>
  <c r="C1439" i="2"/>
  <c r="D1439" i="2"/>
  <c r="E1439" i="2"/>
  <c r="F1439" i="2"/>
  <c r="G1439" i="2" s="1"/>
  <c r="C1440" i="2"/>
  <c r="D1440" i="2"/>
  <c r="E1440" i="2"/>
  <c r="F1440" i="2"/>
  <c r="G1440" i="2"/>
  <c r="C1441" i="2"/>
  <c r="D1441" i="2"/>
  <c r="E1441" i="2"/>
  <c r="F1441" i="2"/>
  <c r="G1441" i="2" s="1"/>
  <c r="G2" i="2"/>
  <c r="F2" i="2"/>
  <c r="E2" i="2"/>
  <c r="D2" i="2"/>
  <c r="C2" i="2"/>
  <c r="A4" i="2"/>
  <c r="A5" i="2" s="1"/>
  <c r="A6" i="2" s="1"/>
  <c r="A7" i="2" s="1"/>
  <c r="A8" i="2" s="1"/>
  <c r="A9" i="2" s="1"/>
  <c r="A10" i="2" s="1"/>
  <c r="A11" i="2" s="1"/>
  <c r="A12" i="2" s="1"/>
  <c r="A13" i="2" s="1"/>
  <c r="A14" i="2" s="1"/>
  <c r="A15" i="2" s="1"/>
  <c r="A16" i="2" s="1"/>
  <c r="A17" i="2" s="1"/>
  <c r="A18" i="2" s="1"/>
  <c r="A19" i="2" s="1"/>
  <c r="A20" i="2" s="1"/>
  <c r="A21" i="2" s="1"/>
  <c r="A22" i="2"/>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3" i="2"/>
  <c r="A2" i="2"/>
  <c r="F1228" i="4" l="1"/>
  <c r="E1228" i="4"/>
  <c r="G1228" i="4"/>
  <c r="D1178" i="4"/>
  <c r="E1178" i="4"/>
  <c r="G1178" i="4"/>
  <c r="E1054" i="4"/>
  <c r="G1054" i="4"/>
  <c r="D1054" i="4"/>
  <c r="F1054" i="4"/>
  <c r="D936" i="4"/>
  <c r="E936" i="4"/>
  <c r="F936" i="4"/>
  <c r="G936" i="4"/>
  <c r="D1441" i="4"/>
  <c r="G1434" i="4"/>
  <c r="D1433" i="4"/>
  <c r="G1426" i="4"/>
  <c r="D1425" i="4"/>
  <c r="G1418" i="4"/>
  <c r="D1417" i="4"/>
  <c r="G1410" i="4"/>
  <c r="D1409" i="4"/>
  <c r="G1402" i="4"/>
  <c r="D1401" i="4"/>
  <c r="G1394" i="4"/>
  <c r="D1393" i="4"/>
  <c r="G1386" i="4"/>
  <c r="D1385" i="4"/>
  <c r="G1378" i="4"/>
  <c r="D1377" i="4"/>
  <c r="G1370" i="4"/>
  <c r="D1369" i="4"/>
  <c r="G1362" i="4"/>
  <c r="D1361" i="4"/>
  <c r="G1354" i="4"/>
  <c r="D1353" i="4"/>
  <c r="G1346" i="4"/>
  <c r="D1345" i="4"/>
  <c r="G1338" i="4"/>
  <c r="D1337" i="4"/>
  <c r="E1335" i="4"/>
  <c r="D1333" i="4"/>
  <c r="E1331" i="4"/>
  <c r="D1329" i="4"/>
  <c r="E1327" i="4"/>
  <c r="D1325" i="4"/>
  <c r="E1323" i="4"/>
  <c r="D1321" i="4"/>
  <c r="E1319" i="4"/>
  <c r="D1317" i="4"/>
  <c r="E1315" i="4"/>
  <c r="D1313" i="4"/>
  <c r="E1311" i="4"/>
  <c r="D1309" i="4"/>
  <c r="E1307" i="4"/>
  <c r="D1305" i="4"/>
  <c r="F1303" i="4"/>
  <c r="E1301" i="4"/>
  <c r="F1299" i="4"/>
  <c r="E1297" i="4"/>
  <c r="G1295" i="4"/>
  <c r="G1293" i="4"/>
  <c r="D1278" i="4"/>
  <c r="E1273" i="4"/>
  <c r="E1257" i="4"/>
  <c r="G1257" i="4"/>
  <c r="D1254" i="4"/>
  <c r="F1254" i="4"/>
  <c r="G1254" i="4"/>
  <c r="F1248" i="4"/>
  <c r="E1248" i="4"/>
  <c r="G1248" i="4"/>
  <c r="E1225" i="4"/>
  <c r="G1225" i="4"/>
  <c r="D1222" i="4"/>
  <c r="F1222" i="4"/>
  <c r="G1222" i="4"/>
  <c r="F1216" i="4"/>
  <c r="E1216" i="4"/>
  <c r="G1216" i="4"/>
  <c r="D1210" i="4"/>
  <c r="E1210" i="4"/>
  <c r="F1210" i="4"/>
  <c r="G1210" i="4"/>
  <c r="E1169" i="4"/>
  <c r="G1169" i="4"/>
  <c r="F1153" i="4"/>
  <c r="E1153" i="4"/>
  <c r="G1153" i="4"/>
  <c r="D1146" i="4"/>
  <c r="E1146" i="4"/>
  <c r="D1122" i="4"/>
  <c r="E1122" i="4"/>
  <c r="F1122" i="4"/>
  <c r="G1122" i="4"/>
  <c r="F1081" i="4"/>
  <c r="E1081" i="4"/>
  <c r="D1081" i="4"/>
  <c r="G1081" i="4"/>
  <c r="F1260" i="4"/>
  <c r="E1260" i="4"/>
  <c r="G1260" i="4"/>
  <c r="F1434" i="4"/>
  <c r="F1426" i="4"/>
  <c r="F1418" i="4"/>
  <c r="F1410" i="4"/>
  <c r="F1402" i="4"/>
  <c r="F1394" i="4"/>
  <c r="F1386" i="4"/>
  <c r="F1378" i="4"/>
  <c r="F1370" i="4"/>
  <c r="F1362" i="4"/>
  <c r="F1354" i="4"/>
  <c r="F1346" i="4"/>
  <c r="F1338" i="4"/>
  <c r="E1303" i="4"/>
  <c r="G1287" i="4"/>
  <c r="G1285" i="4"/>
  <c r="G1283" i="4"/>
  <c r="G1281" i="4"/>
  <c r="E1265" i="4"/>
  <c r="F1265" i="4"/>
  <c r="E1245" i="4"/>
  <c r="G1245" i="4"/>
  <c r="D1242" i="4"/>
  <c r="F1242" i="4"/>
  <c r="G1242" i="4"/>
  <c r="F1236" i="4"/>
  <c r="E1236" i="4"/>
  <c r="G1236" i="4"/>
  <c r="E1213" i="4"/>
  <c r="G1213" i="4"/>
  <c r="E1185" i="4"/>
  <c r="D1185" i="4"/>
  <c r="G1185" i="4"/>
  <c r="D1174" i="4"/>
  <c r="E1174" i="4"/>
  <c r="G1174" i="4"/>
  <c r="F1137" i="4"/>
  <c r="E1137" i="4"/>
  <c r="G1137" i="4"/>
  <c r="D1130" i="4"/>
  <c r="E1130" i="4"/>
  <c r="D1106" i="4"/>
  <c r="E1106" i="4"/>
  <c r="F1106" i="4"/>
  <c r="G1106" i="4"/>
  <c r="F1089" i="4"/>
  <c r="E1089" i="4"/>
  <c r="D1089" i="4"/>
  <c r="G1089" i="4"/>
  <c r="F1073" i="4"/>
  <c r="E1073" i="4"/>
  <c r="D1053" i="4"/>
  <c r="E1053" i="4"/>
  <c r="F1053" i="4"/>
  <c r="D1029" i="4"/>
  <c r="E1029" i="4"/>
  <c r="F1029" i="4"/>
  <c r="G1029" i="4"/>
  <c r="G1440" i="4"/>
  <c r="E1434" i="4"/>
  <c r="G1432" i="4"/>
  <c r="E1426" i="4"/>
  <c r="G1424" i="4"/>
  <c r="E1418" i="4"/>
  <c r="G1416" i="4"/>
  <c r="E1410" i="4"/>
  <c r="G1408" i="4"/>
  <c r="E1402" i="4"/>
  <c r="G1400" i="4"/>
  <c r="E1394" i="4"/>
  <c r="G1392" i="4"/>
  <c r="E1386" i="4"/>
  <c r="G1384" i="4"/>
  <c r="E1378" i="4"/>
  <c r="G1376" i="4"/>
  <c r="E1370" i="4"/>
  <c r="G1368" i="4"/>
  <c r="E1362" i="4"/>
  <c r="G1360" i="4"/>
  <c r="E1354" i="4"/>
  <c r="G1352" i="4"/>
  <c r="E1346" i="4"/>
  <c r="G1344" i="4"/>
  <c r="E1338" i="4"/>
  <c r="F1287" i="4"/>
  <c r="E1285" i="4"/>
  <c r="F1283" i="4"/>
  <c r="E1281" i="4"/>
  <c r="G1277" i="4"/>
  <c r="E1269" i="4"/>
  <c r="F1269" i="4"/>
  <c r="G1264" i="4"/>
  <c r="D1262" i="4"/>
  <c r="F1262" i="4"/>
  <c r="G1262" i="4"/>
  <c r="F1256" i="4"/>
  <c r="E1256" i="4"/>
  <c r="G1256" i="4"/>
  <c r="F1241" i="4"/>
  <c r="E1233" i="4"/>
  <c r="G1233" i="4"/>
  <c r="D1230" i="4"/>
  <c r="F1230" i="4"/>
  <c r="G1230" i="4"/>
  <c r="F1224" i="4"/>
  <c r="E1224" i="4"/>
  <c r="G1224" i="4"/>
  <c r="D1202" i="4"/>
  <c r="E1202" i="4"/>
  <c r="G1198" i="4"/>
  <c r="E1158" i="4"/>
  <c r="D1158" i="4"/>
  <c r="F1158" i="4"/>
  <c r="F1121" i="4"/>
  <c r="E1121" i="4"/>
  <c r="G1121" i="4"/>
  <c r="D1114" i="4"/>
  <c r="E1114" i="4"/>
  <c r="E1086" i="4"/>
  <c r="G1086" i="4"/>
  <c r="D1086" i="4"/>
  <c r="F1086" i="4"/>
  <c r="E1078" i="4"/>
  <c r="G1078" i="4"/>
  <c r="D1078" i="4"/>
  <c r="D1061" i="4"/>
  <c r="E1061" i="4"/>
  <c r="F1061" i="4"/>
  <c r="G1061" i="4"/>
  <c r="D1021" i="4"/>
  <c r="E1021" i="4"/>
  <c r="F1021" i="4"/>
  <c r="D1234" i="4"/>
  <c r="F1234" i="4"/>
  <c r="G1234" i="4"/>
  <c r="F926" i="4"/>
  <c r="D926" i="4"/>
  <c r="E926" i="4"/>
  <c r="G926" i="4"/>
  <c r="F1440" i="4"/>
  <c r="G1435" i="4"/>
  <c r="F1432" i="4"/>
  <c r="G1427" i="4"/>
  <c r="F1424" i="4"/>
  <c r="G1419" i="4"/>
  <c r="F1416" i="4"/>
  <c r="G1411" i="4"/>
  <c r="F1408" i="4"/>
  <c r="G1403" i="4"/>
  <c r="F1400" i="4"/>
  <c r="G1395" i="4"/>
  <c r="F1392" i="4"/>
  <c r="G1387" i="4"/>
  <c r="F1384" i="4"/>
  <c r="G1379" i="4"/>
  <c r="F1376" i="4"/>
  <c r="G1371" i="4"/>
  <c r="F1368" i="4"/>
  <c r="G1363" i="4"/>
  <c r="F1360" i="4"/>
  <c r="G1355" i="4"/>
  <c r="F1352" i="4"/>
  <c r="G1347" i="4"/>
  <c r="F1344" i="4"/>
  <c r="G1339" i="4"/>
  <c r="F1334" i="4"/>
  <c r="F1330" i="4"/>
  <c r="F1326" i="4"/>
  <c r="F1322" i="4"/>
  <c r="F1318" i="4"/>
  <c r="F1314" i="4"/>
  <c r="F1310" i="4"/>
  <c r="G1302" i="4"/>
  <c r="G1298" i="4"/>
  <c r="E1287" i="4"/>
  <c r="D1285" i="4"/>
  <c r="E1283" i="4"/>
  <c r="D1281" i="4"/>
  <c r="D1275" i="4"/>
  <c r="G1275" i="4"/>
  <c r="E1253" i="4"/>
  <c r="G1253" i="4"/>
  <c r="D1250" i="4"/>
  <c r="F1250" i="4"/>
  <c r="G1250" i="4"/>
  <c r="F1244" i="4"/>
  <c r="E1244" i="4"/>
  <c r="G1244" i="4"/>
  <c r="E1221" i="4"/>
  <c r="G1221" i="4"/>
  <c r="D1218" i="4"/>
  <c r="F1218" i="4"/>
  <c r="G1218" i="4"/>
  <c r="F1212" i="4"/>
  <c r="E1212" i="4"/>
  <c r="G1212" i="4"/>
  <c r="E1209" i="4"/>
  <c r="F1209" i="4"/>
  <c r="E1201" i="4"/>
  <c r="D1201" i="4"/>
  <c r="F1201" i="4"/>
  <c r="G1201" i="4"/>
  <c r="D1190" i="4"/>
  <c r="E1190" i="4"/>
  <c r="F1190" i="4"/>
  <c r="G1190" i="4"/>
  <c r="F1176" i="4"/>
  <c r="G1176" i="4"/>
  <c r="D1176" i="4"/>
  <c r="E1142" i="4"/>
  <c r="D1142" i="4"/>
  <c r="F1142" i="4"/>
  <c r="F1105" i="4"/>
  <c r="E1105" i="4"/>
  <c r="G1105" i="4"/>
  <c r="F1041" i="4"/>
  <c r="D1041" i="4"/>
  <c r="E1041" i="4"/>
  <c r="G1041" i="4"/>
  <c r="E1237" i="4"/>
  <c r="G1237" i="4"/>
  <c r="D1162" i="4"/>
  <c r="E1162" i="4"/>
  <c r="E1440" i="4"/>
  <c r="F1435" i="4"/>
  <c r="E1432" i="4"/>
  <c r="F1427" i="4"/>
  <c r="E1424" i="4"/>
  <c r="F1419" i="4"/>
  <c r="E1416" i="4"/>
  <c r="F1411" i="4"/>
  <c r="E1408" i="4"/>
  <c r="F1403" i="4"/>
  <c r="E1400" i="4"/>
  <c r="F1395" i="4"/>
  <c r="E1392" i="4"/>
  <c r="F1387" i="4"/>
  <c r="E1384" i="4"/>
  <c r="F1379" i="4"/>
  <c r="E1376" i="4"/>
  <c r="F1371" i="4"/>
  <c r="E1368" i="4"/>
  <c r="F1363" i="4"/>
  <c r="E1360" i="4"/>
  <c r="F1355" i="4"/>
  <c r="E1352" i="4"/>
  <c r="F1347" i="4"/>
  <c r="F1339" i="4"/>
  <c r="G1294" i="4"/>
  <c r="G1290" i="4"/>
  <c r="E1277" i="4"/>
  <c r="F1277" i="4"/>
  <c r="G1274" i="4"/>
  <c r="G1270" i="4"/>
  <c r="G1266" i="4"/>
  <c r="E1264" i="4"/>
  <c r="F1264" i="4"/>
  <c r="F1249" i="4"/>
  <c r="E1241" i="4"/>
  <c r="G1241" i="4"/>
  <c r="D1238" i="4"/>
  <c r="F1238" i="4"/>
  <c r="G1238" i="4"/>
  <c r="F1232" i="4"/>
  <c r="E1232" i="4"/>
  <c r="G1232" i="4"/>
  <c r="F1217" i="4"/>
  <c r="D1198" i="4"/>
  <c r="F1198" i="4"/>
  <c r="E1126" i="4"/>
  <c r="D1126" i="4"/>
  <c r="F1126" i="4"/>
  <c r="E1094" i="4"/>
  <c r="G1094" i="4"/>
  <c r="D1094" i="4"/>
  <c r="F1094" i="4"/>
  <c r="D1085" i="4"/>
  <c r="E1085" i="4"/>
  <c r="F1085" i="4"/>
  <c r="F1033" i="4"/>
  <c r="D1033" i="4"/>
  <c r="E1033" i="4"/>
  <c r="E1435" i="4"/>
  <c r="E1427" i="4"/>
  <c r="E1419" i="4"/>
  <c r="E1411" i="4"/>
  <c r="E1403" i="4"/>
  <c r="E1395" i="4"/>
  <c r="E1387" i="4"/>
  <c r="E1379" i="4"/>
  <c r="E1371" i="4"/>
  <c r="E1363" i="4"/>
  <c r="E1355" i="4"/>
  <c r="E1347" i="4"/>
  <c r="E1339" i="4"/>
  <c r="D1302" i="4"/>
  <c r="D1298" i="4"/>
  <c r="F1294" i="4"/>
  <c r="F1290" i="4"/>
  <c r="G1286" i="4"/>
  <c r="F1270" i="4"/>
  <c r="E1261" i="4"/>
  <c r="G1261" i="4"/>
  <c r="D1258" i="4"/>
  <c r="F1258" i="4"/>
  <c r="G1258" i="4"/>
  <c r="F1252" i="4"/>
  <c r="E1252" i="4"/>
  <c r="G1252" i="4"/>
  <c r="F1237" i="4"/>
  <c r="E1229" i="4"/>
  <c r="G1229" i="4"/>
  <c r="D1226" i="4"/>
  <c r="F1226" i="4"/>
  <c r="G1226" i="4"/>
  <c r="F1220" i="4"/>
  <c r="E1220" i="4"/>
  <c r="G1220" i="4"/>
  <c r="F1200" i="4"/>
  <c r="G1200" i="4"/>
  <c r="E1200" i="4"/>
  <c r="E1189" i="4"/>
  <c r="F1189" i="4"/>
  <c r="G1189" i="4"/>
  <c r="E1181" i="4"/>
  <c r="F1181" i="4"/>
  <c r="D1181" i="4"/>
  <c r="G1181" i="4"/>
  <c r="D1170" i="4"/>
  <c r="E1170" i="4"/>
  <c r="F1170" i="4"/>
  <c r="G1170" i="4"/>
  <c r="G1162" i="4"/>
  <c r="E1110" i="4"/>
  <c r="D1110" i="4"/>
  <c r="F1110" i="4"/>
  <c r="D1093" i="4"/>
  <c r="E1093" i="4"/>
  <c r="F1093" i="4"/>
  <c r="G1093" i="4"/>
  <c r="F1049" i="4"/>
  <c r="E1049" i="4"/>
  <c r="D1049" i="4"/>
  <c r="G1049" i="4"/>
  <c r="D1138" i="4"/>
  <c r="E1138" i="4"/>
  <c r="F1138" i="4"/>
  <c r="G1138" i="4"/>
  <c r="D1294" i="4"/>
  <c r="D1290" i="4"/>
  <c r="D1274" i="4"/>
  <c r="E1274" i="4"/>
  <c r="D1270" i="4"/>
  <c r="D1266" i="4"/>
  <c r="E1266" i="4"/>
  <c r="D1260" i="4"/>
  <c r="E1249" i="4"/>
  <c r="G1249" i="4"/>
  <c r="D1246" i="4"/>
  <c r="F1246" i="4"/>
  <c r="G1246" i="4"/>
  <c r="F1240" i="4"/>
  <c r="E1240" i="4"/>
  <c r="G1240" i="4"/>
  <c r="D1237" i="4"/>
  <c r="E1234" i="4"/>
  <c r="D1228" i="4"/>
  <c r="E1217" i="4"/>
  <c r="G1217" i="4"/>
  <c r="D1214" i="4"/>
  <c r="F1214" i="4"/>
  <c r="G1214" i="4"/>
  <c r="F1192" i="4"/>
  <c r="G1192" i="4"/>
  <c r="D1192" i="4"/>
  <c r="E1192" i="4"/>
  <c r="F1178" i="4"/>
  <c r="F1162" i="4"/>
  <c r="D1154" i="4"/>
  <c r="E1154" i="4"/>
  <c r="F1154" i="4"/>
  <c r="G1154" i="4"/>
  <c r="D1101" i="4"/>
  <c r="E1101" i="4"/>
  <c r="F1101" i="4"/>
  <c r="G1101" i="4"/>
  <c r="D932" i="4"/>
  <c r="E932" i="4"/>
  <c r="F932" i="4"/>
  <c r="G932" i="4"/>
  <c r="F922" i="4"/>
  <c r="D922" i="4"/>
  <c r="E922" i="4"/>
  <c r="G922" i="4"/>
  <c r="D1013" i="4"/>
  <c r="E1013" i="4"/>
  <c r="F1013" i="4"/>
  <c r="D940" i="4"/>
  <c r="E940" i="4"/>
  <c r="F940" i="4"/>
  <c r="G940" i="4"/>
  <c r="F930" i="4"/>
  <c r="D930" i="4"/>
  <c r="E930" i="4"/>
  <c r="G930" i="4"/>
  <c r="E1206" i="4"/>
  <c r="F1184" i="4"/>
  <c r="G1184" i="4"/>
  <c r="F1177" i="4"/>
  <c r="E1173" i="4"/>
  <c r="F1173" i="4"/>
  <c r="G1161" i="4"/>
  <c r="E1157" i="4"/>
  <c r="F1157" i="4"/>
  <c r="G1145" i="4"/>
  <c r="E1141" i="4"/>
  <c r="F1141" i="4"/>
  <c r="G1129" i="4"/>
  <c r="E1125" i="4"/>
  <c r="F1125" i="4"/>
  <c r="G1113" i="4"/>
  <c r="E1109" i="4"/>
  <c r="F1109" i="4"/>
  <c r="F1025" i="4"/>
  <c r="D1025" i="4"/>
  <c r="E1025" i="4"/>
  <c r="D1005" i="4"/>
  <c r="E1005" i="4"/>
  <c r="F1005" i="4"/>
  <c r="D944" i="4"/>
  <c r="E944" i="4"/>
  <c r="F944" i="4"/>
  <c r="G944" i="4"/>
  <c r="F934" i="4"/>
  <c r="D934" i="4"/>
  <c r="E934" i="4"/>
  <c r="G934" i="4"/>
  <c r="F1208" i="4"/>
  <c r="G1208" i="4"/>
  <c r="E1197" i="4"/>
  <c r="F1197" i="4"/>
  <c r="D1186" i="4"/>
  <c r="E1186" i="4"/>
  <c r="D1177" i="4"/>
  <c r="E1166" i="4"/>
  <c r="D1166" i="4"/>
  <c r="E1150" i="4"/>
  <c r="D1150" i="4"/>
  <c r="E1134" i="4"/>
  <c r="D1134" i="4"/>
  <c r="E1118" i="4"/>
  <c r="D1118" i="4"/>
  <c r="E1102" i="4"/>
  <c r="D1102" i="4"/>
  <c r="F1097" i="4"/>
  <c r="E1097" i="4"/>
  <c r="D1077" i="4"/>
  <c r="E1077" i="4"/>
  <c r="F1077" i="4"/>
  <c r="E1070" i="4"/>
  <c r="G1070" i="4"/>
  <c r="D1070" i="4"/>
  <c r="F1065" i="4"/>
  <c r="E1065" i="4"/>
  <c r="G1057" i="4"/>
  <c r="D1045" i="4"/>
  <c r="E1045" i="4"/>
  <c r="F1045" i="4"/>
  <c r="F1017" i="4"/>
  <c r="D1017" i="4"/>
  <c r="E1017" i="4"/>
  <c r="D997" i="4"/>
  <c r="E997" i="4"/>
  <c r="F997" i="4"/>
  <c r="D989" i="4"/>
  <c r="E989" i="4"/>
  <c r="F989" i="4"/>
  <c r="G989" i="4"/>
  <c r="D981" i="4"/>
  <c r="E981" i="4"/>
  <c r="F981" i="4"/>
  <c r="G981" i="4"/>
  <c r="D973" i="4"/>
  <c r="E973" i="4"/>
  <c r="F973" i="4"/>
  <c r="G973" i="4"/>
  <c r="D965" i="4"/>
  <c r="E965" i="4"/>
  <c r="F965" i="4"/>
  <c r="G965" i="4"/>
  <c r="D957" i="4"/>
  <c r="E957" i="4"/>
  <c r="F957" i="4"/>
  <c r="G957" i="4"/>
  <c r="D949" i="4"/>
  <c r="E949" i="4"/>
  <c r="F949" i="4"/>
  <c r="G949" i="4"/>
  <c r="F938" i="4"/>
  <c r="D938" i="4"/>
  <c r="E938" i="4"/>
  <c r="G938" i="4"/>
  <c r="F1161" i="4"/>
  <c r="E1161" i="4"/>
  <c r="F1145" i="4"/>
  <c r="E1145" i="4"/>
  <c r="F1129" i="4"/>
  <c r="E1129" i="4"/>
  <c r="F1113" i="4"/>
  <c r="E1113" i="4"/>
  <c r="F1009" i="4"/>
  <c r="D1009" i="4"/>
  <c r="E1009" i="4"/>
  <c r="F942" i="4"/>
  <c r="D942" i="4"/>
  <c r="E942" i="4"/>
  <c r="G942" i="4"/>
  <c r="D920" i="4"/>
  <c r="E920" i="4"/>
  <c r="F920" i="4"/>
  <c r="G920" i="4"/>
  <c r="D1069" i="4"/>
  <c r="E1069" i="4"/>
  <c r="F1069" i="4"/>
  <c r="E1062" i="4"/>
  <c r="G1062" i="4"/>
  <c r="D1062" i="4"/>
  <c r="F1057" i="4"/>
  <c r="E1057" i="4"/>
  <c r="D1037" i="4"/>
  <c r="E1037" i="4"/>
  <c r="F1037" i="4"/>
  <c r="F1001" i="4"/>
  <c r="D1001" i="4"/>
  <c r="E1001" i="4"/>
  <c r="D924" i="4"/>
  <c r="E924" i="4"/>
  <c r="F924" i="4"/>
  <c r="G924" i="4"/>
  <c r="E1205" i="4"/>
  <c r="F1205" i="4"/>
  <c r="D1194" i="4"/>
  <c r="E1194" i="4"/>
  <c r="E1165" i="4"/>
  <c r="F1165" i="4"/>
  <c r="E1149" i="4"/>
  <c r="F1149" i="4"/>
  <c r="E1133" i="4"/>
  <c r="F1133" i="4"/>
  <c r="E1117" i="4"/>
  <c r="F1117" i="4"/>
  <c r="D928" i="4"/>
  <c r="E928" i="4"/>
  <c r="F928" i="4"/>
  <c r="G928" i="4"/>
  <c r="D1046" i="4"/>
  <c r="F1028" i="4"/>
  <c r="F1020" i="4"/>
  <c r="F1012" i="4"/>
  <c r="F1004" i="4"/>
  <c r="F996" i="4"/>
  <c r="E993" i="4"/>
  <c r="F988" i="4"/>
  <c r="E985" i="4"/>
  <c r="F980" i="4"/>
  <c r="E977" i="4"/>
  <c r="F972" i="4"/>
  <c r="E969" i="4"/>
  <c r="F964" i="4"/>
  <c r="E961" i="4"/>
  <c r="F956" i="4"/>
  <c r="E953" i="4"/>
  <c r="F948" i="4"/>
  <c r="F943" i="4"/>
  <c r="F939" i="4"/>
  <c r="F935" i="4"/>
  <c r="F931" i="4"/>
  <c r="F927" i="4"/>
  <c r="F923" i="4"/>
  <c r="F919" i="4"/>
  <c r="F915" i="4"/>
  <c r="F911" i="4"/>
  <c r="F907" i="4"/>
  <c r="F903" i="4"/>
  <c r="F899" i="4"/>
  <c r="F895" i="4"/>
  <c r="F891" i="4"/>
  <c r="F887" i="4"/>
  <c r="F883" i="4"/>
  <c r="F879" i="4"/>
  <c r="F875" i="4"/>
  <c r="F871" i="4"/>
  <c r="F867" i="4"/>
  <c r="F863" i="4"/>
  <c r="F859" i="4"/>
  <c r="F855" i="4"/>
  <c r="F851" i="4"/>
  <c r="F847" i="4"/>
  <c r="G843" i="4"/>
  <c r="G839" i="4"/>
  <c r="E828" i="4"/>
  <c r="E824" i="4"/>
  <c r="D824" i="4"/>
  <c r="F815" i="4"/>
  <c r="F811" i="4"/>
  <c r="E811" i="4"/>
  <c r="G799" i="4"/>
  <c r="F787" i="4"/>
  <c r="D787" i="4"/>
  <c r="E787" i="4"/>
  <c r="F779" i="4"/>
  <c r="G779" i="4"/>
  <c r="D779" i="4"/>
  <c r="E779" i="4"/>
  <c r="F771" i="4"/>
  <c r="G771" i="4"/>
  <c r="D771" i="4"/>
  <c r="E771" i="4"/>
  <c r="F763" i="4"/>
  <c r="G763" i="4"/>
  <c r="D763" i="4"/>
  <c r="E763" i="4"/>
  <c r="F755" i="4"/>
  <c r="G755" i="4"/>
  <c r="D755" i="4"/>
  <c r="E755" i="4"/>
  <c r="F747" i="4"/>
  <c r="G747" i="4"/>
  <c r="D747" i="4"/>
  <c r="E747" i="4"/>
  <c r="G1042" i="4"/>
  <c r="G1034" i="4"/>
  <c r="G1026" i="4"/>
  <c r="G1018" i="4"/>
  <c r="G1010" i="4"/>
  <c r="G1002" i="4"/>
  <c r="G994" i="4"/>
  <c r="D993" i="4"/>
  <c r="G986" i="4"/>
  <c r="D985" i="4"/>
  <c r="G978" i="4"/>
  <c r="D977" i="4"/>
  <c r="G970" i="4"/>
  <c r="D969" i="4"/>
  <c r="G962" i="4"/>
  <c r="D961" i="4"/>
  <c r="G954" i="4"/>
  <c r="D953" i="4"/>
  <c r="G946" i="4"/>
  <c r="D943" i="4"/>
  <c r="D939" i="4"/>
  <c r="D935" i="4"/>
  <c r="D931" i="4"/>
  <c r="D927" i="4"/>
  <c r="D923" i="4"/>
  <c r="D919" i="4"/>
  <c r="D915" i="4"/>
  <c r="D911" i="4"/>
  <c r="D907" i="4"/>
  <c r="D903" i="4"/>
  <c r="D899" i="4"/>
  <c r="D895" i="4"/>
  <c r="D891" i="4"/>
  <c r="D887" i="4"/>
  <c r="D883" i="4"/>
  <c r="D879" i="4"/>
  <c r="D875" i="4"/>
  <c r="D871" i="4"/>
  <c r="D867" i="4"/>
  <c r="D863" i="4"/>
  <c r="D859" i="4"/>
  <c r="D855" i="4"/>
  <c r="D851" i="4"/>
  <c r="D847" i="4"/>
  <c r="F843" i="4"/>
  <c r="F839" i="4"/>
  <c r="D815" i="4"/>
  <c r="D804" i="4"/>
  <c r="E804" i="4"/>
  <c r="E799" i="4"/>
  <c r="F799" i="4"/>
  <c r="G1168" i="4"/>
  <c r="G1160" i="4"/>
  <c r="G1152" i="4"/>
  <c r="G1144" i="4"/>
  <c r="G1136" i="4"/>
  <c r="G1128" i="4"/>
  <c r="G1120" i="4"/>
  <c r="G1112" i="4"/>
  <c r="G1104" i="4"/>
  <c r="E1098" i="4"/>
  <c r="G1096" i="4"/>
  <c r="E1090" i="4"/>
  <c r="G1088" i="4"/>
  <c r="E1082" i="4"/>
  <c r="G1080" i="4"/>
  <c r="E1074" i="4"/>
  <c r="G1072" i="4"/>
  <c r="E1066" i="4"/>
  <c r="G1064" i="4"/>
  <c r="E1058" i="4"/>
  <c r="G1056" i="4"/>
  <c r="E1050" i="4"/>
  <c r="G1048" i="4"/>
  <c r="E1042" i="4"/>
  <c r="G1040" i="4"/>
  <c r="E1034" i="4"/>
  <c r="G1032" i="4"/>
  <c r="E1026" i="4"/>
  <c r="G1024" i="4"/>
  <c r="E1018" i="4"/>
  <c r="G1016" i="4"/>
  <c r="E1010" i="4"/>
  <c r="G1008" i="4"/>
  <c r="E1002" i="4"/>
  <c r="G1000" i="4"/>
  <c r="E994" i="4"/>
  <c r="G992" i="4"/>
  <c r="E986" i="4"/>
  <c r="G984" i="4"/>
  <c r="E978" i="4"/>
  <c r="G976" i="4"/>
  <c r="E970" i="4"/>
  <c r="G968" i="4"/>
  <c r="E962" i="4"/>
  <c r="G960" i="4"/>
  <c r="E954" i="4"/>
  <c r="G952" i="4"/>
  <c r="E946" i="4"/>
  <c r="G918" i="4"/>
  <c r="G916" i="4"/>
  <c r="G914" i="4"/>
  <c r="G912" i="4"/>
  <c r="G910" i="4"/>
  <c r="G908" i="4"/>
  <c r="G906" i="4"/>
  <c r="G904" i="4"/>
  <c r="G902" i="4"/>
  <c r="G900" i="4"/>
  <c r="G898" i="4"/>
  <c r="G896" i="4"/>
  <c r="G894" i="4"/>
  <c r="G892" i="4"/>
  <c r="G890" i="4"/>
  <c r="G888" i="4"/>
  <c r="G886" i="4"/>
  <c r="G884" i="4"/>
  <c r="G882" i="4"/>
  <c r="G880" i="4"/>
  <c r="G878" i="4"/>
  <c r="G876" i="4"/>
  <c r="G874" i="4"/>
  <c r="G872" i="4"/>
  <c r="G870" i="4"/>
  <c r="G868" i="4"/>
  <c r="G866" i="4"/>
  <c r="G864" i="4"/>
  <c r="G862" i="4"/>
  <c r="G860" i="4"/>
  <c r="G858" i="4"/>
  <c r="G856" i="4"/>
  <c r="G854" i="4"/>
  <c r="G852" i="4"/>
  <c r="G850" i="4"/>
  <c r="G848" i="4"/>
  <c r="G846" i="4"/>
  <c r="F819" i="4"/>
  <c r="E819" i="4"/>
  <c r="E808" i="4"/>
  <c r="D808" i="4"/>
  <c r="E918" i="4"/>
  <c r="F916" i="4"/>
  <c r="E914" i="4"/>
  <c r="F912" i="4"/>
  <c r="E910" i="4"/>
  <c r="F908" i="4"/>
  <c r="E906" i="4"/>
  <c r="F904" i="4"/>
  <c r="E902" i="4"/>
  <c r="F900" i="4"/>
  <c r="E898" i="4"/>
  <c r="F896" i="4"/>
  <c r="E894" i="4"/>
  <c r="F892" i="4"/>
  <c r="E890" i="4"/>
  <c r="F888" i="4"/>
  <c r="E886" i="4"/>
  <c r="F884" i="4"/>
  <c r="E882" i="4"/>
  <c r="F880" i="4"/>
  <c r="E878" i="4"/>
  <c r="F876" i="4"/>
  <c r="E874" i="4"/>
  <c r="F872" i="4"/>
  <c r="E870" i="4"/>
  <c r="F868" i="4"/>
  <c r="E866" i="4"/>
  <c r="F864" i="4"/>
  <c r="E862" i="4"/>
  <c r="F860" i="4"/>
  <c r="E858" i="4"/>
  <c r="F856" i="4"/>
  <c r="E854" i="4"/>
  <c r="F852" i="4"/>
  <c r="E850" i="4"/>
  <c r="F848" i="4"/>
  <c r="E846" i="4"/>
  <c r="G844" i="4"/>
  <c r="G842" i="4"/>
  <c r="G840" i="4"/>
  <c r="G838" i="4"/>
  <c r="D827" i="4"/>
  <c r="G816" i="4"/>
  <c r="G807" i="4"/>
  <c r="F803" i="4"/>
  <c r="E803" i="4"/>
  <c r="D796" i="4"/>
  <c r="E796" i="4"/>
  <c r="G796" i="4"/>
  <c r="E791" i="4"/>
  <c r="F791" i="4"/>
  <c r="G1046" i="4"/>
  <c r="D918" i="4"/>
  <c r="E916" i="4"/>
  <c r="D914" i="4"/>
  <c r="E912" i="4"/>
  <c r="D910" i="4"/>
  <c r="E908" i="4"/>
  <c r="D906" i="4"/>
  <c r="E904" i="4"/>
  <c r="D902" i="4"/>
  <c r="E900" i="4"/>
  <c r="D898" i="4"/>
  <c r="E896" i="4"/>
  <c r="D894" i="4"/>
  <c r="E892" i="4"/>
  <c r="D890" i="4"/>
  <c r="E888" i="4"/>
  <c r="D886" i="4"/>
  <c r="E884" i="4"/>
  <c r="D882" i="4"/>
  <c r="E880" i="4"/>
  <c r="D878" i="4"/>
  <c r="E876" i="4"/>
  <c r="D874" i="4"/>
  <c r="E872" i="4"/>
  <c r="D870" i="4"/>
  <c r="E868" i="4"/>
  <c r="D866" i="4"/>
  <c r="E864" i="4"/>
  <c r="D862" i="4"/>
  <c r="E860" i="4"/>
  <c r="D858" i="4"/>
  <c r="E856" i="4"/>
  <c r="D854" i="4"/>
  <c r="E852" i="4"/>
  <c r="D850" i="4"/>
  <c r="E848" i="4"/>
  <c r="D846" i="4"/>
  <c r="F844" i="4"/>
  <c r="E842" i="4"/>
  <c r="F840" i="4"/>
  <c r="E838" i="4"/>
  <c r="D812" i="4"/>
  <c r="E812" i="4"/>
  <c r="E816" i="4"/>
  <c r="D816" i="4"/>
  <c r="E807" i="4"/>
  <c r="F807" i="4"/>
  <c r="F795" i="4"/>
  <c r="D795" i="4"/>
  <c r="E795" i="4"/>
  <c r="G943" i="4"/>
  <c r="G939" i="4"/>
  <c r="G935" i="4"/>
  <c r="G931" i="4"/>
  <c r="G927" i="4"/>
  <c r="G923" i="4"/>
  <c r="G919" i="4"/>
  <c r="G915" i="4"/>
  <c r="G911" i="4"/>
  <c r="G907" i="4"/>
  <c r="G903" i="4"/>
  <c r="G899" i="4"/>
  <c r="G895" i="4"/>
  <c r="G891" i="4"/>
  <c r="G887" i="4"/>
  <c r="G883" i="4"/>
  <c r="G879" i="4"/>
  <c r="G875" i="4"/>
  <c r="G871" i="4"/>
  <c r="G867" i="4"/>
  <c r="G863" i="4"/>
  <c r="G859" i="4"/>
  <c r="G855" i="4"/>
  <c r="G851" i="4"/>
  <c r="G847" i="4"/>
  <c r="F828" i="4"/>
  <c r="G822" i="4"/>
  <c r="F822" i="4"/>
  <c r="G815" i="4"/>
  <c r="G804" i="4"/>
  <c r="F814" i="4"/>
  <c r="F806" i="4"/>
  <c r="D800" i="4"/>
  <c r="F798" i="4"/>
  <c r="D792" i="4"/>
  <c r="F790" i="4"/>
  <c r="D784" i="4"/>
  <c r="F782" i="4"/>
  <c r="D776" i="4"/>
  <c r="F774" i="4"/>
  <c r="D768" i="4"/>
  <c r="F766" i="4"/>
  <c r="D760" i="4"/>
  <c r="F758" i="4"/>
  <c r="D752" i="4"/>
  <c r="F750" i="4"/>
  <c r="D744" i="4"/>
  <c r="F742" i="4"/>
  <c r="E739" i="4"/>
  <c r="D736" i="4"/>
  <c r="F734" i="4"/>
  <c r="E731" i="4"/>
  <c r="D728" i="4"/>
  <c r="F726" i="4"/>
  <c r="E723" i="4"/>
  <c r="D720" i="4"/>
  <c r="F718" i="4"/>
  <c r="E715" i="4"/>
  <c r="D712" i="4"/>
  <c r="F710" i="4"/>
  <c r="E707" i="4"/>
  <c r="G705" i="4"/>
  <c r="G701" i="4"/>
  <c r="D696" i="4"/>
  <c r="D694" i="4"/>
  <c r="G694" i="4"/>
  <c r="F688" i="4"/>
  <c r="D684" i="4"/>
  <c r="F680" i="4"/>
  <c r="D676" i="4"/>
  <c r="F672" i="4"/>
  <c r="D668" i="4"/>
  <c r="G664" i="4"/>
  <c r="F662" i="4"/>
  <c r="E660" i="4"/>
  <c r="G652" i="4"/>
  <c r="D649" i="4"/>
  <c r="D647" i="4"/>
  <c r="F641" i="4"/>
  <c r="E639" i="4"/>
  <c r="E637" i="4"/>
  <c r="G633" i="4"/>
  <c r="F631" i="4"/>
  <c r="F629" i="4"/>
  <c r="G621" i="4"/>
  <c r="D616" i="4"/>
  <c r="D614" i="4"/>
  <c r="G614" i="4"/>
  <c r="F608" i="4"/>
  <c r="D604" i="4"/>
  <c r="G600" i="4"/>
  <c r="F598" i="4"/>
  <c r="E596" i="4"/>
  <c r="G592" i="4"/>
  <c r="F590" i="4"/>
  <c r="E588" i="4"/>
  <c r="G584" i="4"/>
  <c r="F578" i="4"/>
  <c r="E578" i="4"/>
  <c r="D576" i="4"/>
  <c r="F563" i="4"/>
  <c r="D559" i="4"/>
  <c r="F559" i="4"/>
  <c r="D556" i="4"/>
  <c r="D543" i="4"/>
  <c r="E543" i="4"/>
  <c r="G540" i="4"/>
  <c r="D532" i="4"/>
  <c r="F512" i="4"/>
  <c r="E496" i="4"/>
  <c r="D496" i="4"/>
  <c r="F496" i="4"/>
  <c r="G496" i="4"/>
  <c r="G788" i="4"/>
  <c r="G780" i="4"/>
  <c r="G772" i="4"/>
  <c r="G764" i="4"/>
  <c r="G756" i="4"/>
  <c r="G748" i="4"/>
  <c r="G740" i="4"/>
  <c r="D739" i="4"/>
  <c r="G732" i="4"/>
  <c r="D731" i="4"/>
  <c r="G724" i="4"/>
  <c r="D723" i="4"/>
  <c r="G716" i="4"/>
  <c r="D715" i="4"/>
  <c r="G708" i="4"/>
  <c r="D707" i="4"/>
  <c r="D688" i="4"/>
  <c r="D686" i="4"/>
  <c r="G686" i="4"/>
  <c r="D680" i="4"/>
  <c r="D678" i="4"/>
  <c r="G678" i="4"/>
  <c r="D672" i="4"/>
  <c r="D670" i="4"/>
  <c r="G670" i="4"/>
  <c r="D660" i="4"/>
  <c r="D641" i="4"/>
  <c r="D639" i="4"/>
  <c r="E629" i="4"/>
  <c r="D608" i="4"/>
  <c r="D606" i="4"/>
  <c r="G606" i="4"/>
  <c r="F600" i="4"/>
  <c r="D596" i="4"/>
  <c r="D580" i="4"/>
  <c r="E580" i="4"/>
  <c r="E558" i="4"/>
  <c r="D549" i="4"/>
  <c r="F549" i="4"/>
  <c r="G534" i="4"/>
  <c r="D534" i="4"/>
  <c r="D662" i="4"/>
  <c r="G662" i="4"/>
  <c r="D598" i="4"/>
  <c r="G598" i="4"/>
  <c r="D590" i="4"/>
  <c r="G590" i="4"/>
  <c r="D582" i="4"/>
  <c r="G582" i="4"/>
  <c r="G579" i="4"/>
  <c r="D525" i="4"/>
  <c r="E525" i="4"/>
  <c r="G525" i="4"/>
  <c r="E516" i="4"/>
  <c r="G516" i="4"/>
  <c r="D509" i="4"/>
  <c r="E509" i="4"/>
  <c r="F509" i="4"/>
  <c r="E500" i="4"/>
  <c r="F500" i="4"/>
  <c r="D493" i="4"/>
  <c r="E493" i="4"/>
  <c r="F467" i="4"/>
  <c r="G467" i="4"/>
  <c r="D467" i="4"/>
  <c r="E467" i="4"/>
  <c r="E788" i="4"/>
  <c r="F783" i="4"/>
  <c r="E780" i="4"/>
  <c r="F775" i="4"/>
  <c r="E772" i="4"/>
  <c r="F767" i="4"/>
  <c r="E764" i="4"/>
  <c r="F759" i="4"/>
  <c r="E756" i="4"/>
  <c r="F751" i="4"/>
  <c r="E748" i="4"/>
  <c r="F743" i="4"/>
  <c r="E740" i="4"/>
  <c r="F735" i="4"/>
  <c r="E732" i="4"/>
  <c r="F727" i="4"/>
  <c r="E724" i="4"/>
  <c r="F719" i="4"/>
  <c r="E716" i="4"/>
  <c r="F711" i="4"/>
  <c r="E708" i="4"/>
  <c r="G706" i="4"/>
  <c r="F697" i="4"/>
  <c r="E695" i="4"/>
  <c r="G689" i="4"/>
  <c r="F687" i="4"/>
  <c r="F685" i="4"/>
  <c r="F677" i="4"/>
  <c r="F669" i="4"/>
  <c r="D654" i="4"/>
  <c r="G654" i="4"/>
  <c r="F648" i="4"/>
  <c r="F638" i="4"/>
  <c r="E636" i="4"/>
  <c r="F617" i="4"/>
  <c r="E615" i="4"/>
  <c r="F605" i="4"/>
  <c r="F579" i="4"/>
  <c r="G562" i="4"/>
  <c r="F560" i="4"/>
  <c r="G558" i="4"/>
  <c r="F558" i="4"/>
  <c r="F555" i="4"/>
  <c r="E555" i="4"/>
  <c r="D555" i="4"/>
  <c r="G553" i="4"/>
  <c r="E553" i="4"/>
  <c r="F531" i="4"/>
  <c r="D531" i="4"/>
  <c r="G531" i="4"/>
  <c r="F524" i="4"/>
  <c r="G518" i="4"/>
  <c r="D518" i="4"/>
  <c r="G508" i="4"/>
  <c r="G502" i="4"/>
  <c r="D502" i="4"/>
  <c r="F502" i="4"/>
  <c r="F492" i="4"/>
  <c r="D492" i="4"/>
  <c r="E492" i="4"/>
  <c r="G492" i="4"/>
  <c r="E783" i="4"/>
  <c r="E775" i="4"/>
  <c r="E767" i="4"/>
  <c r="E759" i="4"/>
  <c r="E751" i="4"/>
  <c r="G700" i="4"/>
  <c r="D697" i="4"/>
  <c r="D695" i="4"/>
  <c r="F689" i="4"/>
  <c r="E687" i="4"/>
  <c r="E685" i="4"/>
  <c r="F681" i="4"/>
  <c r="E679" i="4"/>
  <c r="E677" i="4"/>
  <c r="F673" i="4"/>
  <c r="E671" i="4"/>
  <c r="E669" i="4"/>
  <c r="G665" i="4"/>
  <c r="F663" i="4"/>
  <c r="F661" i="4"/>
  <c r="G653" i="4"/>
  <c r="D648" i="4"/>
  <c r="D646" i="4"/>
  <c r="G646" i="4"/>
  <c r="F640" i="4"/>
  <c r="D636" i="4"/>
  <c r="G632" i="4"/>
  <c r="E628" i="4"/>
  <c r="G620" i="4"/>
  <c r="D617" i="4"/>
  <c r="D615" i="4"/>
  <c r="F609" i="4"/>
  <c r="E607" i="4"/>
  <c r="E605" i="4"/>
  <c r="G601" i="4"/>
  <c r="F599" i="4"/>
  <c r="F597" i="4"/>
  <c r="G593" i="4"/>
  <c r="F591" i="4"/>
  <c r="F589" i="4"/>
  <c r="G585" i="4"/>
  <c r="F583" i="4"/>
  <c r="E579" i="4"/>
  <c r="G573" i="4"/>
  <c r="D573" i="4"/>
  <c r="E548" i="4"/>
  <c r="G548" i="4"/>
  <c r="F515" i="4"/>
  <c r="D515" i="4"/>
  <c r="E515" i="4"/>
  <c r="D511" i="4"/>
  <c r="G511" i="4"/>
  <c r="F511" i="4"/>
  <c r="D477" i="4"/>
  <c r="E477" i="4"/>
  <c r="F477" i="4"/>
  <c r="G477" i="4"/>
  <c r="D638" i="4"/>
  <c r="G638" i="4"/>
  <c r="F562" i="4"/>
  <c r="E562" i="4"/>
  <c r="E560" i="4"/>
  <c r="G560" i="4"/>
  <c r="D557" i="4"/>
  <c r="E557" i="4"/>
  <c r="F557" i="4"/>
  <c r="F539" i="4"/>
  <c r="E539" i="4"/>
  <c r="G539" i="4"/>
  <c r="D524" i="4"/>
  <c r="G524" i="4"/>
  <c r="D508" i="4"/>
  <c r="F508" i="4"/>
  <c r="G739" i="4"/>
  <c r="F736" i="4"/>
  <c r="G731" i="4"/>
  <c r="F728" i="4"/>
  <c r="G723" i="4"/>
  <c r="F720" i="4"/>
  <c r="G715" i="4"/>
  <c r="F712" i="4"/>
  <c r="G707" i="4"/>
  <c r="G696" i="4"/>
  <c r="G684" i="4"/>
  <c r="G676" i="4"/>
  <c r="G668" i="4"/>
  <c r="D665" i="4"/>
  <c r="D663" i="4"/>
  <c r="E653" i="4"/>
  <c r="G649" i="4"/>
  <c r="F647" i="4"/>
  <c r="G637" i="4"/>
  <c r="D632" i="4"/>
  <c r="D630" i="4"/>
  <c r="G630" i="4"/>
  <c r="D620" i="4"/>
  <c r="G616" i="4"/>
  <c r="G604" i="4"/>
  <c r="D601" i="4"/>
  <c r="D599" i="4"/>
  <c r="D593" i="4"/>
  <c r="D591" i="4"/>
  <c r="D585" i="4"/>
  <c r="D583" i="4"/>
  <c r="F576" i="4"/>
  <c r="D564" i="4"/>
  <c r="E564" i="4"/>
  <c r="G556" i="4"/>
  <c r="G550" i="4"/>
  <c r="D550" i="4"/>
  <c r="G532" i="4"/>
  <c r="D702" i="4"/>
  <c r="G702" i="4"/>
  <c r="F696" i="4"/>
  <c r="G688" i="4"/>
  <c r="F686" i="4"/>
  <c r="E684" i="4"/>
  <c r="G680" i="4"/>
  <c r="F678" i="4"/>
  <c r="E676" i="4"/>
  <c r="G672" i="4"/>
  <c r="F670" i="4"/>
  <c r="E668" i="4"/>
  <c r="G660" i="4"/>
  <c r="F649" i="4"/>
  <c r="E647" i="4"/>
  <c r="G641" i="4"/>
  <c r="F639" i="4"/>
  <c r="F637" i="4"/>
  <c r="G629" i="4"/>
  <c r="D622" i="4"/>
  <c r="G622" i="4"/>
  <c r="F616" i="4"/>
  <c r="G608" i="4"/>
  <c r="F606" i="4"/>
  <c r="E604" i="4"/>
  <c r="G596" i="4"/>
  <c r="G588" i="4"/>
  <c r="G580" i="4"/>
  <c r="E576" i="4"/>
  <c r="F570" i="4"/>
  <c r="D570" i="4"/>
  <c r="D566" i="4"/>
  <c r="G566" i="4"/>
  <c r="G563" i="4"/>
  <c r="E556" i="4"/>
  <c r="G549" i="4"/>
  <c r="F547" i="4"/>
  <c r="E547" i="4"/>
  <c r="F534" i="4"/>
  <c r="F532" i="4"/>
  <c r="F523" i="4"/>
  <c r="E523" i="4"/>
  <c r="D523" i="4"/>
  <c r="G521" i="4"/>
  <c r="E521" i="4"/>
  <c r="G512" i="4"/>
  <c r="G575" i="4"/>
  <c r="F537" i="4"/>
  <c r="F507" i="4"/>
  <c r="E507" i="4"/>
  <c r="D505" i="4"/>
  <c r="F499" i="4"/>
  <c r="D499" i="4"/>
  <c r="D495" i="4"/>
  <c r="G495" i="4"/>
  <c r="D484" i="4"/>
  <c r="E480" i="4"/>
  <c r="D480" i="4"/>
  <c r="F475" i="4"/>
  <c r="E475" i="4"/>
  <c r="D473" i="4"/>
  <c r="G473" i="4"/>
  <c r="F460" i="4"/>
  <c r="D460" i="4"/>
  <c r="D445" i="4"/>
  <c r="E445" i="4"/>
  <c r="F438" i="4"/>
  <c r="E432" i="4"/>
  <c r="D432" i="4"/>
  <c r="F432" i="4"/>
  <c r="G429" i="4"/>
  <c r="F422" i="4"/>
  <c r="E416" i="4"/>
  <c r="D416" i="4"/>
  <c r="F416" i="4"/>
  <c r="G486" i="4"/>
  <c r="D486" i="4"/>
  <c r="G468" i="4"/>
  <c r="F451" i="4"/>
  <c r="G451" i="4"/>
  <c r="D451" i="4"/>
  <c r="D447" i="4"/>
  <c r="G447" i="4"/>
  <c r="G438" i="4"/>
  <c r="D438" i="4"/>
  <c r="D429" i="4"/>
  <c r="E429" i="4"/>
  <c r="G422" i="4"/>
  <c r="D422" i="4"/>
  <c r="D415" i="4"/>
  <c r="F415" i="4"/>
  <c r="G415" i="4"/>
  <c r="D349" i="4"/>
  <c r="E349" i="4"/>
  <c r="F349" i="4"/>
  <c r="G349" i="4"/>
  <c r="D541" i="4"/>
  <c r="E541" i="4"/>
  <c r="D527" i="4"/>
  <c r="G527" i="4"/>
  <c r="G491" i="4"/>
  <c r="F483" i="4"/>
  <c r="G483" i="4"/>
  <c r="D483" i="4"/>
  <c r="D479" i="4"/>
  <c r="G479" i="4"/>
  <c r="G476" i="4"/>
  <c r="D468" i="4"/>
  <c r="E464" i="4"/>
  <c r="D464" i="4"/>
  <c r="G461" i="4"/>
  <c r="F459" i="4"/>
  <c r="E459" i="4"/>
  <c r="D457" i="4"/>
  <c r="G457" i="4"/>
  <c r="F444" i="4"/>
  <c r="D444" i="4"/>
  <c r="D431" i="4"/>
  <c r="G431" i="4"/>
  <c r="D409" i="4"/>
  <c r="E409" i="4"/>
  <c r="F409" i="4"/>
  <c r="G409" i="4"/>
  <c r="E400" i="4"/>
  <c r="D400" i="4"/>
  <c r="F400" i="4"/>
  <c r="G400" i="4"/>
  <c r="F348" i="4"/>
  <c r="G348" i="4"/>
  <c r="D348" i="4"/>
  <c r="E348" i="4"/>
  <c r="G470" i="4"/>
  <c r="D470" i="4"/>
  <c r="F463" i="4"/>
  <c r="G452" i="4"/>
  <c r="F435" i="4"/>
  <c r="G435" i="4"/>
  <c r="D435" i="4"/>
  <c r="F428" i="4"/>
  <c r="G428" i="4"/>
  <c r="D428" i="4"/>
  <c r="E376" i="4"/>
  <c r="F376" i="4"/>
  <c r="D376" i="4"/>
  <c r="G376" i="4"/>
  <c r="E337" i="4"/>
  <c r="F337" i="4"/>
  <c r="G337" i="4"/>
  <c r="D337" i="4"/>
  <c r="F491" i="4"/>
  <c r="E491" i="4"/>
  <c r="D489" i="4"/>
  <c r="G489" i="4"/>
  <c r="F476" i="4"/>
  <c r="D476" i="4"/>
  <c r="D461" i="4"/>
  <c r="E461" i="4"/>
  <c r="F454" i="4"/>
  <c r="F452" i="4"/>
  <c r="F356" i="4"/>
  <c r="D356" i="4"/>
  <c r="E356" i="4"/>
  <c r="G356" i="4"/>
  <c r="D463" i="4"/>
  <c r="G463" i="4"/>
  <c r="D452" i="4"/>
  <c r="E448" i="4"/>
  <c r="D448" i="4"/>
  <c r="F443" i="4"/>
  <c r="E443" i="4"/>
  <c r="D441" i="4"/>
  <c r="G441" i="4"/>
  <c r="D425" i="4"/>
  <c r="E425" i="4"/>
  <c r="G425" i="4"/>
  <c r="D393" i="4"/>
  <c r="E393" i="4"/>
  <c r="F393" i="4"/>
  <c r="G393" i="4"/>
  <c r="F364" i="4"/>
  <c r="D364" i="4"/>
  <c r="E364" i="4"/>
  <c r="D342" i="4"/>
  <c r="E342" i="4"/>
  <c r="G342" i="4"/>
  <c r="F342" i="4"/>
  <c r="G454" i="4"/>
  <c r="D454" i="4"/>
  <c r="E384" i="4"/>
  <c r="D384" i="4"/>
  <c r="F384" i="4"/>
  <c r="G384" i="4"/>
  <c r="D419" i="4"/>
  <c r="D412" i="4"/>
  <c r="D403" i="4"/>
  <c r="G399" i="4"/>
  <c r="D396" i="4"/>
  <c r="D387" i="4"/>
  <c r="D369" i="4"/>
  <c r="D358" i="4"/>
  <c r="G358" i="4"/>
  <c r="D334" i="4"/>
  <c r="E334" i="4"/>
  <c r="F334" i="4"/>
  <c r="G334" i="4"/>
  <c r="G413" i="4"/>
  <c r="F406" i="4"/>
  <c r="F399" i="4"/>
  <c r="G397" i="4"/>
  <c r="D373" i="4"/>
  <c r="E373" i="4"/>
  <c r="E360" i="4"/>
  <c r="F360" i="4"/>
  <c r="D326" i="4"/>
  <c r="E326" i="4"/>
  <c r="F326" i="4"/>
  <c r="G326" i="4"/>
  <c r="D318" i="4"/>
  <c r="E318" i="4"/>
  <c r="F318" i="4"/>
  <c r="G318" i="4"/>
  <c r="D310" i="4"/>
  <c r="E310" i="4"/>
  <c r="F310" i="4"/>
  <c r="G310" i="4"/>
  <c r="D302" i="4"/>
  <c r="E302" i="4"/>
  <c r="F302" i="4"/>
  <c r="G302" i="4"/>
  <c r="E427" i="4"/>
  <c r="E413" i="4"/>
  <c r="E411" i="4"/>
  <c r="D406" i="4"/>
  <c r="E397" i="4"/>
  <c r="E395" i="4"/>
  <c r="D390" i="4"/>
  <c r="D381" i="4"/>
  <c r="E381" i="4"/>
  <c r="D377" i="4"/>
  <c r="E372" i="4"/>
  <c r="D366" i="4"/>
  <c r="G366" i="4"/>
  <c r="G361" i="4"/>
  <c r="D357" i="4"/>
  <c r="E357" i="4"/>
  <c r="E368" i="4"/>
  <c r="F368" i="4"/>
  <c r="D350" i="4"/>
  <c r="E350" i="4"/>
  <c r="G350" i="4"/>
  <c r="F243" i="4"/>
  <c r="G243" i="4"/>
  <c r="D243" i="4"/>
  <c r="E243" i="4"/>
  <c r="F227" i="4"/>
  <c r="G227" i="4"/>
  <c r="D227" i="4"/>
  <c r="E227" i="4"/>
  <c r="F211" i="4"/>
  <c r="G211" i="4"/>
  <c r="D211" i="4"/>
  <c r="E211" i="4"/>
  <c r="F195" i="4"/>
  <c r="G195" i="4"/>
  <c r="D195" i="4"/>
  <c r="E195" i="4"/>
  <c r="D148" i="4"/>
  <c r="E148" i="4"/>
  <c r="F148" i="4"/>
  <c r="G148" i="4"/>
  <c r="G412" i="4"/>
  <c r="G396" i="4"/>
  <c r="D361" i="4"/>
  <c r="E345" i="4"/>
  <c r="F345" i="4"/>
  <c r="F340" i="4"/>
  <c r="G340" i="4"/>
  <c r="G158" i="4"/>
  <c r="E158" i="4"/>
  <c r="F158" i="4"/>
  <c r="D158" i="4"/>
  <c r="G419" i="4"/>
  <c r="G403" i="4"/>
  <c r="G387" i="4"/>
  <c r="D374" i="4"/>
  <c r="G374" i="4"/>
  <c r="G369" i="4"/>
  <c r="D365" i="4"/>
  <c r="E365" i="4"/>
  <c r="F332" i="4"/>
  <c r="G332" i="4"/>
  <c r="F324" i="4"/>
  <c r="G324" i="4"/>
  <c r="D324" i="4"/>
  <c r="F316" i="4"/>
  <c r="G316" i="4"/>
  <c r="D316" i="4"/>
  <c r="F308" i="4"/>
  <c r="G308" i="4"/>
  <c r="D308" i="4"/>
  <c r="F300" i="4"/>
  <c r="G300" i="4"/>
  <c r="D300" i="4"/>
  <c r="F12" i="4"/>
  <c r="G12" i="4"/>
  <c r="D12" i="4"/>
  <c r="D293" i="4"/>
  <c r="D286" i="4"/>
  <c r="E284" i="4"/>
  <c r="D277" i="4"/>
  <c r="D270" i="4"/>
  <c r="E268" i="4"/>
  <c r="D261" i="4"/>
  <c r="D254" i="4"/>
  <c r="D245" i="4"/>
  <c r="E245" i="4"/>
  <c r="G245" i="4"/>
  <c r="D229" i="4"/>
  <c r="E229" i="4"/>
  <c r="G229" i="4"/>
  <c r="D213" i="4"/>
  <c r="E213" i="4"/>
  <c r="G213" i="4"/>
  <c r="D197" i="4"/>
  <c r="E197" i="4"/>
  <c r="G197" i="4"/>
  <c r="D172" i="4"/>
  <c r="E172" i="4"/>
  <c r="F172" i="4"/>
  <c r="G172" i="4"/>
  <c r="E152" i="4"/>
  <c r="F152" i="4"/>
  <c r="G152" i="4"/>
  <c r="E136" i="4"/>
  <c r="F136" i="4"/>
  <c r="D136" i="4"/>
  <c r="G136" i="4"/>
  <c r="D124" i="4"/>
  <c r="E124" i="4"/>
  <c r="D116" i="4"/>
  <c r="E116" i="4"/>
  <c r="F116" i="4"/>
  <c r="G116" i="4"/>
  <c r="D30" i="4"/>
  <c r="E30" i="4"/>
  <c r="F30" i="4"/>
  <c r="G30" i="4"/>
  <c r="F20" i="4"/>
  <c r="G20" i="4"/>
  <c r="D20" i="4"/>
  <c r="E20" i="4"/>
  <c r="D6" i="4"/>
  <c r="E6" i="4"/>
  <c r="F6" i="4"/>
  <c r="G6" i="4"/>
  <c r="G379" i="4"/>
  <c r="G371" i="4"/>
  <c r="G363" i="4"/>
  <c r="G355" i="4"/>
  <c r="F352" i="4"/>
  <c r="G347" i="4"/>
  <c r="F344" i="4"/>
  <c r="E341" i="4"/>
  <c r="G339" i="4"/>
  <c r="F336" i="4"/>
  <c r="E333" i="4"/>
  <c r="G331" i="4"/>
  <c r="F328" i="4"/>
  <c r="E325" i="4"/>
  <c r="G323" i="4"/>
  <c r="F320" i="4"/>
  <c r="E317" i="4"/>
  <c r="G315" i="4"/>
  <c r="F312" i="4"/>
  <c r="E309" i="4"/>
  <c r="G307" i="4"/>
  <c r="F304" i="4"/>
  <c r="E301" i="4"/>
  <c r="G299" i="4"/>
  <c r="E296" i="4"/>
  <c r="F294" i="4"/>
  <c r="G292" i="4"/>
  <c r="F287" i="4"/>
  <c r="F285" i="4"/>
  <c r="G283" i="4"/>
  <c r="E280" i="4"/>
  <c r="F278" i="4"/>
  <c r="G276" i="4"/>
  <c r="F271" i="4"/>
  <c r="F269" i="4"/>
  <c r="G267" i="4"/>
  <c r="E264" i="4"/>
  <c r="F262" i="4"/>
  <c r="G260" i="4"/>
  <c r="F253" i="4"/>
  <c r="F244" i="4"/>
  <c r="E240" i="4"/>
  <c r="F240" i="4"/>
  <c r="F228" i="4"/>
  <c r="E224" i="4"/>
  <c r="F224" i="4"/>
  <c r="F212" i="4"/>
  <c r="E208" i="4"/>
  <c r="F208" i="4"/>
  <c r="F196" i="4"/>
  <c r="E192" i="4"/>
  <c r="F192" i="4"/>
  <c r="F180" i="4"/>
  <c r="G166" i="4"/>
  <c r="E166" i="4"/>
  <c r="F166" i="4"/>
  <c r="D156" i="4"/>
  <c r="E156" i="4"/>
  <c r="F156" i="4"/>
  <c r="G156" i="4"/>
  <c r="F115" i="4"/>
  <c r="G115" i="4"/>
  <c r="D115" i="4"/>
  <c r="F68" i="4"/>
  <c r="G68" i="4"/>
  <c r="D68" i="4"/>
  <c r="E68" i="4"/>
  <c r="F44" i="4"/>
  <c r="G44" i="4"/>
  <c r="D44" i="4"/>
  <c r="F292" i="4"/>
  <c r="G290" i="4"/>
  <c r="D287" i="4"/>
  <c r="E285" i="4"/>
  <c r="F276" i="4"/>
  <c r="G274" i="4"/>
  <c r="D271" i="4"/>
  <c r="E269" i="4"/>
  <c r="F260" i="4"/>
  <c r="G258" i="4"/>
  <c r="F251" i="4"/>
  <c r="G251" i="4"/>
  <c r="F246" i="4"/>
  <c r="E244" i="4"/>
  <c r="F235" i="4"/>
  <c r="G235" i="4"/>
  <c r="F230" i="4"/>
  <c r="E228" i="4"/>
  <c r="F219" i="4"/>
  <c r="G219" i="4"/>
  <c r="F214" i="4"/>
  <c r="E212" i="4"/>
  <c r="F203" i="4"/>
  <c r="G203" i="4"/>
  <c r="F198" i="4"/>
  <c r="E196" i="4"/>
  <c r="F187" i="4"/>
  <c r="G187" i="4"/>
  <c r="F182" i="4"/>
  <c r="E180" i="4"/>
  <c r="E175" i="4"/>
  <c r="D175" i="4"/>
  <c r="E160" i="4"/>
  <c r="F160" i="4"/>
  <c r="G160" i="4"/>
  <c r="D140" i="4"/>
  <c r="E140" i="4"/>
  <c r="F140" i="4"/>
  <c r="G140" i="4"/>
  <c r="F131" i="4"/>
  <c r="G131" i="4"/>
  <c r="E131" i="4"/>
  <c r="D62" i="4"/>
  <c r="E62" i="4"/>
  <c r="F62" i="4"/>
  <c r="G62" i="4"/>
  <c r="G329" i="4"/>
  <c r="G321" i="4"/>
  <c r="G313" i="4"/>
  <c r="G305" i="4"/>
  <c r="G288" i="4"/>
  <c r="G272" i="4"/>
  <c r="G256" i="4"/>
  <c r="E253" i="4"/>
  <c r="G253" i="4"/>
  <c r="D237" i="4"/>
  <c r="E237" i="4"/>
  <c r="G237" i="4"/>
  <c r="D221" i="4"/>
  <c r="E221" i="4"/>
  <c r="G221" i="4"/>
  <c r="D205" i="4"/>
  <c r="E205" i="4"/>
  <c r="G205" i="4"/>
  <c r="D189" i="4"/>
  <c r="E189" i="4"/>
  <c r="G189" i="4"/>
  <c r="D174" i="4"/>
  <c r="E174" i="4"/>
  <c r="F174" i="4"/>
  <c r="G174" i="4"/>
  <c r="G150" i="4"/>
  <c r="E150" i="4"/>
  <c r="F150" i="4"/>
  <c r="D109" i="4"/>
  <c r="E109" i="4"/>
  <c r="G109" i="4"/>
  <c r="F109" i="4"/>
  <c r="G100" i="4"/>
  <c r="D100" i="4"/>
  <c r="E100" i="4"/>
  <c r="F52" i="4"/>
  <c r="G52" i="4"/>
  <c r="D52" i="4"/>
  <c r="E52" i="4"/>
  <c r="D38" i="4"/>
  <c r="E38" i="4"/>
  <c r="F38" i="4"/>
  <c r="G38" i="4"/>
  <c r="F329" i="4"/>
  <c r="F321" i="4"/>
  <c r="F313" i="4"/>
  <c r="F305" i="4"/>
  <c r="G295" i="4"/>
  <c r="F288" i="4"/>
  <c r="G286" i="4"/>
  <c r="G279" i="4"/>
  <c r="F272" i="4"/>
  <c r="G270" i="4"/>
  <c r="G263" i="4"/>
  <c r="D258" i="4"/>
  <c r="F256" i="4"/>
  <c r="G254" i="4"/>
  <c r="G252" i="4"/>
  <c r="G236" i="4"/>
  <c r="G220" i="4"/>
  <c r="G204" i="4"/>
  <c r="G188" i="4"/>
  <c r="D164" i="4"/>
  <c r="E164" i="4"/>
  <c r="F164" i="4"/>
  <c r="G164" i="4"/>
  <c r="F139" i="4"/>
  <c r="G139" i="4"/>
  <c r="D139" i="4"/>
  <c r="G134" i="4"/>
  <c r="D134" i="4"/>
  <c r="E134" i="4"/>
  <c r="F134" i="4"/>
  <c r="F295" i="4"/>
  <c r="F293" i="4"/>
  <c r="G284" i="4"/>
  <c r="F279" i="4"/>
  <c r="F277" i="4"/>
  <c r="G268" i="4"/>
  <c r="F263" i="4"/>
  <c r="F261" i="4"/>
  <c r="F252" i="4"/>
  <c r="E248" i="4"/>
  <c r="F248" i="4"/>
  <c r="F236" i="4"/>
  <c r="E232" i="4"/>
  <c r="F232" i="4"/>
  <c r="F220" i="4"/>
  <c r="E216" i="4"/>
  <c r="F216" i="4"/>
  <c r="F204" i="4"/>
  <c r="E200" i="4"/>
  <c r="F200" i="4"/>
  <c r="F188" i="4"/>
  <c r="E184" i="4"/>
  <c r="F184" i="4"/>
  <c r="E179" i="4"/>
  <c r="F179" i="4"/>
  <c r="G179" i="4"/>
  <c r="E168" i="4"/>
  <c r="F168" i="4"/>
  <c r="G168" i="4"/>
  <c r="G124" i="4"/>
  <c r="G108" i="4"/>
  <c r="D108" i="4"/>
  <c r="E108" i="4"/>
  <c r="G76" i="4"/>
  <c r="D76" i="4"/>
  <c r="E76" i="4"/>
  <c r="E12" i="4"/>
  <c r="F250" i="4"/>
  <c r="F242" i="4"/>
  <c r="F234" i="4"/>
  <c r="F226" i="4"/>
  <c r="F218" i="4"/>
  <c r="F210" i="4"/>
  <c r="F202" i="4"/>
  <c r="F194" i="4"/>
  <c r="F186" i="4"/>
  <c r="G181" i="4"/>
  <c r="F178" i="4"/>
  <c r="E173" i="4"/>
  <c r="E171" i="4"/>
  <c r="G167" i="4"/>
  <c r="E163" i="4"/>
  <c r="G159" i="4"/>
  <c r="E155" i="4"/>
  <c r="G151" i="4"/>
  <c r="E147" i="4"/>
  <c r="D133" i="4"/>
  <c r="E133" i="4"/>
  <c r="G133" i="4"/>
  <c r="F126" i="4"/>
  <c r="E120" i="4"/>
  <c r="F120" i="4"/>
  <c r="E181" i="4"/>
  <c r="F176" i="4"/>
  <c r="D167" i="4"/>
  <c r="D165" i="4"/>
  <c r="G165" i="4"/>
  <c r="D159" i="4"/>
  <c r="D157" i="4"/>
  <c r="G157" i="4"/>
  <c r="D151" i="4"/>
  <c r="D149" i="4"/>
  <c r="G149" i="4"/>
  <c r="D141" i="4"/>
  <c r="E141" i="4"/>
  <c r="G141" i="4"/>
  <c r="F132" i="4"/>
  <c r="D126" i="4"/>
  <c r="E123" i="4"/>
  <c r="D117" i="4"/>
  <c r="E117" i="4"/>
  <c r="G117" i="4"/>
  <c r="F110" i="4"/>
  <c r="D107" i="4"/>
  <c r="E107" i="4"/>
  <c r="F107" i="4"/>
  <c r="G107" i="4"/>
  <c r="D99" i="4"/>
  <c r="E99" i="4"/>
  <c r="F99" i="4"/>
  <c r="G99" i="4"/>
  <c r="G92" i="4"/>
  <c r="D92" i="4"/>
  <c r="G84" i="4"/>
  <c r="D84" i="4"/>
  <c r="D70" i="4"/>
  <c r="E70" i="4"/>
  <c r="F70" i="4"/>
  <c r="G70" i="4"/>
  <c r="E176" i="4"/>
  <c r="E132" i="4"/>
  <c r="E128" i="4"/>
  <c r="F128" i="4"/>
  <c r="D91" i="4"/>
  <c r="E91" i="4"/>
  <c r="F91" i="4"/>
  <c r="G91" i="4"/>
  <c r="D83" i="4"/>
  <c r="E83" i="4"/>
  <c r="F83" i="4"/>
  <c r="G83" i="4"/>
  <c r="F60" i="4"/>
  <c r="G60" i="4"/>
  <c r="D60" i="4"/>
  <c r="D46" i="4"/>
  <c r="E46" i="4"/>
  <c r="F46" i="4"/>
  <c r="G46" i="4"/>
  <c r="F28" i="4"/>
  <c r="G28" i="4"/>
  <c r="D28" i="4"/>
  <c r="D14" i="4"/>
  <c r="E14" i="4"/>
  <c r="F14" i="4"/>
  <c r="G14" i="4"/>
  <c r="F123" i="4"/>
  <c r="G123" i="4"/>
  <c r="E110" i="4"/>
  <c r="G110" i="4"/>
  <c r="E102" i="4"/>
  <c r="F102" i="4"/>
  <c r="G102" i="4"/>
  <c r="E78" i="4"/>
  <c r="F78" i="4"/>
  <c r="G78" i="4"/>
  <c r="D125" i="4"/>
  <c r="E125" i="4"/>
  <c r="G125" i="4"/>
  <c r="E94" i="4"/>
  <c r="F94" i="4"/>
  <c r="G94" i="4"/>
  <c r="E86" i="4"/>
  <c r="F86" i="4"/>
  <c r="G86" i="4"/>
  <c r="D54" i="4"/>
  <c r="E54" i="4"/>
  <c r="F54" i="4"/>
  <c r="G54" i="4"/>
  <c r="F36" i="4"/>
  <c r="G36" i="4"/>
  <c r="D36" i="4"/>
  <c r="D22" i="4"/>
  <c r="E22" i="4"/>
  <c r="F22" i="4"/>
  <c r="G22" i="4"/>
  <c r="G101" i="4"/>
  <c r="G93" i="4"/>
  <c r="G85" i="4"/>
  <c r="G77" i="4"/>
  <c r="G69" i="4"/>
  <c r="G61" i="4"/>
  <c r="G53" i="4"/>
  <c r="G45" i="4"/>
  <c r="G37" i="4"/>
  <c r="G29" i="4"/>
  <c r="G21" i="4"/>
  <c r="G13" i="4"/>
  <c r="G5" i="4"/>
  <c r="D4" i="4"/>
  <c r="F112" i="4"/>
  <c r="F104" i="4"/>
  <c r="E101" i="4"/>
  <c r="F96" i="4"/>
  <c r="E93" i="4"/>
  <c r="F88" i="4"/>
  <c r="E85" i="4"/>
  <c r="F80" i="4"/>
  <c r="E77" i="4"/>
  <c r="G75" i="4"/>
  <c r="F72" i="4"/>
  <c r="E69" i="4"/>
  <c r="G67" i="4"/>
  <c r="F64" i="4"/>
  <c r="E61" i="4"/>
  <c r="G59" i="4"/>
  <c r="F56" i="4"/>
  <c r="E53" i="4"/>
  <c r="G51" i="4"/>
  <c r="F48" i="4"/>
  <c r="E45" i="4"/>
  <c r="G43" i="4"/>
  <c r="F40" i="4"/>
  <c r="E37" i="4"/>
  <c r="G35" i="4"/>
  <c r="F32" i="4"/>
  <c r="E29" i="4"/>
  <c r="G27" i="4"/>
  <c r="F24" i="4"/>
  <c r="E21" i="4"/>
  <c r="G19" i="4"/>
  <c r="F16" i="4"/>
  <c r="E13" i="4"/>
  <c r="G11" i="4"/>
  <c r="F8" i="4"/>
  <c r="E5" i="4"/>
  <c r="G3" i="4"/>
  <c r="E80" i="4"/>
  <c r="F75" i="4"/>
  <c r="E72" i="4"/>
  <c r="F67" i="4"/>
  <c r="E64" i="4"/>
  <c r="F59" i="4"/>
  <c r="F51" i="4"/>
  <c r="F43" i="4"/>
  <c r="F35" i="4"/>
  <c r="E32" i="4"/>
  <c r="F27" i="4"/>
  <c r="E24" i="4"/>
  <c r="F19" i="4"/>
  <c r="E16" i="4"/>
  <c r="F11" i="4"/>
  <c r="E8" i="4"/>
  <c r="F3" i="4"/>
  <c r="E75" i="4"/>
  <c r="E67" i="4"/>
  <c r="E59" i="4"/>
  <c r="E51" i="4"/>
  <c r="E43" i="4"/>
  <c r="E35" i="4"/>
  <c r="E27" i="4"/>
  <c r="E19" i="4"/>
  <c r="E11" i="4"/>
  <c r="E3" i="4"/>
  <c r="G4" i="4"/>
  <c r="B8" i="8"/>
  <c r="B11" i="8"/>
  <c r="F24" i="3"/>
  <c r="F13" i="3"/>
  <c r="F16" i="3"/>
  <c r="F29" i="3"/>
  <c r="F5" i="3"/>
  <c r="F8" i="3"/>
  <c r="F21" i="3"/>
  <c r="B2" i="3"/>
  <c r="G2" i="3" s="1"/>
  <c r="C2" i="3"/>
  <c r="E2" i="3"/>
  <c r="D2" i="3"/>
  <c r="F26" i="3"/>
  <c r="F18" i="3"/>
  <c r="F10" i="3"/>
  <c r="F31" i="3"/>
  <c r="F23" i="3"/>
  <c r="F15" i="3"/>
  <c r="F7" i="3"/>
  <c r="F28" i="3"/>
  <c r="F20" i="3"/>
  <c r="F12" i="3"/>
  <c r="F4" i="3"/>
  <c r="F25" i="3"/>
  <c r="F17" i="3"/>
  <c r="F9" i="3"/>
  <c r="F30" i="3"/>
  <c r="F6" i="3"/>
  <c r="F22" i="3"/>
  <c r="F14" i="3"/>
  <c r="F27" i="3"/>
  <c r="F19" i="3"/>
  <c r="F11" i="3"/>
  <c r="F3" i="3"/>
  <c r="F2" i="3" l="1"/>
</calcChain>
</file>

<file path=xl/sharedStrings.xml><?xml version="1.0" encoding="utf-8"?>
<sst xmlns="http://schemas.openxmlformats.org/spreadsheetml/2006/main" count="170" uniqueCount="129">
  <si>
    <t>A</t>
  </si>
  <si>
    <t>B</t>
  </si>
  <si>
    <t>C</t>
  </si>
  <si>
    <t>Interval length</t>
  </si>
  <si>
    <t>Energy tariff</t>
  </si>
  <si>
    <t>Daily supply charge</t>
  </si>
  <si>
    <t>Demand charge</t>
  </si>
  <si>
    <t>Feed-in tariff</t>
  </si>
  <si>
    <t>Emissions factor</t>
  </si>
  <si>
    <t>Solar PV size</t>
  </si>
  <si>
    <t>Solar system cost</t>
  </si>
  <si>
    <t>hours</t>
  </si>
  <si>
    <t>$/kWh</t>
  </si>
  <si>
    <t>$/day</t>
  </si>
  <si>
    <t>$kW/month</t>
  </si>
  <si>
    <t>kg CO2/kWh</t>
  </si>
  <si>
    <t>kW</t>
  </si>
  <si>
    <t>$/kW</t>
  </si>
  <si>
    <t>Date/Time</t>
  </si>
  <si>
    <t>Demand_kW</t>
  </si>
  <si>
    <t>Date</t>
  </si>
  <si>
    <t>Hour</t>
  </si>
  <si>
    <t>Day</t>
  </si>
  <si>
    <t>Interval_h</t>
  </si>
  <si>
    <t>Energy_kWh</t>
  </si>
  <si>
    <t>Daily_Energy_kWh</t>
  </si>
  <si>
    <t>Peak_Demand_kW</t>
  </si>
  <si>
    <t>Average_Demand_kW</t>
  </si>
  <si>
    <t>Min_Demand_kW</t>
  </si>
  <si>
    <t>Load_Factor</t>
  </si>
  <si>
    <t>Daily_Cost</t>
  </si>
  <si>
    <t>Metric</t>
  </si>
  <si>
    <t>Value</t>
  </si>
  <si>
    <t>Unit</t>
  </si>
  <si>
    <t>Total Energy used</t>
  </si>
  <si>
    <t>Maximum demand</t>
  </si>
  <si>
    <t>Minimum demand</t>
  </si>
  <si>
    <t>Load factor</t>
  </si>
  <si>
    <t>Number of days</t>
  </si>
  <si>
    <t>Energy cost</t>
  </si>
  <si>
    <t>Demand cost</t>
  </si>
  <si>
    <t>Supply charge</t>
  </si>
  <si>
    <t>Total estimated bill</t>
  </si>
  <si>
    <t>Average overnight base load</t>
  </si>
  <si>
    <t>Estimated emissions</t>
  </si>
  <si>
    <t>Monthly base load energy</t>
  </si>
  <si>
    <t>Monthly base load cost</t>
  </si>
  <si>
    <t>kWh</t>
  </si>
  <si>
    <t>%</t>
  </si>
  <si>
    <t>days</t>
  </si>
  <si>
    <t>$</t>
  </si>
  <si>
    <t>kg CO2</t>
  </si>
  <si>
    <t>Average demand</t>
  </si>
  <si>
    <t>Building_Demand_Kw</t>
  </si>
  <si>
    <t>Solar_Generation_Kw</t>
  </si>
  <si>
    <t>Net_Grid_Demand_kW</t>
  </si>
  <si>
    <t>Solar_Self_Consumed_kWh</t>
  </si>
  <si>
    <t>Export_kWh</t>
  </si>
  <si>
    <t>Grid_Import_kWh</t>
  </si>
  <si>
    <t>Total solar generation</t>
  </si>
  <si>
    <t>Solar self-consumed</t>
  </si>
  <si>
    <t>Exported energy</t>
  </si>
  <si>
    <t>Grid import after solar</t>
  </si>
  <si>
    <t>Self-consumption ratio</t>
  </si>
  <si>
    <t>Solar savings</t>
  </si>
  <si>
    <t>Export revenue</t>
  </si>
  <si>
    <t>New energy cost</t>
  </si>
  <si>
    <t>Total monthly solar benefit</t>
  </si>
  <si>
    <t xml:space="preserve">Solar system estimated cost </t>
  </si>
  <si>
    <t>Simple payback</t>
  </si>
  <si>
    <t>years</t>
  </si>
  <si>
    <t>Solar Energy Type</t>
  </si>
  <si>
    <t>Self-consumed</t>
  </si>
  <si>
    <t>Exported</t>
  </si>
  <si>
    <t>Small Commercial Building Energy Analysis Dashboard</t>
  </si>
  <si>
    <t>Key Metrics:</t>
  </si>
  <si>
    <t>Total Energy Used</t>
  </si>
  <si>
    <t>Peak Demand</t>
  </si>
  <si>
    <t>Estimated Bill before Solar</t>
  </si>
  <si>
    <t>Estimated Emissions</t>
  </si>
  <si>
    <t>Overnight Base Load</t>
  </si>
  <si>
    <t>Solar Scenario</t>
  </si>
  <si>
    <t>Solar PV Size</t>
  </si>
  <si>
    <t>Grid Import After Solar</t>
  </si>
  <si>
    <t>Solar Self-Consumption</t>
  </si>
  <si>
    <t>Monthly Solar Benefit</t>
  </si>
  <si>
    <t>Simple Payback</t>
  </si>
  <si>
    <t>Scenario</t>
  </si>
  <si>
    <t>Energy (kWh)</t>
  </si>
  <si>
    <t>Original Building Demand</t>
  </si>
  <si>
    <t xml:space="preserve">This dashboard shows how much electricity a small commercial building uses over a 30-day (monthly) period. The original building demand was compared with a simulated 30 kW rooftop solar system.  </t>
  </si>
  <si>
    <t xml:space="preserve">In this project, the results obtained show that the solar generation can significantly reduce the amount of electricity imported from the grid during daytime hours. Most of the solar energy is found to have </t>
  </si>
  <si>
    <t xml:space="preserve">been directly used by the building, while excess solar is exported back to the grid when generation is higher than demand. </t>
  </si>
  <si>
    <t>How to read these results:</t>
  </si>
  <si>
    <t xml:space="preserve">2) kWh measures total energy used over time, this is what electricity bills are mainly based on. </t>
  </si>
  <si>
    <t>1) kW measures power at a specific moment in time, similar to how fast electricity is being used.</t>
  </si>
  <si>
    <t>5) Exported solar means extra solar energy sent back to the grid.</t>
  </si>
  <si>
    <t>3) Grid import means electricity brought in from the grid.</t>
  </si>
  <si>
    <t>4) Solar self-consumed means solar energy used directly by the building.</t>
  </si>
  <si>
    <t>Made by Rohan Ramjutton</t>
  </si>
  <si>
    <t>Figure 1:</t>
  </si>
  <si>
    <t>Figure 2:</t>
  </si>
  <si>
    <t xml:space="preserve">Figure 1 shows how much electricity the building used each day during the 30-day period. Higher bars </t>
  </si>
  <si>
    <t xml:space="preserve">indicate days with greater total energy use. </t>
  </si>
  <si>
    <t>Figure 2 shows the higher power demand reached each day for 30 days. This is important as commercial sites</t>
  </si>
  <si>
    <t>may be charged based on peak demand (the amount of energy used during the peak hour)</t>
  </si>
  <si>
    <t>Figure 3:</t>
  </si>
  <si>
    <t xml:space="preserve">Figure 3 compares the building's electricity demand with the simulated solar generation profile. Solar generation rises during the day and falls to zero overnight as expected. </t>
  </si>
  <si>
    <t>Figure 4:</t>
  </si>
  <si>
    <t>Figure 5:</t>
  </si>
  <si>
    <t>Figure 5 shows how much generated solar energy was used directly by the building compared with how much was exported back to</t>
  </si>
  <si>
    <t>the grid.</t>
  </si>
  <si>
    <t>30-day load profile analysis with a 30 kW rooftop solar PV scenario</t>
  </si>
  <si>
    <t>Key Insights:</t>
  </si>
  <si>
    <t>1) The building used 8130 kWh over the 30-day period, with demand mainly increasing during business hours (midday).</t>
  </si>
  <si>
    <t xml:space="preserve">3) Around 81.29% of generated solar energy was used directly by the building, while the remaining solar energy was exported to the grid. </t>
  </si>
  <si>
    <t xml:space="preserve">4) The estimated monthly solar benefit was approximately $1627, giving a simple payback of around 1.84 years under the assumed costs and tariffs. </t>
  </si>
  <si>
    <t xml:space="preserve">5) The overnight base load of 2.39 kW suggests some equipment remains active outside operating hours, as expected for a commercial business. </t>
  </si>
  <si>
    <t>**Project assumptions have been listed at the bottom of this dashboard**</t>
  </si>
  <si>
    <t xml:space="preserve">Project Assumptions: </t>
  </si>
  <si>
    <t xml:space="preserve">1) The load data is simulated for a small commercial building over a 30-day period. </t>
  </si>
  <si>
    <t xml:space="preserve">2) Electricity demand is recorded in 30-minute intervals. </t>
  </si>
  <si>
    <t>3) Energy is calculated using: Energy (kWh) = Demand (kW) * 0.5 hours</t>
  </si>
  <si>
    <t xml:space="preserve">4) A 30 Kw rooftop solar PV system is modelled using a simplified daytime generation curve. </t>
  </si>
  <si>
    <t xml:space="preserve">5) Solar generation is assumed to peak around midday and fall to 0 overnight. </t>
  </si>
  <si>
    <t xml:space="preserve">6) Electricity tariff, demand charge, supply charge and feed-in tariff values are all assumed for analysis. </t>
  </si>
  <si>
    <t xml:space="preserve">7) The analysis does not include detailed electrical design, weather variation, panel orientation, grid connection approval or roof structural assessment. </t>
  </si>
  <si>
    <t xml:space="preserve">This figure 4 shows that the 30 kW solar scenario reduces grid electricity import from 8130 kWh to approximately 2549 kWh. </t>
  </si>
  <si>
    <t xml:space="preserve">2) The 30 kW rooftop solar scenario reduced estimated grid import from 8130 kWh to approximatelly 2549 kWh, showing strong allignment between solar generation and daytime building demand.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</si>
</sst>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hh:mm"/>
  </numFmts>
  <fonts count="14"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
      <name val="Aptos Narrow"/>
      <family val="2"/>
      <scheme val="minor"/>
    </font>
    <font>
      <b/>
      <sz val="28"/>
      <color theme="1"/>
      <name val="Aptos Narrow"/>
      <family val="2"/>
      <scheme val="minor"/>
    </font>
    <font>
      <sz val="16"/>
      <color theme="1"/>
      <name val="Aptos Narrow"/>
      <family val="2"/>
      <scheme val="minor"/>
    </font>
    <font>
      <b/>
      <sz val="14"/>
      <color theme="1"/>
      <name val="Aptos Narrow"/>
      <family val="2"/>
      <scheme val="minor"/>
    </font>
    <font>
      <b/>
      <sz val="14"/>
      <color theme="0"/>
      <name val="Aptos Narrow"/>
      <family val="2"/>
      <scheme val="minor"/>
    </font>
    <font>
      <sz val="8"/>
      <name val="Aptos Narrow"/>
      <family val="2"/>
      <scheme val="minor"/>
    </font>
    <font>
      <u/>
      <sz val="14"/>
      <color theme="1"/>
      <name val="Aptos Narrow"/>
      <family val="2"/>
      <scheme val="minor"/>
    </font>
    <font>
      <b/>
      <sz val="18"/>
      <color theme="1"/>
      <name val="Aptos Narrow"/>
      <family val="2"/>
      <scheme val="minor"/>
    </font>
    <font>
      <sz val="18"/>
      <color theme="1"/>
      <name val="Aptos Narrow"/>
      <family val="2"/>
      <scheme val="minor"/>
    </font>
    <font>
      <b/>
      <sz val="15"/>
      <color theme="1"/>
      <name val="Aptos Narrow"/>
      <family val="2"/>
      <scheme val="minor"/>
    </font>
    <font>
      <sz val="15"/>
      <color theme="1"/>
      <name val="Aptos Narrow"/>
      <family val="2"/>
      <scheme val="minor"/>
    </font>
  </fonts>
  <fills count="6">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7"/>
        <bgColor theme="7"/>
      </patternFill>
    </fill>
    <fill>
      <patternFill patternType="solid">
        <fgColor theme="7" tint="0.79998168889431442"/>
        <bgColor theme="7" tint="0.79998168889431442"/>
      </patternFill>
    </fill>
  </fills>
  <borders count="13">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theme="8" tint="0.39997558519241921"/>
      </left>
      <right/>
      <top style="thin">
        <color theme="8" tint="0.39997558519241921"/>
      </top>
      <bottom/>
      <diagonal/>
    </border>
    <border>
      <left/>
      <right/>
      <top style="thin">
        <color theme="8" tint="0.39997558519241921"/>
      </top>
      <bottom/>
      <diagonal/>
    </border>
    <border>
      <left/>
      <right style="thin">
        <color theme="8" tint="0.39997558519241921"/>
      </right>
      <top style="thin">
        <color theme="8" tint="0.39997558519241921"/>
      </top>
      <bottom/>
      <diagonal/>
    </border>
    <border>
      <left style="thin">
        <color theme="7" tint="0.39997558519241921"/>
      </left>
      <right/>
      <top style="thin">
        <color theme="7" tint="0.39997558519241921"/>
      </top>
      <bottom/>
      <diagonal/>
    </border>
    <border>
      <left/>
      <right/>
      <top style="thin">
        <color theme="7" tint="0.39997558519241921"/>
      </top>
      <bottom/>
      <diagonal/>
    </border>
    <border>
      <left/>
      <right style="thin">
        <color theme="7" tint="0.39997558519241921"/>
      </right>
      <top style="thin">
        <color theme="7" tint="0.39997558519241921"/>
      </top>
      <bottom/>
      <diagonal/>
    </border>
  </borders>
  <cellStyleXfs count="1">
    <xf numFmtId="0" fontId="0" fillId="0" borderId="0"/>
  </cellStyleXfs>
  <cellXfs count="42">
    <xf numFmtId="0" fontId="0" fillId="0" borderId="0" xfId="0"/>
    <xf numFmtId="0" fontId="0" fillId="0" borderId="0" xfId="0" applyAlignment="1">
      <alignment horizontal="left"/>
    </xf>
    <xf numFmtId="164" fontId="0" fillId="0" borderId="0" xfId="0" applyNumberFormat="1"/>
    <xf numFmtId="15" fontId="0" fillId="0" borderId="0" xfId="0" applyNumberFormat="1"/>
    <xf numFmtId="0" fontId="3" fillId="0" borderId="0" xfId="0" applyFont="1"/>
    <xf numFmtId="22" fontId="0" fillId="0" borderId="0" xfId="0" applyNumberFormat="1"/>
    <xf numFmtId="0" fontId="4" fillId="0" borderId="0" xfId="0" applyFont="1"/>
    <xf numFmtId="0" fontId="5" fillId="0" borderId="0" xfId="0" applyFont="1"/>
    <xf numFmtId="0" fontId="6" fillId="0" borderId="0" xfId="0" applyFont="1"/>
    <xf numFmtId="0" fontId="0" fillId="3" borderId="1" xfId="0" applyFill="1" applyBorder="1"/>
    <xf numFmtId="0" fontId="0" fillId="3" borderId="3" xfId="0" applyFill="1" applyBorder="1"/>
    <xf numFmtId="0" fontId="0" fillId="5" borderId="4" xfId="0" applyFill="1" applyBorder="1"/>
    <xf numFmtId="0" fontId="0" fillId="5" borderId="6" xfId="0" applyFill="1" applyBorder="1"/>
    <xf numFmtId="2" fontId="0" fillId="0" borderId="0" xfId="0" applyNumberFormat="1" applyAlignment="1">
      <alignment horizontal="left"/>
    </xf>
    <xf numFmtId="0" fontId="7" fillId="2" borderId="7" xfId="0" applyFont="1" applyFill="1" applyBorder="1"/>
    <xf numFmtId="0" fontId="1" fillId="2" borderId="8" xfId="0" applyFont="1" applyFill="1" applyBorder="1"/>
    <xf numFmtId="0" fontId="1" fillId="2" borderId="9" xfId="0" applyFont="1" applyFill="1" applyBorder="1"/>
    <xf numFmtId="0" fontId="0" fillId="3" borderId="7" xfId="0" applyFill="1" applyBorder="1"/>
    <xf numFmtId="2" fontId="0" fillId="3" borderId="8" xfId="0" applyNumberFormat="1" applyFill="1" applyBorder="1" applyAlignment="1">
      <alignment horizontal="left"/>
    </xf>
    <xf numFmtId="0" fontId="0" fillId="3" borderId="9" xfId="0" applyFill="1" applyBorder="1"/>
    <xf numFmtId="0" fontId="0" fillId="0" borderId="7" xfId="0" applyBorder="1"/>
    <xf numFmtId="2" fontId="0" fillId="0" borderId="8" xfId="0" applyNumberFormat="1" applyBorder="1" applyAlignment="1">
      <alignment horizontal="left"/>
    </xf>
    <xf numFmtId="0" fontId="0" fillId="0" borderId="9" xfId="0" applyBorder="1"/>
    <xf numFmtId="2" fontId="0" fillId="3" borderId="2" xfId="0" applyNumberFormat="1" applyFill="1" applyBorder="1" applyAlignment="1">
      <alignment horizontal="left"/>
    </xf>
    <xf numFmtId="0" fontId="1" fillId="4" borderId="10" xfId="0" applyFont="1" applyFill="1" applyBorder="1"/>
    <xf numFmtId="0" fontId="1" fillId="4" borderId="11" xfId="0" applyFont="1" applyFill="1" applyBorder="1"/>
    <xf numFmtId="0" fontId="1" fillId="4" borderId="12" xfId="0" applyFont="1" applyFill="1" applyBorder="1"/>
    <xf numFmtId="0" fontId="0" fillId="5" borderId="10" xfId="0" applyFill="1" applyBorder="1"/>
    <xf numFmtId="2" fontId="0" fillId="5" borderId="11" xfId="0" applyNumberFormat="1" applyFill="1" applyBorder="1" applyAlignment="1">
      <alignment horizontal="left"/>
    </xf>
    <xf numFmtId="0" fontId="0" fillId="5" borderId="12" xfId="0" applyFill="1" applyBorder="1"/>
    <xf numFmtId="0" fontId="0" fillId="0" borderId="10" xfId="0" applyBorder="1"/>
    <xf numFmtId="2" fontId="0" fillId="0" borderId="11" xfId="0" applyNumberFormat="1" applyBorder="1" applyAlignment="1">
      <alignment horizontal="left"/>
    </xf>
    <xf numFmtId="0" fontId="0" fillId="0" borderId="12" xfId="0" applyBorder="1"/>
    <xf numFmtId="2" fontId="0" fillId="5" borderId="5" xfId="0" applyNumberFormat="1" applyFill="1" applyBorder="1" applyAlignment="1">
      <alignment horizontal="left"/>
    </xf>
    <xf numFmtId="0" fontId="2" fillId="0" borderId="0" xfId="0" applyFont="1"/>
    <xf numFmtId="0" fontId="9" fillId="0" borderId="0" xfId="0" applyFont="1"/>
    <xf numFmtId="0" fontId="2" fillId="3" borderId="0" xfId="0" applyFont="1" applyFill="1"/>
    <xf numFmtId="0" fontId="2" fillId="5" borderId="0" xfId="0" applyFont="1" applyFill="1"/>
    <xf numFmtId="0" fontId="10" fillId="0" borderId="0" xfId="0" applyFont="1"/>
    <xf numFmtId="0" fontId="11" fillId="0" borderId="0" xfId="0" applyFont="1"/>
    <xf numFmtId="0" fontId="12" fillId="0" borderId="0" xfId="0" applyFont="1"/>
    <xf numFmtId="0" fontId="13" fillId="0" borderId="0" xfId="0" applyFont="1"/>
  </cellXfs>
  <cellStyles count="1">
    <cellStyle name="Normal" xfId="0" builtinId="0"/>
  </cellStyles>
  <dxfs count="6">
    <dxf>
      <numFmt numFmtId="27" formatCode="dd/mm/yy\ h:mm"/>
    </dxf>
    <dxf>
      <numFmt numFmtId="20" formatCode="dd\-mmm\-yy"/>
    </dxf>
    <dxf>
      <alignment horizontal="left" vertical="bottom" textRotation="0" wrapText="0" indent="0" justifyLastLine="0" shrinkToFit="0" readingOrder="0"/>
    </dxf>
    <dxf>
      <numFmt numFmtId="164" formatCode="dd/mm/yy\ hh:mm"/>
    </dxf>
    <dxf>
      <numFmt numFmtId="164" formatCode="dd/mm/yy\ hh:mm"/>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Daily Energy Consumption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'Daily Summary'!$B$1</c:f>
              <c:strCache>
                <c:ptCount val="1"/>
                <c:pt idx="0">
                  <c:v>Daily_Energy_kWh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'Daily Summary'!$A$2:$A$31</c:f>
              <c:numCache>
                <c:formatCode>d\-mmm\-yy</c:formatCode>
                <c:ptCount val="30"/>
                <c:pt idx="0">
                  <c:v>46204</c:v>
                </c:pt>
                <c:pt idx="1">
                  <c:v>46205</c:v>
                </c:pt>
                <c:pt idx="2">
                  <c:v>46206</c:v>
                </c:pt>
                <c:pt idx="3">
                  <c:v>46207</c:v>
                </c:pt>
                <c:pt idx="4">
                  <c:v>46208</c:v>
                </c:pt>
                <c:pt idx="5">
                  <c:v>46209</c:v>
                </c:pt>
                <c:pt idx="6">
                  <c:v>46210</c:v>
                </c:pt>
                <c:pt idx="7">
                  <c:v>46211</c:v>
                </c:pt>
                <c:pt idx="8">
                  <c:v>46212</c:v>
                </c:pt>
                <c:pt idx="9">
                  <c:v>46213</c:v>
                </c:pt>
                <c:pt idx="10">
                  <c:v>46214</c:v>
                </c:pt>
                <c:pt idx="11">
                  <c:v>46215</c:v>
                </c:pt>
                <c:pt idx="12">
                  <c:v>46216</c:v>
                </c:pt>
                <c:pt idx="13">
                  <c:v>46217</c:v>
                </c:pt>
                <c:pt idx="14">
                  <c:v>46218</c:v>
                </c:pt>
                <c:pt idx="15">
                  <c:v>46219</c:v>
                </c:pt>
                <c:pt idx="16">
                  <c:v>46220</c:v>
                </c:pt>
                <c:pt idx="17">
                  <c:v>46221</c:v>
                </c:pt>
                <c:pt idx="18">
                  <c:v>46222</c:v>
                </c:pt>
                <c:pt idx="19">
                  <c:v>46223</c:v>
                </c:pt>
                <c:pt idx="20">
                  <c:v>46224</c:v>
                </c:pt>
                <c:pt idx="21">
                  <c:v>46225</c:v>
                </c:pt>
                <c:pt idx="22">
                  <c:v>46226</c:v>
                </c:pt>
                <c:pt idx="23">
                  <c:v>46227</c:v>
                </c:pt>
                <c:pt idx="24">
                  <c:v>46228</c:v>
                </c:pt>
                <c:pt idx="25">
                  <c:v>46229</c:v>
                </c:pt>
                <c:pt idx="26">
                  <c:v>46230</c:v>
                </c:pt>
                <c:pt idx="27">
                  <c:v>46231</c:v>
                </c:pt>
                <c:pt idx="28">
                  <c:v>46232</c:v>
                </c:pt>
                <c:pt idx="29">
                  <c:v>46233</c:v>
                </c:pt>
              </c:numCache>
            </c:numRef>
          </c:cat>
          <c:val>
            <c:numRef>
              <c:f>'Daily Summary'!$B$2:$B$31</c:f>
              <c:numCache>
                <c:formatCode>General</c:formatCode>
                <c:ptCount val="30"/>
                <c:pt idx="0">
                  <c:v>276.29999999999995</c:v>
                </c:pt>
                <c:pt idx="1">
                  <c:v>264.39999999999986</c:v>
                </c:pt>
                <c:pt idx="2">
                  <c:v>271.60000000000008</c:v>
                </c:pt>
                <c:pt idx="3">
                  <c:v>261.34999999999997</c:v>
                </c:pt>
                <c:pt idx="4">
                  <c:v>271.3</c:v>
                </c:pt>
                <c:pt idx="5">
                  <c:v>261.65000000000003</c:v>
                </c:pt>
                <c:pt idx="6">
                  <c:v>269.59999999999997</c:v>
                </c:pt>
                <c:pt idx="7">
                  <c:v>282.40000000000003</c:v>
                </c:pt>
                <c:pt idx="8">
                  <c:v>284.55</c:v>
                </c:pt>
                <c:pt idx="9">
                  <c:v>278.95</c:v>
                </c:pt>
                <c:pt idx="10">
                  <c:v>278.10000000000002</c:v>
                </c:pt>
                <c:pt idx="11">
                  <c:v>266.75</c:v>
                </c:pt>
                <c:pt idx="12">
                  <c:v>270.45000000000005</c:v>
                </c:pt>
                <c:pt idx="13">
                  <c:v>279.50000000000011</c:v>
                </c:pt>
                <c:pt idx="14">
                  <c:v>270.70000000000005</c:v>
                </c:pt>
                <c:pt idx="15">
                  <c:v>270.2</c:v>
                </c:pt>
                <c:pt idx="16">
                  <c:v>257.25</c:v>
                </c:pt>
                <c:pt idx="17">
                  <c:v>268.45000000000005</c:v>
                </c:pt>
                <c:pt idx="18">
                  <c:v>262.30000000000007</c:v>
                </c:pt>
                <c:pt idx="19">
                  <c:v>271.90000000000003</c:v>
                </c:pt>
                <c:pt idx="20">
                  <c:v>263.15000000000003</c:v>
                </c:pt>
                <c:pt idx="21">
                  <c:v>258.60000000000002</c:v>
                </c:pt>
                <c:pt idx="22">
                  <c:v>285.3</c:v>
                </c:pt>
                <c:pt idx="23">
                  <c:v>268.79999999999995</c:v>
                </c:pt>
                <c:pt idx="24">
                  <c:v>264.14999999999998</c:v>
                </c:pt>
                <c:pt idx="25">
                  <c:v>287.7</c:v>
                </c:pt>
                <c:pt idx="26">
                  <c:v>264.25</c:v>
                </c:pt>
                <c:pt idx="27">
                  <c:v>277.35000000000014</c:v>
                </c:pt>
                <c:pt idx="28">
                  <c:v>278.20000000000005</c:v>
                </c:pt>
                <c:pt idx="29">
                  <c:v>264.79999999999995</c:v>
                </c:pt>
              </c:numCache>
            </c:numRef>
          </c:val>
          <c:extLst>
            <c:ext xmlns:c16="http://schemas.microsoft.com/office/drawing/2014/chart" uri="{C3380CC4-5D6E-409C-BE32-E72D297353CC}">
              <c16:uniqueId val="{00000000-AB3B-4DC7-9904-5B6BBB7CDF8C}"/>
            </c:ext>
          </c:extLst>
        </c:ser>
        <c:dLbls>
          <c:showLegendKey val="0"/>
          <c:showVal val="0"/>
          <c:showCatName val="0"/>
          <c:showSerName val="0"/>
          <c:showPercent val="0"/>
          <c:showBubbleSize val="0"/>
        </c:dLbls>
        <c:gapWidth val="100"/>
        <c:overlap val="-24"/>
        <c:axId val="2067658847"/>
        <c:axId val="2067659327"/>
      </c:barChart>
      <c:dateAx>
        <c:axId val="206765884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d\-mm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59327"/>
        <c:crosses val="autoZero"/>
        <c:auto val="1"/>
        <c:lblOffset val="100"/>
        <c:baseTimeUnit val="days"/>
      </c:dateAx>
      <c:valAx>
        <c:axId val="206765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Energy Used (kWh)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5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Daily Peak Demand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'Daily Summary'!$C$1</c:f>
              <c:strCache>
                <c:ptCount val="1"/>
                <c:pt idx="0">
                  <c:v>Peak_Demand_kW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'Daily Summary'!$C$2:$C$31</c:f>
              <c:numCache>
                <c:formatCode>General</c:formatCode>
                <c:ptCount val="30"/>
                <c:pt idx="0">
                  <c:v>33.299999999999997</c:v>
                </c:pt>
                <c:pt idx="1">
                  <c:v>31.5</c:v>
                </c:pt>
                <c:pt idx="2">
                  <c:v>34.299999999999997</c:v>
                </c:pt>
                <c:pt idx="3">
                  <c:v>31.7</c:v>
                </c:pt>
                <c:pt idx="4">
                  <c:v>34.9</c:v>
                </c:pt>
                <c:pt idx="5">
                  <c:v>34.700000000000003</c:v>
                </c:pt>
                <c:pt idx="6">
                  <c:v>33.9</c:v>
                </c:pt>
                <c:pt idx="7">
                  <c:v>34.1</c:v>
                </c:pt>
                <c:pt idx="8">
                  <c:v>34.4</c:v>
                </c:pt>
                <c:pt idx="9">
                  <c:v>34.1</c:v>
                </c:pt>
                <c:pt idx="10">
                  <c:v>34.1</c:v>
                </c:pt>
                <c:pt idx="11">
                  <c:v>30.5</c:v>
                </c:pt>
                <c:pt idx="12">
                  <c:v>34.9</c:v>
                </c:pt>
                <c:pt idx="13">
                  <c:v>34.1</c:v>
                </c:pt>
                <c:pt idx="14">
                  <c:v>34.6</c:v>
                </c:pt>
                <c:pt idx="15">
                  <c:v>34.9</c:v>
                </c:pt>
                <c:pt idx="16">
                  <c:v>30.5</c:v>
                </c:pt>
                <c:pt idx="17">
                  <c:v>31.7</c:v>
                </c:pt>
                <c:pt idx="18">
                  <c:v>29.9</c:v>
                </c:pt>
                <c:pt idx="19">
                  <c:v>33.9</c:v>
                </c:pt>
                <c:pt idx="20">
                  <c:v>32.200000000000003</c:v>
                </c:pt>
                <c:pt idx="21">
                  <c:v>31.6</c:v>
                </c:pt>
                <c:pt idx="22">
                  <c:v>33.200000000000003</c:v>
                </c:pt>
                <c:pt idx="23">
                  <c:v>34.200000000000003</c:v>
                </c:pt>
                <c:pt idx="24">
                  <c:v>33.700000000000003</c:v>
                </c:pt>
                <c:pt idx="25">
                  <c:v>33.200000000000003</c:v>
                </c:pt>
                <c:pt idx="26">
                  <c:v>32.799999999999997</c:v>
                </c:pt>
                <c:pt idx="27">
                  <c:v>34.700000000000003</c:v>
                </c:pt>
                <c:pt idx="28">
                  <c:v>33.1</c:v>
                </c:pt>
                <c:pt idx="29">
                  <c:v>33.700000000000003</c:v>
                </c:pt>
              </c:numCache>
            </c:numRef>
          </c:val>
          <c:extLst>
            <c:ext xmlns:c16="http://schemas.microsoft.com/office/drawing/2014/chart" uri="{C3380CC4-5D6E-409C-BE32-E72D297353CC}">
              <c16:uniqueId val="{00000000-2123-4694-A33B-99E4F1D9E8D9}"/>
            </c:ext>
          </c:extLst>
        </c:ser>
        <c:dLbls>
          <c:showLegendKey val="0"/>
          <c:showVal val="0"/>
          <c:showCatName val="0"/>
          <c:showSerName val="0"/>
          <c:showPercent val="0"/>
          <c:showBubbleSize val="0"/>
        </c:dLbls>
        <c:gapWidth val="100"/>
        <c:overlap val="-24"/>
        <c:axId val="132457007"/>
        <c:axId val="132457967"/>
      </c:barChart>
      <c:catAx>
        <c:axId val="1324570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7967"/>
        <c:crosses val="autoZero"/>
        <c:auto val="1"/>
        <c:lblAlgn val="ctr"/>
        <c:lblOffset val="100"/>
        <c:noMultiLvlLbl val="0"/>
      </c:catAx>
      <c:valAx>
        <c:axId val="132457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Peak Demand (kW)</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Load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Summary'!$F$1</c:f>
              <c:strCache>
                <c:ptCount val="1"/>
                <c:pt idx="0">
                  <c:v>Load_Factor</c:v>
                </c:pt>
              </c:strCache>
            </c:strRef>
          </c:tx>
          <c:spPr>
            <a:ln w="28575" cap="rnd">
              <a:solidFill>
                <a:schemeClr val="accent1"/>
              </a:solidFill>
              <a:round/>
            </a:ln>
            <a:effectLst/>
          </c:spPr>
          <c:marker>
            <c:symbol val="none"/>
          </c:marker>
          <c:val>
            <c:numRef>
              <c:f>'Daily Summary'!$F$2:$F$31</c:f>
              <c:numCache>
                <c:formatCode>General</c:formatCode>
                <c:ptCount val="30"/>
                <c:pt idx="0">
                  <c:v>0.34572072072072069</c:v>
                </c:pt>
                <c:pt idx="1">
                  <c:v>0.34973544973544951</c:v>
                </c:pt>
                <c:pt idx="2">
                  <c:v>0.32993197278911579</c:v>
                </c:pt>
                <c:pt idx="3">
                  <c:v>0.34351997896950576</c:v>
                </c:pt>
                <c:pt idx="4">
                  <c:v>0.32390162368672398</c:v>
                </c:pt>
                <c:pt idx="5">
                  <c:v>0.31418107588856869</c:v>
                </c:pt>
                <c:pt idx="6">
                  <c:v>0.33136676499508355</c:v>
                </c:pt>
                <c:pt idx="7">
                  <c:v>0.34506353861192574</c:v>
                </c:pt>
                <c:pt idx="8">
                  <c:v>0.34465843023255821</c:v>
                </c:pt>
                <c:pt idx="9">
                  <c:v>0.34084799608993155</c:v>
                </c:pt>
                <c:pt idx="10">
                  <c:v>0.33980938416422285</c:v>
                </c:pt>
                <c:pt idx="11">
                  <c:v>0.36441256830601093</c:v>
                </c:pt>
                <c:pt idx="12">
                  <c:v>0.32288681948424075</c:v>
                </c:pt>
                <c:pt idx="13">
                  <c:v>0.34152003910068435</c:v>
                </c:pt>
                <c:pt idx="14">
                  <c:v>0.32598747591522165</c:v>
                </c:pt>
                <c:pt idx="15">
                  <c:v>0.3225883476599809</c:v>
                </c:pt>
                <c:pt idx="16">
                  <c:v>0.35143442622950821</c:v>
                </c:pt>
                <c:pt idx="17">
                  <c:v>0.35285226077812837</c:v>
                </c:pt>
                <c:pt idx="18">
                  <c:v>0.36552396878483845</c:v>
                </c:pt>
                <c:pt idx="19">
                  <c:v>0.33419370698131762</c:v>
                </c:pt>
                <c:pt idx="20">
                  <c:v>0.34051501035196691</c:v>
                </c:pt>
                <c:pt idx="21">
                  <c:v>0.34098101265822783</c:v>
                </c:pt>
                <c:pt idx="22">
                  <c:v>0.35805722891566266</c:v>
                </c:pt>
                <c:pt idx="23">
                  <c:v>0.32748538011695899</c:v>
                </c:pt>
                <c:pt idx="24">
                  <c:v>0.3265949554896142</c:v>
                </c:pt>
                <c:pt idx="25">
                  <c:v>0.36106927710843367</c:v>
                </c:pt>
                <c:pt idx="26">
                  <c:v>0.3356834349593496</c:v>
                </c:pt>
                <c:pt idx="27">
                  <c:v>0.33303314121037475</c:v>
                </c:pt>
                <c:pt idx="28">
                  <c:v>0.3502014098690836</c:v>
                </c:pt>
                <c:pt idx="29">
                  <c:v>0.32739861523244307</c:v>
                </c:pt>
              </c:numCache>
            </c:numRef>
          </c:val>
          <c:smooth val="0"/>
          <c:extLst>
            <c:ext xmlns:c16="http://schemas.microsoft.com/office/drawing/2014/chart" uri="{C3380CC4-5D6E-409C-BE32-E72D297353CC}">
              <c16:uniqueId val="{00000000-7223-4B63-9C10-29F8D3FD5C6C}"/>
            </c:ext>
          </c:extLst>
        </c:ser>
        <c:dLbls>
          <c:showLegendKey val="0"/>
          <c:showVal val="0"/>
          <c:showCatName val="0"/>
          <c:showSerName val="0"/>
          <c:showPercent val="0"/>
          <c:showBubbleSize val="0"/>
        </c:dLbls>
        <c:smooth val="0"/>
        <c:axId val="205923727"/>
        <c:axId val="205921327"/>
      </c:lineChart>
      <c:catAx>
        <c:axId val="205923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1327"/>
        <c:crosses val="autoZero"/>
        <c:auto val="1"/>
        <c:lblAlgn val="ctr"/>
        <c:lblOffset val="100"/>
        <c:noMultiLvlLbl val="0"/>
      </c:catAx>
      <c:valAx>
        <c:axId val="205921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30-Day</a:t>
            </a:r>
            <a:r>
              <a:rPr lang="en-US" baseline="0"/>
              <a:t> Demand vs Solar Generation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Solar_Analysis!$B$1</c:f>
              <c:strCache>
                <c:ptCount val="1"/>
                <c:pt idx="0">
                  <c:v>Building_Demand_Kw</c:v>
                </c:pt>
              </c:strCache>
            </c:strRef>
          </c:tx>
          <c:spPr>
            <a:ln w="28575" cap="rnd">
              <a:solidFill>
                <a:schemeClr val="accent1"/>
              </a:solidFill>
              <a:round/>
            </a:ln>
            <a:effectLst/>
          </c:spPr>
          <c:marker>
            <c:symbol val="none"/>
          </c:marker>
          <c:val>
            <c:numRef>
              <c:f>Solar_Analysis!$B$2:$B$1441</c:f>
              <c:numCache>
                <c:formatCode>General</c:formatCode>
                <c:ptCount val="1440"/>
                <c:pt idx="0">
                  <c:v>2.2000000000000002</c:v>
                </c:pt>
                <c:pt idx="1">
                  <c:v>2.1</c:v>
                </c:pt>
                <c:pt idx="2">
                  <c:v>1.9</c:v>
                </c:pt>
                <c:pt idx="3">
                  <c:v>2.5</c:v>
                </c:pt>
                <c:pt idx="4">
                  <c:v>2.1</c:v>
                </c:pt>
                <c:pt idx="5">
                  <c:v>2.9</c:v>
                </c:pt>
                <c:pt idx="6">
                  <c:v>2.6</c:v>
                </c:pt>
                <c:pt idx="7">
                  <c:v>1.9</c:v>
                </c:pt>
                <c:pt idx="8">
                  <c:v>2.8</c:v>
                </c:pt>
                <c:pt idx="9">
                  <c:v>1.9</c:v>
                </c:pt>
                <c:pt idx="10">
                  <c:v>2.6</c:v>
                </c:pt>
                <c:pt idx="11">
                  <c:v>1.8</c:v>
                </c:pt>
                <c:pt idx="12">
                  <c:v>7.7</c:v>
                </c:pt>
                <c:pt idx="13">
                  <c:v>6</c:v>
                </c:pt>
                <c:pt idx="14">
                  <c:v>6.5</c:v>
                </c:pt>
                <c:pt idx="15">
                  <c:v>4.2</c:v>
                </c:pt>
                <c:pt idx="16">
                  <c:v>13.5</c:v>
                </c:pt>
                <c:pt idx="17">
                  <c:v>13</c:v>
                </c:pt>
                <c:pt idx="18">
                  <c:v>21</c:v>
                </c:pt>
                <c:pt idx="19">
                  <c:v>14.8</c:v>
                </c:pt>
                <c:pt idx="20">
                  <c:v>14.2</c:v>
                </c:pt>
                <c:pt idx="21">
                  <c:v>13.5</c:v>
                </c:pt>
                <c:pt idx="22">
                  <c:v>21.9</c:v>
                </c:pt>
                <c:pt idx="23">
                  <c:v>18.5</c:v>
                </c:pt>
                <c:pt idx="24">
                  <c:v>19.600000000000001</c:v>
                </c:pt>
                <c:pt idx="25">
                  <c:v>29.6</c:v>
                </c:pt>
                <c:pt idx="26">
                  <c:v>33.299999999999997</c:v>
                </c:pt>
                <c:pt idx="27">
                  <c:v>32.200000000000003</c:v>
                </c:pt>
                <c:pt idx="28">
                  <c:v>21.1</c:v>
                </c:pt>
                <c:pt idx="29">
                  <c:v>22.7</c:v>
                </c:pt>
                <c:pt idx="30">
                  <c:v>23.7</c:v>
                </c:pt>
                <c:pt idx="31">
                  <c:v>32.9</c:v>
                </c:pt>
                <c:pt idx="32">
                  <c:v>20</c:v>
                </c:pt>
                <c:pt idx="33">
                  <c:v>17.2</c:v>
                </c:pt>
                <c:pt idx="34">
                  <c:v>19.100000000000001</c:v>
                </c:pt>
                <c:pt idx="35">
                  <c:v>18.600000000000001</c:v>
                </c:pt>
                <c:pt idx="36">
                  <c:v>17.899999999999999</c:v>
                </c:pt>
                <c:pt idx="37">
                  <c:v>13.2</c:v>
                </c:pt>
                <c:pt idx="38">
                  <c:v>6.5</c:v>
                </c:pt>
                <c:pt idx="39">
                  <c:v>3.3</c:v>
                </c:pt>
                <c:pt idx="40">
                  <c:v>5.5</c:v>
                </c:pt>
                <c:pt idx="41">
                  <c:v>6</c:v>
                </c:pt>
                <c:pt idx="42">
                  <c:v>4</c:v>
                </c:pt>
                <c:pt idx="43">
                  <c:v>4.4000000000000004</c:v>
                </c:pt>
                <c:pt idx="44">
                  <c:v>6.5</c:v>
                </c:pt>
                <c:pt idx="45">
                  <c:v>3.1</c:v>
                </c:pt>
                <c:pt idx="46">
                  <c:v>6</c:v>
                </c:pt>
                <c:pt idx="47">
                  <c:v>4.0999999999999996</c:v>
                </c:pt>
                <c:pt idx="48">
                  <c:v>2.7</c:v>
                </c:pt>
                <c:pt idx="49">
                  <c:v>1.9</c:v>
                </c:pt>
                <c:pt idx="50">
                  <c:v>2</c:v>
                </c:pt>
                <c:pt idx="51">
                  <c:v>2.2000000000000002</c:v>
                </c:pt>
                <c:pt idx="52">
                  <c:v>1.9</c:v>
                </c:pt>
                <c:pt idx="53">
                  <c:v>2.5</c:v>
                </c:pt>
                <c:pt idx="54">
                  <c:v>2</c:v>
                </c:pt>
                <c:pt idx="55">
                  <c:v>1.8</c:v>
                </c:pt>
                <c:pt idx="56">
                  <c:v>1.9</c:v>
                </c:pt>
                <c:pt idx="57">
                  <c:v>2.5</c:v>
                </c:pt>
                <c:pt idx="58">
                  <c:v>1.8</c:v>
                </c:pt>
                <c:pt idx="59">
                  <c:v>2.2999999999999998</c:v>
                </c:pt>
                <c:pt idx="60">
                  <c:v>7.5</c:v>
                </c:pt>
                <c:pt idx="61">
                  <c:v>7.9</c:v>
                </c:pt>
                <c:pt idx="62">
                  <c:v>7</c:v>
                </c:pt>
                <c:pt idx="63">
                  <c:v>6.7</c:v>
                </c:pt>
                <c:pt idx="64">
                  <c:v>19.100000000000001</c:v>
                </c:pt>
                <c:pt idx="65">
                  <c:v>14.2</c:v>
                </c:pt>
                <c:pt idx="66">
                  <c:v>21.5</c:v>
                </c:pt>
                <c:pt idx="67">
                  <c:v>15.1</c:v>
                </c:pt>
                <c:pt idx="68">
                  <c:v>15.5</c:v>
                </c:pt>
                <c:pt idx="69">
                  <c:v>14.5</c:v>
                </c:pt>
                <c:pt idx="70">
                  <c:v>19.7</c:v>
                </c:pt>
                <c:pt idx="71">
                  <c:v>15.3</c:v>
                </c:pt>
                <c:pt idx="72">
                  <c:v>31.5</c:v>
                </c:pt>
                <c:pt idx="73">
                  <c:v>25.6</c:v>
                </c:pt>
                <c:pt idx="74">
                  <c:v>30.6</c:v>
                </c:pt>
                <c:pt idx="75">
                  <c:v>20.3</c:v>
                </c:pt>
                <c:pt idx="76">
                  <c:v>18.8</c:v>
                </c:pt>
                <c:pt idx="77">
                  <c:v>21.5</c:v>
                </c:pt>
                <c:pt idx="78">
                  <c:v>25.9</c:v>
                </c:pt>
                <c:pt idx="79">
                  <c:v>30.1</c:v>
                </c:pt>
                <c:pt idx="80">
                  <c:v>15.9</c:v>
                </c:pt>
                <c:pt idx="81">
                  <c:v>19.899999999999999</c:v>
                </c:pt>
                <c:pt idx="82">
                  <c:v>11.4</c:v>
                </c:pt>
                <c:pt idx="83">
                  <c:v>10</c:v>
                </c:pt>
                <c:pt idx="84">
                  <c:v>15.4</c:v>
                </c:pt>
                <c:pt idx="85">
                  <c:v>10.9</c:v>
                </c:pt>
                <c:pt idx="86">
                  <c:v>3.2</c:v>
                </c:pt>
                <c:pt idx="87">
                  <c:v>5.9</c:v>
                </c:pt>
                <c:pt idx="88">
                  <c:v>4.4000000000000004</c:v>
                </c:pt>
                <c:pt idx="89">
                  <c:v>5.4</c:v>
                </c:pt>
                <c:pt idx="90">
                  <c:v>3.2</c:v>
                </c:pt>
                <c:pt idx="91">
                  <c:v>7.5</c:v>
                </c:pt>
                <c:pt idx="92">
                  <c:v>3.8</c:v>
                </c:pt>
                <c:pt idx="93">
                  <c:v>7.4</c:v>
                </c:pt>
                <c:pt idx="94">
                  <c:v>7.4</c:v>
                </c:pt>
                <c:pt idx="95">
                  <c:v>3.3</c:v>
                </c:pt>
                <c:pt idx="96">
                  <c:v>2.1</c:v>
                </c:pt>
                <c:pt idx="97">
                  <c:v>2.2000000000000002</c:v>
                </c:pt>
                <c:pt idx="98">
                  <c:v>2.8</c:v>
                </c:pt>
                <c:pt idx="99">
                  <c:v>2.8</c:v>
                </c:pt>
                <c:pt idx="100">
                  <c:v>2.6</c:v>
                </c:pt>
                <c:pt idx="101">
                  <c:v>1.8</c:v>
                </c:pt>
                <c:pt idx="102">
                  <c:v>2.6</c:v>
                </c:pt>
                <c:pt idx="103">
                  <c:v>2.1</c:v>
                </c:pt>
                <c:pt idx="104">
                  <c:v>2.2999999999999998</c:v>
                </c:pt>
                <c:pt idx="105">
                  <c:v>2.2000000000000002</c:v>
                </c:pt>
                <c:pt idx="106">
                  <c:v>1.9</c:v>
                </c:pt>
                <c:pt idx="107">
                  <c:v>2.8</c:v>
                </c:pt>
                <c:pt idx="108">
                  <c:v>5.5</c:v>
                </c:pt>
                <c:pt idx="109">
                  <c:v>6.2</c:v>
                </c:pt>
                <c:pt idx="110">
                  <c:v>6.7</c:v>
                </c:pt>
                <c:pt idx="111">
                  <c:v>4.2</c:v>
                </c:pt>
                <c:pt idx="112">
                  <c:v>16.399999999999999</c:v>
                </c:pt>
                <c:pt idx="113">
                  <c:v>12.4</c:v>
                </c:pt>
                <c:pt idx="114">
                  <c:v>12.5</c:v>
                </c:pt>
                <c:pt idx="115">
                  <c:v>15.6</c:v>
                </c:pt>
                <c:pt idx="116">
                  <c:v>15.3</c:v>
                </c:pt>
                <c:pt idx="117">
                  <c:v>12.7</c:v>
                </c:pt>
                <c:pt idx="118">
                  <c:v>18.600000000000001</c:v>
                </c:pt>
                <c:pt idx="119">
                  <c:v>21.5</c:v>
                </c:pt>
                <c:pt idx="120">
                  <c:v>34</c:v>
                </c:pt>
                <c:pt idx="121">
                  <c:v>31.7</c:v>
                </c:pt>
                <c:pt idx="122">
                  <c:v>32.1</c:v>
                </c:pt>
                <c:pt idx="123">
                  <c:v>22.8</c:v>
                </c:pt>
                <c:pt idx="124">
                  <c:v>34.299999999999997</c:v>
                </c:pt>
                <c:pt idx="125">
                  <c:v>20.100000000000001</c:v>
                </c:pt>
                <c:pt idx="126">
                  <c:v>22.7</c:v>
                </c:pt>
                <c:pt idx="127">
                  <c:v>23</c:v>
                </c:pt>
                <c:pt idx="128">
                  <c:v>16.5</c:v>
                </c:pt>
                <c:pt idx="129">
                  <c:v>16.3</c:v>
                </c:pt>
                <c:pt idx="130">
                  <c:v>16.8</c:v>
                </c:pt>
                <c:pt idx="131">
                  <c:v>14</c:v>
                </c:pt>
                <c:pt idx="132">
                  <c:v>18.2</c:v>
                </c:pt>
                <c:pt idx="133">
                  <c:v>11.6</c:v>
                </c:pt>
                <c:pt idx="134">
                  <c:v>5.8</c:v>
                </c:pt>
                <c:pt idx="135">
                  <c:v>6.7</c:v>
                </c:pt>
                <c:pt idx="136">
                  <c:v>5.8</c:v>
                </c:pt>
                <c:pt idx="137">
                  <c:v>4.5</c:v>
                </c:pt>
                <c:pt idx="138">
                  <c:v>5.7</c:v>
                </c:pt>
                <c:pt idx="139">
                  <c:v>4.7</c:v>
                </c:pt>
                <c:pt idx="140">
                  <c:v>3.6</c:v>
                </c:pt>
                <c:pt idx="141">
                  <c:v>3.9</c:v>
                </c:pt>
                <c:pt idx="142">
                  <c:v>5.6</c:v>
                </c:pt>
                <c:pt idx="143">
                  <c:v>7</c:v>
                </c:pt>
                <c:pt idx="144">
                  <c:v>2.1</c:v>
                </c:pt>
                <c:pt idx="145">
                  <c:v>3</c:v>
                </c:pt>
                <c:pt idx="146">
                  <c:v>2</c:v>
                </c:pt>
                <c:pt idx="147">
                  <c:v>2</c:v>
                </c:pt>
                <c:pt idx="148">
                  <c:v>2.4</c:v>
                </c:pt>
                <c:pt idx="149">
                  <c:v>2.5</c:v>
                </c:pt>
                <c:pt idx="150">
                  <c:v>2.8</c:v>
                </c:pt>
                <c:pt idx="151">
                  <c:v>3</c:v>
                </c:pt>
                <c:pt idx="152">
                  <c:v>2.6</c:v>
                </c:pt>
                <c:pt idx="153">
                  <c:v>2.2999999999999998</c:v>
                </c:pt>
                <c:pt idx="154">
                  <c:v>2.8</c:v>
                </c:pt>
                <c:pt idx="155">
                  <c:v>2.1</c:v>
                </c:pt>
                <c:pt idx="156">
                  <c:v>4.0999999999999996</c:v>
                </c:pt>
                <c:pt idx="157">
                  <c:v>5.0999999999999996</c:v>
                </c:pt>
                <c:pt idx="158">
                  <c:v>6.7</c:v>
                </c:pt>
                <c:pt idx="159">
                  <c:v>6.5</c:v>
                </c:pt>
                <c:pt idx="160">
                  <c:v>20.9</c:v>
                </c:pt>
                <c:pt idx="161">
                  <c:v>21.1</c:v>
                </c:pt>
                <c:pt idx="162">
                  <c:v>17.8</c:v>
                </c:pt>
                <c:pt idx="163">
                  <c:v>13.9</c:v>
                </c:pt>
                <c:pt idx="164">
                  <c:v>18.5</c:v>
                </c:pt>
                <c:pt idx="165">
                  <c:v>13.6</c:v>
                </c:pt>
                <c:pt idx="166">
                  <c:v>14.3</c:v>
                </c:pt>
                <c:pt idx="167">
                  <c:v>14</c:v>
                </c:pt>
                <c:pt idx="168">
                  <c:v>25.9</c:v>
                </c:pt>
                <c:pt idx="169">
                  <c:v>23.9</c:v>
                </c:pt>
                <c:pt idx="170">
                  <c:v>21</c:v>
                </c:pt>
                <c:pt idx="171">
                  <c:v>28.2</c:v>
                </c:pt>
                <c:pt idx="172">
                  <c:v>31.7</c:v>
                </c:pt>
                <c:pt idx="173">
                  <c:v>18.2</c:v>
                </c:pt>
                <c:pt idx="174">
                  <c:v>23.3</c:v>
                </c:pt>
                <c:pt idx="175">
                  <c:v>23.3</c:v>
                </c:pt>
                <c:pt idx="176">
                  <c:v>18.399999999999999</c:v>
                </c:pt>
                <c:pt idx="177">
                  <c:v>11.6</c:v>
                </c:pt>
                <c:pt idx="178">
                  <c:v>15.7</c:v>
                </c:pt>
                <c:pt idx="179">
                  <c:v>15.8</c:v>
                </c:pt>
                <c:pt idx="180">
                  <c:v>13.5</c:v>
                </c:pt>
                <c:pt idx="181">
                  <c:v>14.1</c:v>
                </c:pt>
                <c:pt idx="182">
                  <c:v>5.0999999999999996</c:v>
                </c:pt>
                <c:pt idx="183">
                  <c:v>3.1</c:v>
                </c:pt>
                <c:pt idx="184">
                  <c:v>4.9000000000000004</c:v>
                </c:pt>
                <c:pt idx="185">
                  <c:v>4.9000000000000004</c:v>
                </c:pt>
                <c:pt idx="186">
                  <c:v>3.5</c:v>
                </c:pt>
                <c:pt idx="187">
                  <c:v>7.7</c:v>
                </c:pt>
                <c:pt idx="188">
                  <c:v>7.5</c:v>
                </c:pt>
                <c:pt idx="189">
                  <c:v>4.9000000000000004</c:v>
                </c:pt>
                <c:pt idx="190">
                  <c:v>5</c:v>
                </c:pt>
                <c:pt idx="191">
                  <c:v>5.4</c:v>
                </c:pt>
                <c:pt idx="192">
                  <c:v>2.2000000000000002</c:v>
                </c:pt>
                <c:pt idx="193">
                  <c:v>2.2000000000000002</c:v>
                </c:pt>
                <c:pt idx="194">
                  <c:v>1.9</c:v>
                </c:pt>
                <c:pt idx="195">
                  <c:v>2.9</c:v>
                </c:pt>
                <c:pt idx="196">
                  <c:v>2</c:v>
                </c:pt>
                <c:pt idx="197">
                  <c:v>2.7</c:v>
                </c:pt>
                <c:pt idx="198">
                  <c:v>2</c:v>
                </c:pt>
                <c:pt idx="199">
                  <c:v>2.4</c:v>
                </c:pt>
                <c:pt idx="200">
                  <c:v>1.9</c:v>
                </c:pt>
                <c:pt idx="201">
                  <c:v>2.7</c:v>
                </c:pt>
                <c:pt idx="202">
                  <c:v>1.8</c:v>
                </c:pt>
                <c:pt idx="203">
                  <c:v>2.6</c:v>
                </c:pt>
                <c:pt idx="204">
                  <c:v>7.3</c:v>
                </c:pt>
                <c:pt idx="205">
                  <c:v>4</c:v>
                </c:pt>
                <c:pt idx="206">
                  <c:v>4.7</c:v>
                </c:pt>
                <c:pt idx="207">
                  <c:v>5.9</c:v>
                </c:pt>
                <c:pt idx="208">
                  <c:v>12.6</c:v>
                </c:pt>
                <c:pt idx="209">
                  <c:v>21.5</c:v>
                </c:pt>
                <c:pt idx="210">
                  <c:v>15</c:v>
                </c:pt>
                <c:pt idx="211">
                  <c:v>17.600000000000001</c:v>
                </c:pt>
                <c:pt idx="212">
                  <c:v>14.5</c:v>
                </c:pt>
                <c:pt idx="213">
                  <c:v>21.5</c:v>
                </c:pt>
                <c:pt idx="214">
                  <c:v>20.8</c:v>
                </c:pt>
                <c:pt idx="215">
                  <c:v>20.399999999999999</c:v>
                </c:pt>
                <c:pt idx="216">
                  <c:v>22.2</c:v>
                </c:pt>
                <c:pt idx="217">
                  <c:v>24.5</c:v>
                </c:pt>
                <c:pt idx="218">
                  <c:v>19.7</c:v>
                </c:pt>
                <c:pt idx="219">
                  <c:v>31.2</c:v>
                </c:pt>
                <c:pt idx="220">
                  <c:v>29.3</c:v>
                </c:pt>
                <c:pt idx="221">
                  <c:v>20.399999999999999</c:v>
                </c:pt>
                <c:pt idx="222">
                  <c:v>34.9</c:v>
                </c:pt>
                <c:pt idx="223">
                  <c:v>21</c:v>
                </c:pt>
                <c:pt idx="224">
                  <c:v>14.3</c:v>
                </c:pt>
                <c:pt idx="225">
                  <c:v>13.5</c:v>
                </c:pt>
                <c:pt idx="226">
                  <c:v>14.6</c:v>
                </c:pt>
                <c:pt idx="227">
                  <c:v>15.6</c:v>
                </c:pt>
                <c:pt idx="228">
                  <c:v>16.399999999999999</c:v>
                </c:pt>
                <c:pt idx="229">
                  <c:v>11.1</c:v>
                </c:pt>
                <c:pt idx="230">
                  <c:v>3.5</c:v>
                </c:pt>
                <c:pt idx="231">
                  <c:v>5.7</c:v>
                </c:pt>
                <c:pt idx="232">
                  <c:v>8</c:v>
                </c:pt>
                <c:pt idx="233">
                  <c:v>8</c:v>
                </c:pt>
                <c:pt idx="234">
                  <c:v>6.1</c:v>
                </c:pt>
                <c:pt idx="235">
                  <c:v>7.2</c:v>
                </c:pt>
                <c:pt idx="236">
                  <c:v>6.5</c:v>
                </c:pt>
                <c:pt idx="237">
                  <c:v>3.3</c:v>
                </c:pt>
                <c:pt idx="238">
                  <c:v>5.8</c:v>
                </c:pt>
                <c:pt idx="239">
                  <c:v>6.7</c:v>
                </c:pt>
                <c:pt idx="240">
                  <c:v>1.8</c:v>
                </c:pt>
                <c:pt idx="241">
                  <c:v>1.9</c:v>
                </c:pt>
                <c:pt idx="242">
                  <c:v>1.8</c:v>
                </c:pt>
                <c:pt idx="243">
                  <c:v>2.5</c:v>
                </c:pt>
                <c:pt idx="244">
                  <c:v>2.5</c:v>
                </c:pt>
                <c:pt idx="245">
                  <c:v>2.7</c:v>
                </c:pt>
                <c:pt idx="246">
                  <c:v>2.6</c:v>
                </c:pt>
                <c:pt idx="247">
                  <c:v>2.4</c:v>
                </c:pt>
                <c:pt idx="248">
                  <c:v>2</c:v>
                </c:pt>
                <c:pt idx="249">
                  <c:v>2.2999999999999998</c:v>
                </c:pt>
                <c:pt idx="250">
                  <c:v>2.2999999999999998</c:v>
                </c:pt>
                <c:pt idx="251">
                  <c:v>3</c:v>
                </c:pt>
                <c:pt idx="252">
                  <c:v>7.1</c:v>
                </c:pt>
                <c:pt idx="253">
                  <c:v>4.5</c:v>
                </c:pt>
                <c:pt idx="254">
                  <c:v>6.8</c:v>
                </c:pt>
                <c:pt idx="255">
                  <c:v>5.0999999999999996</c:v>
                </c:pt>
                <c:pt idx="256">
                  <c:v>16.3</c:v>
                </c:pt>
                <c:pt idx="257">
                  <c:v>12.1</c:v>
                </c:pt>
                <c:pt idx="258">
                  <c:v>15</c:v>
                </c:pt>
                <c:pt idx="259">
                  <c:v>17</c:v>
                </c:pt>
                <c:pt idx="260">
                  <c:v>18.2</c:v>
                </c:pt>
                <c:pt idx="261">
                  <c:v>19.8</c:v>
                </c:pt>
                <c:pt idx="262">
                  <c:v>12.6</c:v>
                </c:pt>
                <c:pt idx="263">
                  <c:v>15.8</c:v>
                </c:pt>
                <c:pt idx="264">
                  <c:v>21.4</c:v>
                </c:pt>
                <c:pt idx="265">
                  <c:v>30.9</c:v>
                </c:pt>
                <c:pt idx="266">
                  <c:v>34.700000000000003</c:v>
                </c:pt>
                <c:pt idx="267">
                  <c:v>33.6</c:v>
                </c:pt>
                <c:pt idx="268">
                  <c:v>22.8</c:v>
                </c:pt>
                <c:pt idx="269">
                  <c:v>18.3</c:v>
                </c:pt>
                <c:pt idx="270">
                  <c:v>25.5</c:v>
                </c:pt>
                <c:pt idx="271">
                  <c:v>21.8</c:v>
                </c:pt>
                <c:pt idx="272">
                  <c:v>12.7</c:v>
                </c:pt>
                <c:pt idx="273">
                  <c:v>15.1</c:v>
                </c:pt>
                <c:pt idx="274">
                  <c:v>13</c:v>
                </c:pt>
                <c:pt idx="275">
                  <c:v>10.1</c:v>
                </c:pt>
                <c:pt idx="276">
                  <c:v>13.1</c:v>
                </c:pt>
                <c:pt idx="277">
                  <c:v>11.8</c:v>
                </c:pt>
                <c:pt idx="278">
                  <c:v>4.9000000000000004</c:v>
                </c:pt>
                <c:pt idx="279">
                  <c:v>7.2</c:v>
                </c:pt>
                <c:pt idx="280">
                  <c:v>7.5</c:v>
                </c:pt>
                <c:pt idx="281">
                  <c:v>7.7</c:v>
                </c:pt>
                <c:pt idx="282">
                  <c:v>5</c:v>
                </c:pt>
                <c:pt idx="283">
                  <c:v>7.9</c:v>
                </c:pt>
                <c:pt idx="284">
                  <c:v>5.5</c:v>
                </c:pt>
                <c:pt idx="285">
                  <c:v>4.8</c:v>
                </c:pt>
                <c:pt idx="286">
                  <c:v>6.5</c:v>
                </c:pt>
                <c:pt idx="287">
                  <c:v>3.4</c:v>
                </c:pt>
                <c:pt idx="288">
                  <c:v>2</c:v>
                </c:pt>
                <c:pt idx="289">
                  <c:v>3</c:v>
                </c:pt>
                <c:pt idx="290">
                  <c:v>2.6</c:v>
                </c:pt>
                <c:pt idx="291">
                  <c:v>1.8</c:v>
                </c:pt>
                <c:pt idx="292">
                  <c:v>2.4</c:v>
                </c:pt>
                <c:pt idx="293">
                  <c:v>2.9</c:v>
                </c:pt>
                <c:pt idx="294">
                  <c:v>2.5</c:v>
                </c:pt>
                <c:pt idx="295">
                  <c:v>2.6</c:v>
                </c:pt>
                <c:pt idx="296">
                  <c:v>2.6</c:v>
                </c:pt>
                <c:pt idx="297">
                  <c:v>2.9</c:v>
                </c:pt>
                <c:pt idx="298">
                  <c:v>2</c:v>
                </c:pt>
                <c:pt idx="299">
                  <c:v>2.4</c:v>
                </c:pt>
                <c:pt idx="300">
                  <c:v>7.2</c:v>
                </c:pt>
                <c:pt idx="301">
                  <c:v>4.0999999999999996</c:v>
                </c:pt>
                <c:pt idx="302">
                  <c:v>4.5</c:v>
                </c:pt>
                <c:pt idx="303">
                  <c:v>4.3</c:v>
                </c:pt>
                <c:pt idx="304">
                  <c:v>18.899999999999999</c:v>
                </c:pt>
                <c:pt idx="305">
                  <c:v>17</c:v>
                </c:pt>
                <c:pt idx="306">
                  <c:v>12.2</c:v>
                </c:pt>
                <c:pt idx="307">
                  <c:v>16.7</c:v>
                </c:pt>
                <c:pt idx="308">
                  <c:v>12.9</c:v>
                </c:pt>
                <c:pt idx="309">
                  <c:v>16.3</c:v>
                </c:pt>
                <c:pt idx="310">
                  <c:v>15.5</c:v>
                </c:pt>
                <c:pt idx="311">
                  <c:v>19.7</c:v>
                </c:pt>
                <c:pt idx="312">
                  <c:v>29.4</c:v>
                </c:pt>
                <c:pt idx="313">
                  <c:v>25.6</c:v>
                </c:pt>
                <c:pt idx="314">
                  <c:v>21</c:v>
                </c:pt>
                <c:pt idx="315">
                  <c:v>30.3</c:v>
                </c:pt>
                <c:pt idx="316">
                  <c:v>23.3</c:v>
                </c:pt>
                <c:pt idx="317">
                  <c:v>23.8</c:v>
                </c:pt>
                <c:pt idx="318">
                  <c:v>20.6</c:v>
                </c:pt>
                <c:pt idx="319">
                  <c:v>33.9</c:v>
                </c:pt>
                <c:pt idx="320">
                  <c:v>11.7</c:v>
                </c:pt>
                <c:pt idx="321">
                  <c:v>19.600000000000001</c:v>
                </c:pt>
                <c:pt idx="322">
                  <c:v>18</c:v>
                </c:pt>
                <c:pt idx="323">
                  <c:v>17.2</c:v>
                </c:pt>
                <c:pt idx="324">
                  <c:v>15.3</c:v>
                </c:pt>
                <c:pt idx="325">
                  <c:v>14.1</c:v>
                </c:pt>
                <c:pt idx="326">
                  <c:v>4.3</c:v>
                </c:pt>
                <c:pt idx="327">
                  <c:v>7.4</c:v>
                </c:pt>
                <c:pt idx="328">
                  <c:v>4.9000000000000004</c:v>
                </c:pt>
                <c:pt idx="329">
                  <c:v>3.5</c:v>
                </c:pt>
                <c:pt idx="330">
                  <c:v>6.1</c:v>
                </c:pt>
                <c:pt idx="331">
                  <c:v>3.1</c:v>
                </c:pt>
                <c:pt idx="332">
                  <c:v>4.5999999999999996</c:v>
                </c:pt>
                <c:pt idx="333">
                  <c:v>7.8</c:v>
                </c:pt>
                <c:pt idx="334">
                  <c:v>7.4</c:v>
                </c:pt>
                <c:pt idx="335">
                  <c:v>7.3</c:v>
                </c:pt>
                <c:pt idx="336">
                  <c:v>2.4</c:v>
                </c:pt>
                <c:pt idx="337">
                  <c:v>2.4</c:v>
                </c:pt>
                <c:pt idx="338">
                  <c:v>2.4</c:v>
                </c:pt>
                <c:pt idx="339">
                  <c:v>2.7</c:v>
                </c:pt>
                <c:pt idx="340">
                  <c:v>2</c:v>
                </c:pt>
                <c:pt idx="341">
                  <c:v>1.8</c:v>
                </c:pt>
                <c:pt idx="342">
                  <c:v>2.6</c:v>
                </c:pt>
                <c:pt idx="343">
                  <c:v>1.8</c:v>
                </c:pt>
                <c:pt idx="344">
                  <c:v>3</c:v>
                </c:pt>
                <c:pt idx="345">
                  <c:v>2.7</c:v>
                </c:pt>
                <c:pt idx="346">
                  <c:v>1.9</c:v>
                </c:pt>
                <c:pt idx="347">
                  <c:v>2.2000000000000002</c:v>
                </c:pt>
                <c:pt idx="348">
                  <c:v>5.7</c:v>
                </c:pt>
                <c:pt idx="349">
                  <c:v>4.5999999999999996</c:v>
                </c:pt>
                <c:pt idx="350">
                  <c:v>7.8</c:v>
                </c:pt>
                <c:pt idx="351">
                  <c:v>4.3</c:v>
                </c:pt>
                <c:pt idx="352">
                  <c:v>20.7</c:v>
                </c:pt>
                <c:pt idx="353">
                  <c:v>13</c:v>
                </c:pt>
                <c:pt idx="354">
                  <c:v>14.1</c:v>
                </c:pt>
                <c:pt idx="355">
                  <c:v>15.2</c:v>
                </c:pt>
                <c:pt idx="356">
                  <c:v>21.3</c:v>
                </c:pt>
                <c:pt idx="357">
                  <c:v>19.3</c:v>
                </c:pt>
                <c:pt idx="358">
                  <c:v>15.3</c:v>
                </c:pt>
                <c:pt idx="359">
                  <c:v>18.899999999999999</c:v>
                </c:pt>
                <c:pt idx="360">
                  <c:v>33.1</c:v>
                </c:pt>
                <c:pt idx="361">
                  <c:v>23.5</c:v>
                </c:pt>
                <c:pt idx="362">
                  <c:v>27.6</c:v>
                </c:pt>
                <c:pt idx="363">
                  <c:v>30.1</c:v>
                </c:pt>
                <c:pt idx="364">
                  <c:v>18.5</c:v>
                </c:pt>
                <c:pt idx="365">
                  <c:v>34.1</c:v>
                </c:pt>
                <c:pt idx="366">
                  <c:v>31.2</c:v>
                </c:pt>
                <c:pt idx="367">
                  <c:v>23.3</c:v>
                </c:pt>
                <c:pt idx="368">
                  <c:v>19.3</c:v>
                </c:pt>
                <c:pt idx="369">
                  <c:v>17.399999999999999</c:v>
                </c:pt>
                <c:pt idx="370">
                  <c:v>15.1</c:v>
                </c:pt>
                <c:pt idx="371">
                  <c:v>17.8</c:v>
                </c:pt>
                <c:pt idx="372">
                  <c:v>13.9</c:v>
                </c:pt>
                <c:pt idx="373">
                  <c:v>11.9</c:v>
                </c:pt>
                <c:pt idx="374">
                  <c:v>7.9</c:v>
                </c:pt>
                <c:pt idx="375">
                  <c:v>6.8</c:v>
                </c:pt>
                <c:pt idx="376">
                  <c:v>7.4</c:v>
                </c:pt>
                <c:pt idx="377">
                  <c:v>7.6</c:v>
                </c:pt>
                <c:pt idx="378">
                  <c:v>3.2</c:v>
                </c:pt>
                <c:pt idx="379">
                  <c:v>8</c:v>
                </c:pt>
                <c:pt idx="380">
                  <c:v>3.5</c:v>
                </c:pt>
                <c:pt idx="381">
                  <c:v>7.8</c:v>
                </c:pt>
                <c:pt idx="382">
                  <c:v>3.6</c:v>
                </c:pt>
                <c:pt idx="383">
                  <c:v>4.0999999999999996</c:v>
                </c:pt>
                <c:pt idx="384">
                  <c:v>2.8</c:v>
                </c:pt>
                <c:pt idx="385">
                  <c:v>2.7</c:v>
                </c:pt>
                <c:pt idx="386">
                  <c:v>2.2999999999999998</c:v>
                </c:pt>
                <c:pt idx="387">
                  <c:v>2.6</c:v>
                </c:pt>
                <c:pt idx="388">
                  <c:v>2.1</c:v>
                </c:pt>
                <c:pt idx="389">
                  <c:v>2.6</c:v>
                </c:pt>
                <c:pt idx="390">
                  <c:v>2.1</c:v>
                </c:pt>
                <c:pt idx="391">
                  <c:v>1.9</c:v>
                </c:pt>
                <c:pt idx="392">
                  <c:v>2.9</c:v>
                </c:pt>
                <c:pt idx="393">
                  <c:v>2.2000000000000002</c:v>
                </c:pt>
                <c:pt idx="394">
                  <c:v>2.6</c:v>
                </c:pt>
                <c:pt idx="395">
                  <c:v>3</c:v>
                </c:pt>
                <c:pt idx="396">
                  <c:v>4.4000000000000004</c:v>
                </c:pt>
                <c:pt idx="397">
                  <c:v>5.2</c:v>
                </c:pt>
                <c:pt idx="398">
                  <c:v>7.6</c:v>
                </c:pt>
                <c:pt idx="399">
                  <c:v>4.9000000000000004</c:v>
                </c:pt>
                <c:pt idx="400">
                  <c:v>17.399999999999999</c:v>
                </c:pt>
                <c:pt idx="401">
                  <c:v>20.9</c:v>
                </c:pt>
                <c:pt idx="402">
                  <c:v>16.899999999999999</c:v>
                </c:pt>
                <c:pt idx="403">
                  <c:v>16.8</c:v>
                </c:pt>
                <c:pt idx="404">
                  <c:v>21.1</c:v>
                </c:pt>
                <c:pt idx="405">
                  <c:v>17.5</c:v>
                </c:pt>
                <c:pt idx="406">
                  <c:v>18.8</c:v>
                </c:pt>
                <c:pt idx="407">
                  <c:v>19</c:v>
                </c:pt>
                <c:pt idx="408">
                  <c:v>23.1</c:v>
                </c:pt>
                <c:pt idx="409">
                  <c:v>29.6</c:v>
                </c:pt>
                <c:pt idx="410">
                  <c:v>22.7</c:v>
                </c:pt>
                <c:pt idx="411">
                  <c:v>34.4</c:v>
                </c:pt>
                <c:pt idx="412">
                  <c:v>31.5</c:v>
                </c:pt>
                <c:pt idx="413">
                  <c:v>29.4</c:v>
                </c:pt>
                <c:pt idx="414">
                  <c:v>21.5</c:v>
                </c:pt>
                <c:pt idx="415">
                  <c:v>30.7</c:v>
                </c:pt>
                <c:pt idx="416">
                  <c:v>17.8</c:v>
                </c:pt>
                <c:pt idx="417">
                  <c:v>18.7</c:v>
                </c:pt>
                <c:pt idx="418">
                  <c:v>12</c:v>
                </c:pt>
                <c:pt idx="419">
                  <c:v>14.9</c:v>
                </c:pt>
                <c:pt idx="420">
                  <c:v>19.100000000000001</c:v>
                </c:pt>
                <c:pt idx="421">
                  <c:v>11.6</c:v>
                </c:pt>
                <c:pt idx="422">
                  <c:v>4.4000000000000004</c:v>
                </c:pt>
                <c:pt idx="423">
                  <c:v>4.4000000000000004</c:v>
                </c:pt>
                <c:pt idx="424">
                  <c:v>4.2</c:v>
                </c:pt>
                <c:pt idx="425">
                  <c:v>4.5</c:v>
                </c:pt>
                <c:pt idx="426">
                  <c:v>4.0999999999999996</c:v>
                </c:pt>
                <c:pt idx="427">
                  <c:v>6.6</c:v>
                </c:pt>
                <c:pt idx="428">
                  <c:v>5.3</c:v>
                </c:pt>
                <c:pt idx="429">
                  <c:v>7.2</c:v>
                </c:pt>
                <c:pt idx="430">
                  <c:v>6</c:v>
                </c:pt>
                <c:pt idx="431">
                  <c:v>5.0999999999999996</c:v>
                </c:pt>
                <c:pt idx="432">
                  <c:v>2.4</c:v>
                </c:pt>
                <c:pt idx="433">
                  <c:v>3</c:v>
                </c:pt>
                <c:pt idx="434">
                  <c:v>2.5</c:v>
                </c:pt>
                <c:pt idx="435">
                  <c:v>1.9</c:v>
                </c:pt>
                <c:pt idx="436">
                  <c:v>1.9</c:v>
                </c:pt>
                <c:pt idx="437">
                  <c:v>2.2000000000000002</c:v>
                </c:pt>
                <c:pt idx="438">
                  <c:v>1.8</c:v>
                </c:pt>
                <c:pt idx="439">
                  <c:v>2.2000000000000002</c:v>
                </c:pt>
                <c:pt idx="440">
                  <c:v>2.2000000000000002</c:v>
                </c:pt>
                <c:pt idx="441">
                  <c:v>2</c:v>
                </c:pt>
                <c:pt idx="442">
                  <c:v>2.1</c:v>
                </c:pt>
                <c:pt idx="443">
                  <c:v>2.2999999999999998</c:v>
                </c:pt>
                <c:pt idx="444">
                  <c:v>7.8</c:v>
                </c:pt>
                <c:pt idx="445">
                  <c:v>5</c:v>
                </c:pt>
                <c:pt idx="446">
                  <c:v>5.9</c:v>
                </c:pt>
                <c:pt idx="447">
                  <c:v>7.2</c:v>
                </c:pt>
                <c:pt idx="448">
                  <c:v>14.8</c:v>
                </c:pt>
                <c:pt idx="449">
                  <c:v>22</c:v>
                </c:pt>
                <c:pt idx="450">
                  <c:v>14.8</c:v>
                </c:pt>
                <c:pt idx="451">
                  <c:v>15.1</c:v>
                </c:pt>
                <c:pt idx="452">
                  <c:v>18.600000000000001</c:v>
                </c:pt>
                <c:pt idx="453">
                  <c:v>12.1</c:v>
                </c:pt>
                <c:pt idx="454">
                  <c:v>18.7</c:v>
                </c:pt>
                <c:pt idx="455">
                  <c:v>14.7</c:v>
                </c:pt>
                <c:pt idx="456">
                  <c:v>33</c:v>
                </c:pt>
                <c:pt idx="457">
                  <c:v>34.1</c:v>
                </c:pt>
                <c:pt idx="458">
                  <c:v>26.1</c:v>
                </c:pt>
                <c:pt idx="459">
                  <c:v>29.6</c:v>
                </c:pt>
                <c:pt idx="460">
                  <c:v>33.1</c:v>
                </c:pt>
                <c:pt idx="461">
                  <c:v>19.2</c:v>
                </c:pt>
                <c:pt idx="462">
                  <c:v>19.2</c:v>
                </c:pt>
                <c:pt idx="463">
                  <c:v>25.4</c:v>
                </c:pt>
                <c:pt idx="464">
                  <c:v>13</c:v>
                </c:pt>
                <c:pt idx="465">
                  <c:v>14.4</c:v>
                </c:pt>
                <c:pt idx="466">
                  <c:v>14.9</c:v>
                </c:pt>
                <c:pt idx="467">
                  <c:v>18.2</c:v>
                </c:pt>
                <c:pt idx="468">
                  <c:v>19.3</c:v>
                </c:pt>
                <c:pt idx="469">
                  <c:v>14.8</c:v>
                </c:pt>
                <c:pt idx="470">
                  <c:v>5.8</c:v>
                </c:pt>
                <c:pt idx="471">
                  <c:v>3.8</c:v>
                </c:pt>
                <c:pt idx="472">
                  <c:v>5.4</c:v>
                </c:pt>
                <c:pt idx="473">
                  <c:v>7.7</c:v>
                </c:pt>
                <c:pt idx="474">
                  <c:v>5</c:v>
                </c:pt>
                <c:pt idx="475">
                  <c:v>7.7</c:v>
                </c:pt>
                <c:pt idx="476">
                  <c:v>7.8</c:v>
                </c:pt>
                <c:pt idx="477">
                  <c:v>7.8</c:v>
                </c:pt>
                <c:pt idx="478">
                  <c:v>4.3</c:v>
                </c:pt>
                <c:pt idx="479">
                  <c:v>5.0999999999999996</c:v>
                </c:pt>
                <c:pt idx="480">
                  <c:v>3</c:v>
                </c:pt>
                <c:pt idx="481">
                  <c:v>2.8</c:v>
                </c:pt>
                <c:pt idx="482">
                  <c:v>2.8</c:v>
                </c:pt>
                <c:pt idx="483">
                  <c:v>2.2999999999999998</c:v>
                </c:pt>
                <c:pt idx="484">
                  <c:v>2.2000000000000002</c:v>
                </c:pt>
                <c:pt idx="485">
                  <c:v>3</c:v>
                </c:pt>
                <c:pt idx="486">
                  <c:v>2</c:v>
                </c:pt>
                <c:pt idx="487">
                  <c:v>1.8</c:v>
                </c:pt>
                <c:pt idx="488">
                  <c:v>3</c:v>
                </c:pt>
                <c:pt idx="489">
                  <c:v>1.8</c:v>
                </c:pt>
                <c:pt idx="490">
                  <c:v>2.8</c:v>
                </c:pt>
                <c:pt idx="491">
                  <c:v>2.4</c:v>
                </c:pt>
                <c:pt idx="492">
                  <c:v>7.6</c:v>
                </c:pt>
                <c:pt idx="493">
                  <c:v>6.1</c:v>
                </c:pt>
                <c:pt idx="494">
                  <c:v>4</c:v>
                </c:pt>
                <c:pt idx="495">
                  <c:v>4.0999999999999996</c:v>
                </c:pt>
                <c:pt idx="496">
                  <c:v>19.8</c:v>
                </c:pt>
                <c:pt idx="497">
                  <c:v>16.100000000000001</c:v>
                </c:pt>
                <c:pt idx="498">
                  <c:v>13</c:v>
                </c:pt>
                <c:pt idx="499">
                  <c:v>19.100000000000001</c:v>
                </c:pt>
                <c:pt idx="500">
                  <c:v>18.399999999999999</c:v>
                </c:pt>
                <c:pt idx="501">
                  <c:v>17.399999999999999</c:v>
                </c:pt>
                <c:pt idx="502">
                  <c:v>20</c:v>
                </c:pt>
                <c:pt idx="503">
                  <c:v>19.899999999999999</c:v>
                </c:pt>
                <c:pt idx="504">
                  <c:v>27.3</c:v>
                </c:pt>
                <c:pt idx="505">
                  <c:v>22</c:v>
                </c:pt>
                <c:pt idx="506">
                  <c:v>22.1</c:v>
                </c:pt>
                <c:pt idx="507">
                  <c:v>20.3</c:v>
                </c:pt>
                <c:pt idx="508">
                  <c:v>28.8</c:v>
                </c:pt>
                <c:pt idx="509">
                  <c:v>34.1</c:v>
                </c:pt>
                <c:pt idx="510">
                  <c:v>30.6</c:v>
                </c:pt>
                <c:pt idx="511">
                  <c:v>25</c:v>
                </c:pt>
                <c:pt idx="512">
                  <c:v>17.8</c:v>
                </c:pt>
                <c:pt idx="513">
                  <c:v>13.3</c:v>
                </c:pt>
                <c:pt idx="514">
                  <c:v>18.399999999999999</c:v>
                </c:pt>
                <c:pt idx="515">
                  <c:v>13</c:v>
                </c:pt>
                <c:pt idx="516">
                  <c:v>15.6</c:v>
                </c:pt>
                <c:pt idx="517">
                  <c:v>17.5</c:v>
                </c:pt>
                <c:pt idx="518">
                  <c:v>4.5999999999999996</c:v>
                </c:pt>
                <c:pt idx="519">
                  <c:v>4.3</c:v>
                </c:pt>
                <c:pt idx="520">
                  <c:v>5.6</c:v>
                </c:pt>
                <c:pt idx="521">
                  <c:v>8</c:v>
                </c:pt>
                <c:pt idx="522">
                  <c:v>5.3</c:v>
                </c:pt>
                <c:pt idx="523">
                  <c:v>7.4</c:v>
                </c:pt>
                <c:pt idx="524">
                  <c:v>5.9</c:v>
                </c:pt>
                <c:pt idx="525">
                  <c:v>3.2</c:v>
                </c:pt>
                <c:pt idx="526">
                  <c:v>3.9</c:v>
                </c:pt>
                <c:pt idx="527">
                  <c:v>6.8</c:v>
                </c:pt>
                <c:pt idx="528">
                  <c:v>2.4</c:v>
                </c:pt>
                <c:pt idx="529">
                  <c:v>1.8</c:v>
                </c:pt>
                <c:pt idx="530">
                  <c:v>2.2000000000000002</c:v>
                </c:pt>
                <c:pt idx="531">
                  <c:v>2.1</c:v>
                </c:pt>
                <c:pt idx="532">
                  <c:v>1.8</c:v>
                </c:pt>
                <c:pt idx="533">
                  <c:v>1.9</c:v>
                </c:pt>
                <c:pt idx="534">
                  <c:v>2.4</c:v>
                </c:pt>
                <c:pt idx="535">
                  <c:v>2.7</c:v>
                </c:pt>
                <c:pt idx="536">
                  <c:v>2.1</c:v>
                </c:pt>
                <c:pt idx="537">
                  <c:v>2.1</c:v>
                </c:pt>
                <c:pt idx="538">
                  <c:v>2.9</c:v>
                </c:pt>
                <c:pt idx="539">
                  <c:v>2.4</c:v>
                </c:pt>
                <c:pt idx="540">
                  <c:v>5.9</c:v>
                </c:pt>
                <c:pt idx="541">
                  <c:v>7.3</c:v>
                </c:pt>
                <c:pt idx="542">
                  <c:v>6.2</c:v>
                </c:pt>
                <c:pt idx="543">
                  <c:v>4.8</c:v>
                </c:pt>
                <c:pt idx="544">
                  <c:v>19.2</c:v>
                </c:pt>
                <c:pt idx="545">
                  <c:v>12</c:v>
                </c:pt>
                <c:pt idx="546">
                  <c:v>12.7</c:v>
                </c:pt>
                <c:pt idx="547">
                  <c:v>16.399999999999999</c:v>
                </c:pt>
                <c:pt idx="548">
                  <c:v>21.1</c:v>
                </c:pt>
                <c:pt idx="549">
                  <c:v>16.100000000000001</c:v>
                </c:pt>
                <c:pt idx="550">
                  <c:v>20.100000000000001</c:v>
                </c:pt>
                <c:pt idx="551">
                  <c:v>13.4</c:v>
                </c:pt>
                <c:pt idx="552">
                  <c:v>30.5</c:v>
                </c:pt>
                <c:pt idx="553">
                  <c:v>29.7</c:v>
                </c:pt>
                <c:pt idx="554">
                  <c:v>27.4</c:v>
                </c:pt>
                <c:pt idx="555">
                  <c:v>25.8</c:v>
                </c:pt>
                <c:pt idx="556">
                  <c:v>27.3</c:v>
                </c:pt>
                <c:pt idx="557">
                  <c:v>28.2</c:v>
                </c:pt>
                <c:pt idx="558">
                  <c:v>24.3</c:v>
                </c:pt>
                <c:pt idx="559">
                  <c:v>23.7</c:v>
                </c:pt>
                <c:pt idx="560">
                  <c:v>10.3</c:v>
                </c:pt>
                <c:pt idx="561">
                  <c:v>12.6</c:v>
                </c:pt>
                <c:pt idx="562">
                  <c:v>10.7</c:v>
                </c:pt>
                <c:pt idx="563">
                  <c:v>17.8</c:v>
                </c:pt>
                <c:pt idx="564">
                  <c:v>17.399999999999999</c:v>
                </c:pt>
                <c:pt idx="565">
                  <c:v>11.2</c:v>
                </c:pt>
                <c:pt idx="566">
                  <c:v>4.7</c:v>
                </c:pt>
                <c:pt idx="567">
                  <c:v>7.3</c:v>
                </c:pt>
                <c:pt idx="568">
                  <c:v>8</c:v>
                </c:pt>
                <c:pt idx="569">
                  <c:v>5.9</c:v>
                </c:pt>
                <c:pt idx="570">
                  <c:v>4.3</c:v>
                </c:pt>
                <c:pt idx="571">
                  <c:v>5.3</c:v>
                </c:pt>
                <c:pt idx="572">
                  <c:v>4.0999999999999996</c:v>
                </c:pt>
                <c:pt idx="573">
                  <c:v>6.6</c:v>
                </c:pt>
                <c:pt idx="574">
                  <c:v>3.4</c:v>
                </c:pt>
                <c:pt idx="575">
                  <c:v>5</c:v>
                </c:pt>
                <c:pt idx="576">
                  <c:v>2.1</c:v>
                </c:pt>
                <c:pt idx="577">
                  <c:v>2.9</c:v>
                </c:pt>
                <c:pt idx="578">
                  <c:v>2.7</c:v>
                </c:pt>
                <c:pt idx="579">
                  <c:v>2</c:v>
                </c:pt>
                <c:pt idx="580">
                  <c:v>2.5</c:v>
                </c:pt>
                <c:pt idx="581">
                  <c:v>2.8</c:v>
                </c:pt>
                <c:pt idx="582">
                  <c:v>2.6</c:v>
                </c:pt>
                <c:pt idx="583">
                  <c:v>2.4</c:v>
                </c:pt>
                <c:pt idx="584">
                  <c:v>2.9</c:v>
                </c:pt>
                <c:pt idx="585">
                  <c:v>2.8</c:v>
                </c:pt>
                <c:pt idx="586">
                  <c:v>2.2000000000000002</c:v>
                </c:pt>
                <c:pt idx="587">
                  <c:v>2.4</c:v>
                </c:pt>
                <c:pt idx="588">
                  <c:v>7.4</c:v>
                </c:pt>
                <c:pt idx="589">
                  <c:v>4.7</c:v>
                </c:pt>
                <c:pt idx="590">
                  <c:v>4.0999999999999996</c:v>
                </c:pt>
                <c:pt idx="591">
                  <c:v>6.5</c:v>
                </c:pt>
                <c:pt idx="592">
                  <c:v>16.3</c:v>
                </c:pt>
                <c:pt idx="593">
                  <c:v>16.3</c:v>
                </c:pt>
                <c:pt idx="594">
                  <c:v>13.6</c:v>
                </c:pt>
                <c:pt idx="595">
                  <c:v>14.5</c:v>
                </c:pt>
                <c:pt idx="596">
                  <c:v>12.9</c:v>
                </c:pt>
                <c:pt idx="597">
                  <c:v>20.100000000000001</c:v>
                </c:pt>
                <c:pt idx="598">
                  <c:v>19.399999999999999</c:v>
                </c:pt>
                <c:pt idx="599">
                  <c:v>15.5</c:v>
                </c:pt>
                <c:pt idx="600">
                  <c:v>33</c:v>
                </c:pt>
                <c:pt idx="601">
                  <c:v>25.5</c:v>
                </c:pt>
                <c:pt idx="602">
                  <c:v>19.399999999999999</c:v>
                </c:pt>
                <c:pt idx="603">
                  <c:v>24.6</c:v>
                </c:pt>
                <c:pt idx="604">
                  <c:v>33.200000000000003</c:v>
                </c:pt>
                <c:pt idx="605">
                  <c:v>34.9</c:v>
                </c:pt>
                <c:pt idx="606">
                  <c:v>19.899999999999999</c:v>
                </c:pt>
                <c:pt idx="607">
                  <c:v>19.899999999999999</c:v>
                </c:pt>
                <c:pt idx="608">
                  <c:v>13.2</c:v>
                </c:pt>
                <c:pt idx="609">
                  <c:v>16.8</c:v>
                </c:pt>
                <c:pt idx="610">
                  <c:v>16.2</c:v>
                </c:pt>
                <c:pt idx="611">
                  <c:v>18.100000000000001</c:v>
                </c:pt>
                <c:pt idx="612">
                  <c:v>14.3</c:v>
                </c:pt>
                <c:pt idx="613">
                  <c:v>18.5</c:v>
                </c:pt>
                <c:pt idx="614">
                  <c:v>5.6</c:v>
                </c:pt>
                <c:pt idx="615">
                  <c:v>3.1</c:v>
                </c:pt>
                <c:pt idx="616">
                  <c:v>5.8</c:v>
                </c:pt>
                <c:pt idx="617">
                  <c:v>7.6</c:v>
                </c:pt>
                <c:pt idx="618">
                  <c:v>4.0999999999999996</c:v>
                </c:pt>
                <c:pt idx="619">
                  <c:v>6.7</c:v>
                </c:pt>
                <c:pt idx="620">
                  <c:v>4</c:v>
                </c:pt>
                <c:pt idx="621">
                  <c:v>3.4</c:v>
                </c:pt>
                <c:pt idx="622">
                  <c:v>6.9</c:v>
                </c:pt>
                <c:pt idx="623">
                  <c:v>4.5999999999999996</c:v>
                </c:pt>
                <c:pt idx="624">
                  <c:v>2.7</c:v>
                </c:pt>
                <c:pt idx="625">
                  <c:v>2.2000000000000002</c:v>
                </c:pt>
                <c:pt idx="626">
                  <c:v>2.5</c:v>
                </c:pt>
                <c:pt idx="627">
                  <c:v>2.9</c:v>
                </c:pt>
                <c:pt idx="628">
                  <c:v>2.2999999999999998</c:v>
                </c:pt>
                <c:pt idx="629">
                  <c:v>2.6</c:v>
                </c:pt>
                <c:pt idx="630">
                  <c:v>2.8</c:v>
                </c:pt>
                <c:pt idx="631">
                  <c:v>2.4</c:v>
                </c:pt>
                <c:pt idx="632">
                  <c:v>2</c:v>
                </c:pt>
                <c:pt idx="633">
                  <c:v>2.2999999999999998</c:v>
                </c:pt>
                <c:pt idx="634">
                  <c:v>2.9</c:v>
                </c:pt>
                <c:pt idx="635">
                  <c:v>1.9</c:v>
                </c:pt>
                <c:pt idx="636">
                  <c:v>6.9</c:v>
                </c:pt>
                <c:pt idx="637">
                  <c:v>6.2</c:v>
                </c:pt>
                <c:pt idx="638">
                  <c:v>7.7</c:v>
                </c:pt>
                <c:pt idx="639">
                  <c:v>6</c:v>
                </c:pt>
                <c:pt idx="640">
                  <c:v>13.5</c:v>
                </c:pt>
                <c:pt idx="641">
                  <c:v>20.399999999999999</c:v>
                </c:pt>
                <c:pt idx="642">
                  <c:v>14.1</c:v>
                </c:pt>
                <c:pt idx="643">
                  <c:v>19</c:v>
                </c:pt>
                <c:pt idx="644">
                  <c:v>20.8</c:v>
                </c:pt>
                <c:pt idx="645">
                  <c:v>16.5</c:v>
                </c:pt>
                <c:pt idx="646">
                  <c:v>20.399999999999999</c:v>
                </c:pt>
                <c:pt idx="647">
                  <c:v>18.5</c:v>
                </c:pt>
                <c:pt idx="648">
                  <c:v>33</c:v>
                </c:pt>
                <c:pt idx="649">
                  <c:v>30</c:v>
                </c:pt>
                <c:pt idx="650">
                  <c:v>22.3</c:v>
                </c:pt>
                <c:pt idx="651">
                  <c:v>34.1</c:v>
                </c:pt>
                <c:pt idx="652">
                  <c:v>33.5</c:v>
                </c:pt>
                <c:pt idx="653">
                  <c:v>27.6</c:v>
                </c:pt>
                <c:pt idx="654">
                  <c:v>23.6</c:v>
                </c:pt>
                <c:pt idx="655">
                  <c:v>18.3</c:v>
                </c:pt>
                <c:pt idx="656">
                  <c:v>12.5</c:v>
                </c:pt>
                <c:pt idx="657">
                  <c:v>19.8</c:v>
                </c:pt>
                <c:pt idx="658">
                  <c:v>17.8</c:v>
                </c:pt>
                <c:pt idx="659">
                  <c:v>12.3</c:v>
                </c:pt>
                <c:pt idx="660">
                  <c:v>12.3</c:v>
                </c:pt>
                <c:pt idx="661">
                  <c:v>12.2</c:v>
                </c:pt>
                <c:pt idx="662">
                  <c:v>3.1</c:v>
                </c:pt>
                <c:pt idx="663">
                  <c:v>5.4</c:v>
                </c:pt>
                <c:pt idx="664">
                  <c:v>5.6</c:v>
                </c:pt>
                <c:pt idx="665">
                  <c:v>6.6</c:v>
                </c:pt>
                <c:pt idx="666">
                  <c:v>3.9</c:v>
                </c:pt>
                <c:pt idx="667">
                  <c:v>7.5</c:v>
                </c:pt>
                <c:pt idx="668">
                  <c:v>4.5999999999999996</c:v>
                </c:pt>
                <c:pt idx="669">
                  <c:v>3.7</c:v>
                </c:pt>
                <c:pt idx="670">
                  <c:v>5.9</c:v>
                </c:pt>
                <c:pt idx="671">
                  <c:v>3.9</c:v>
                </c:pt>
                <c:pt idx="672">
                  <c:v>1.9</c:v>
                </c:pt>
                <c:pt idx="673">
                  <c:v>1.9</c:v>
                </c:pt>
                <c:pt idx="674">
                  <c:v>2.2999999999999998</c:v>
                </c:pt>
                <c:pt idx="675">
                  <c:v>2.9</c:v>
                </c:pt>
                <c:pt idx="676">
                  <c:v>3</c:v>
                </c:pt>
                <c:pt idx="677">
                  <c:v>2.5</c:v>
                </c:pt>
                <c:pt idx="678">
                  <c:v>2.2999999999999998</c:v>
                </c:pt>
                <c:pt idx="679">
                  <c:v>2</c:v>
                </c:pt>
                <c:pt idx="680">
                  <c:v>2.2000000000000002</c:v>
                </c:pt>
                <c:pt idx="681">
                  <c:v>2</c:v>
                </c:pt>
                <c:pt idx="682">
                  <c:v>2.5</c:v>
                </c:pt>
                <c:pt idx="683">
                  <c:v>2</c:v>
                </c:pt>
                <c:pt idx="684">
                  <c:v>6.6</c:v>
                </c:pt>
                <c:pt idx="685">
                  <c:v>5.2</c:v>
                </c:pt>
                <c:pt idx="686">
                  <c:v>7.7</c:v>
                </c:pt>
                <c:pt idx="687">
                  <c:v>4</c:v>
                </c:pt>
                <c:pt idx="688">
                  <c:v>20</c:v>
                </c:pt>
                <c:pt idx="689">
                  <c:v>13</c:v>
                </c:pt>
                <c:pt idx="690">
                  <c:v>12.7</c:v>
                </c:pt>
                <c:pt idx="691">
                  <c:v>14</c:v>
                </c:pt>
                <c:pt idx="692">
                  <c:v>18.399999999999999</c:v>
                </c:pt>
                <c:pt idx="693">
                  <c:v>17.3</c:v>
                </c:pt>
                <c:pt idx="694">
                  <c:v>16.600000000000001</c:v>
                </c:pt>
                <c:pt idx="695">
                  <c:v>15.1</c:v>
                </c:pt>
                <c:pt idx="696">
                  <c:v>20.399999999999999</c:v>
                </c:pt>
                <c:pt idx="697">
                  <c:v>32.700000000000003</c:v>
                </c:pt>
                <c:pt idx="698">
                  <c:v>33.200000000000003</c:v>
                </c:pt>
                <c:pt idx="699">
                  <c:v>21.6</c:v>
                </c:pt>
                <c:pt idx="700">
                  <c:v>21.6</c:v>
                </c:pt>
                <c:pt idx="701">
                  <c:v>26.1</c:v>
                </c:pt>
                <c:pt idx="702">
                  <c:v>26.2</c:v>
                </c:pt>
                <c:pt idx="703">
                  <c:v>34.6</c:v>
                </c:pt>
                <c:pt idx="704">
                  <c:v>16.5</c:v>
                </c:pt>
                <c:pt idx="705">
                  <c:v>10.4</c:v>
                </c:pt>
                <c:pt idx="706">
                  <c:v>19.2</c:v>
                </c:pt>
                <c:pt idx="707">
                  <c:v>16</c:v>
                </c:pt>
                <c:pt idx="708">
                  <c:v>16.100000000000001</c:v>
                </c:pt>
                <c:pt idx="709">
                  <c:v>16.2</c:v>
                </c:pt>
                <c:pt idx="710">
                  <c:v>3.7</c:v>
                </c:pt>
                <c:pt idx="711">
                  <c:v>5.5</c:v>
                </c:pt>
                <c:pt idx="712">
                  <c:v>4.7</c:v>
                </c:pt>
                <c:pt idx="713">
                  <c:v>6.6</c:v>
                </c:pt>
                <c:pt idx="714">
                  <c:v>5.8</c:v>
                </c:pt>
                <c:pt idx="715">
                  <c:v>4.0999999999999996</c:v>
                </c:pt>
                <c:pt idx="716">
                  <c:v>7.8</c:v>
                </c:pt>
                <c:pt idx="717">
                  <c:v>3.5</c:v>
                </c:pt>
                <c:pt idx="718">
                  <c:v>7.2</c:v>
                </c:pt>
                <c:pt idx="719">
                  <c:v>3.6</c:v>
                </c:pt>
                <c:pt idx="720">
                  <c:v>2.4</c:v>
                </c:pt>
                <c:pt idx="721">
                  <c:v>2</c:v>
                </c:pt>
                <c:pt idx="722">
                  <c:v>2.9</c:v>
                </c:pt>
                <c:pt idx="723">
                  <c:v>3</c:v>
                </c:pt>
                <c:pt idx="724">
                  <c:v>2.2000000000000002</c:v>
                </c:pt>
                <c:pt idx="725">
                  <c:v>2.7</c:v>
                </c:pt>
                <c:pt idx="726">
                  <c:v>1.8</c:v>
                </c:pt>
                <c:pt idx="727">
                  <c:v>1.8</c:v>
                </c:pt>
                <c:pt idx="728">
                  <c:v>2.8</c:v>
                </c:pt>
                <c:pt idx="729">
                  <c:v>2.2999999999999998</c:v>
                </c:pt>
                <c:pt idx="730">
                  <c:v>2.4</c:v>
                </c:pt>
                <c:pt idx="731">
                  <c:v>3</c:v>
                </c:pt>
                <c:pt idx="732">
                  <c:v>5.3</c:v>
                </c:pt>
                <c:pt idx="733">
                  <c:v>6.5</c:v>
                </c:pt>
                <c:pt idx="734">
                  <c:v>7.8</c:v>
                </c:pt>
                <c:pt idx="735">
                  <c:v>6.5</c:v>
                </c:pt>
                <c:pt idx="736">
                  <c:v>14.2</c:v>
                </c:pt>
                <c:pt idx="737">
                  <c:v>14.1</c:v>
                </c:pt>
                <c:pt idx="738">
                  <c:v>13</c:v>
                </c:pt>
                <c:pt idx="739">
                  <c:v>18.899999999999999</c:v>
                </c:pt>
                <c:pt idx="740">
                  <c:v>20.100000000000001</c:v>
                </c:pt>
                <c:pt idx="741">
                  <c:v>19.8</c:v>
                </c:pt>
                <c:pt idx="742">
                  <c:v>18.8</c:v>
                </c:pt>
                <c:pt idx="743">
                  <c:v>18.2</c:v>
                </c:pt>
                <c:pt idx="744">
                  <c:v>20.3</c:v>
                </c:pt>
                <c:pt idx="745">
                  <c:v>27.2</c:v>
                </c:pt>
                <c:pt idx="746">
                  <c:v>34.1</c:v>
                </c:pt>
                <c:pt idx="747">
                  <c:v>34.9</c:v>
                </c:pt>
                <c:pt idx="748">
                  <c:v>24.2</c:v>
                </c:pt>
                <c:pt idx="749">
                  <c:v>26.7</c:v>
                </c:pt>
                <c:pt idx="750">
                  <c:v>18.399999999999999</c:v>
                </c:pt>
                <c:pt idx="751">
                  <c:v>20.9</c:v>
                </c:pt>
                <c:pt idx="752">
                  <c:v>12.7</c:v>
                </c:pt>
                <c:pt idx="753">
                  <c:v>17.600000000000001</c:v>
                </c:pt>
                <c:pt idx="754">
                  <c:v>10.8</c:v>
                </c:pt>
                <c:pt idx="755">
                  <c:v>19</c:v>
                </c:pt>
                <c:pt idx="756">
                  <c:v>12.6</c:v>
                </c:pt>
                <c:pt idx="757">
                  <c:v>13</c:v>
                </c:pt>
                <c:pt idx="758">
                  <c:v>4.4000000000000004</c:v>
                </c:pt>
                <c:pt idx="759">
                  <c:v>4.2</c:v>
                </c:pt>
                <c:pt idx="760">
                  <c:v>6.4</c:v>
                </c:pt>
                <c:pt idx="761">
                  <c:v>5.5</c:v>
                </c:pt>
                <c:pt idx="762">
                  <c:v>3.5</c:v>
                </c:pt>
                <c:pt idx="763">
                  <c:v>7.4</c:v>
                </c:pt>
                <c:pt idx="764">
                  <c:v>4.4000000000000004</c:v>
                </c:pt>
                <c:pt idx="765">
                  <c:v>7.6</c:v>
                </c:pt>
                <c:pt idx="766">
                  <c:v>5</c:v>
                </c:pt>
                <c:pt idx="767">
                  <c:v>7.1</c:v>
                </c:pt>
                <c:pt idx="768">
                  <c:v>1.9</c:v>
                </c:pt>
                <c:pt idx="769">
                  <c:v>2.6</c:v>
                </c:pt>
                <c:pt idx="770">
                  <c:v>2.1</c:v>
                </c:pt>
                <c:pt idx="771">
                  <c:v>2.6</c:v>
                </c:pt>
                <c:pt idx="772">
                  <c:v>2.2999999999999998</c:v>
                </c:pt>
                <c:pt idx="773">
                  <c:v>2.7</c:v>
                </c:pt>
                <c:pt idx="774">
                  <c:v>2.4</c:v>
                </c:pt>
                <c:pt idx="775">
                  <c:v>1.8</c:v>
                </c:pt>
                <c:pt idx="776">
                  <c:v>2.6</c:v>
                </c:pt>
                <c:pt idx="777">
                  <c:v>2.7</c:v>
                </c:pt>
                <c:pt idx="778">
                  <c:v>2.7</c:v>
                </c:pt>
                <c:pt idx="779">
                  <c:v>2.7</c:v>
                </c:pt>
                <c:pt idx="780">
                  <c:v>5.5</c:v>
                </c:pt>
                <c:pt idx="781">
                  <c:v>7.6</c:v>
                </c:pt>
                <c:pt idx="782">
                  <c:v>7.1</c:v>
                </c:pt>
                <c:pt idx="783">
                  <c:v>4.5</c:v>
                </c:pt>
                <c:pt idx="784">
                  <c:v>18.7</c:v>
                </c:pt>
                <c:pt idx="785">
                  <c:v>18.5</c:v>
                </c:pt>
                <c:pt idx="786">
                  <c:v>16.399999999999999</c:v>
                </c:pt>
                <c:pt idx="787">
                  <c:v>14.7</c:v>
                </c:pt>
                <c:pt idx="788">
                  <c:v>20.6</c:v>
                </c:pt>
                <c:pt idx="789">
                  <c:v>14.3</c:v>
                </c:pt>
                <c:pt idx="790">
                  <c:v>13.9</c:v>
                </c:pt>
                <c:pt idx="791">
                  <c:v>12.3</c:v>
                </c:pt>
                <c:pt idx="792">
                  <c:v>23</c:v>
                </c:pt>
                <c:pt idx="793">
                  <c:v>27.5</c:v>
                </c:pt>
                <c:pt idx="794">
                  <c:v>30.5</c:v>
                </c:pt>
                <c:pt idx="795">
                  <c:v>20.399999999999999</c:v>
                </c:pt>
                <c:pt idx="796">
                  <c:v>19.399999999999999</c:v>
                </c:pt>
                <c:pt idx="797">
                  <c:v>21.7</c:v>
                </c:pt>
                <c:pt idx="798">
                  <c:v>30.4</c:v>
                </c:pt>
                <c:pt idx="799">
                  <c:v>18.899999999999999</c:v>
                </c:pt>
                <c:pt idx="800">
                  <c:v>14.9</c:v>
                </c:pt>
                <c:pt idx="801">
                  <c:v>14.2</c:v>
                </c:pt>
                <c:pt idx="802">
                  <c:v>18.3</c:v>
                </c:pt>
                <c:pt idx="803">
                  <c:v>19.100000000000001</c:v>
                </c:pt>
                <c:pt idx="804">
                  <c:v>15.4</c:v>
                </c:pt>
                <c:pt idx="805">
                  <c:v>13.4</c:v>
                </c:pt>
                <c:pt idx="806">
                  <c:v>3.9</c:v>
                </c:pt>
                <c:pt idx="807">
                  <c:v>4.5</c:v>
                </c:pt>
                <c:pt idx="808">
                  <c:v>4.3</c:v>
                </c:pt>
                <c:pt idx="809">
                  <c:v>4.9000000000000004</c:v>
                </c:pt>
                <c:pt idx="810">
                  <c:v>5.0999999999999996</c:v>
                </c:pt>
                <c:pt idx="811">
                  <c:v>3.3</c:v>
                </c:pt>
                <c:pt idx="812">
                  <c:v>6.8</c:v>
                </c:pt>
                <c:pt idx="813">
                  <c:v>3.1</c:v>
                </c:pt>
                <c:pt idx="814">
                  <c:v>5.3</c:v>
                </c:pt>
                <c:pt idx="815">
                  <c:v>3</c:v>
                </c:pt>
                <c:pt idx="816">
                  <c:v>2</c:v>
                </c:pt>
                <c:pt idx="817">
                  <c:v>2.9</c:v>
                </c:pt>
                <c:pt idx="818">
                  <c:v>2.7</c:v>
                </c:pt>
                <c:pt idx="819">
                  <c:v>2.4</c:v>
                </c:pt>
                <c:pt idx="820">
                  <c:v>2.7</c:v>
                </c:pt>
                <c:pt idx="821">
                  <c:v>2.9</c:v>
                </c:pt>
                <c:pt idx="822">
                  <c:v>1.9</c:v>
                </c:pt>
                <c:pt idx="823">
                  <c:v>2.9</c:v>
                </c:pt>
                <c:pt idx="824">
                  <c:v>1.9</c:v>
                </c:pt>
                <c:pt idx="825">
                  <c:v>2.2999999999999998</c:v>
                </c:pt>
                <c:pt idx="826">
                  <c:v>1.8</c:v>
                </c:pt>
                <c:pt idx="827">
                  <c:v>2.8</c:v>
                </c:pt>
                <c:pt idx="828">
                  <c:v>7.4</c:v>
                </c:pt>
                <c:pt idx="829">
                  <c:v>7.5</c:v>
                </c:pt>
                <c:pt idx="830">
                  <c:v>5</c:v>
                </c:pt>
                <c:pt idx="831">
                  <c:v>6.3</c:v>
                </c:pt>
                <c:pt idx="832">
                  <c:v>21.1</c:v>
                </c:pt>
                <c:pt idx="833">
                  <c:v>13.9</c:v>
                </c:pt>
                <c:pt idx="834">
                  <c:v>20.100000000000001</c:v>
                </c:pt>
                <c:pt idx="835">
                  <c:v>14.2</c:v>
                </c:pt>
                <c:pt idx="836">
                  <c:v>14.3</c:v>
                </c:pt>
                <c:pt idx="837">
                  <c:v>13.5</c:v>
                </c:pt>
                <c:pt idx="838">
                  <c:v>13</c:v>
                </c:pt>
                <c:pt idx="839">
                  <c:v>20.2</c:v>
                </c:pt>
                <c:pt idx="840">
                  <c:v>23.9</c:v>
                </c:pt>
                <c:pt idx="841">
                  <c:v>29.8</c:v>
                </c:pt>
                <c:pt idx="842">
                  <c:v>26.3</c:v>
                </c:pt>
                <c:pt idx="843">
                  <c:v>29.1</c:v>
                </c:pt>
                <c:pt idx="844">
                  <c:v>29.9</c:v>
                </c:pt>
                <c:pt idx="845">
                  <c:v>31.7</c:v>
                </c:pt>
                <c:pt idx="846">
                  <c:v>28.8</c:v>
                </c:pt>
                <c:pt idx="847">
                  <c:v>18.2</c:v>
                </c:pt>
                <c:pt idx="848">
                  <c:v>10.1</c:v>
                </c:pt>
                <c:pt idx="849">
                  <c:v>13.4</c:v>
                </c:pt>
                <c:pt idx="850">
                  <c:v>14.3</c:v>
                </c:pt>
                <c:pt idx="851">
                  <c:v>12.5</c:v>
                </c:pt>
                <c:pt idx="852">
                  <c:v>17</c:v>
                </c:pt>
                <c:pt idx="853">
                  <c:v>12.7</c:v>
                </c:pt>
                <c:pt idx="854">
                  <c:v>5.8</c:v>
                </c:pt>
                <c:pt idx="855">
                  <c:v>3.2</c:v>
                </c:pt>
                <c:pt idx="856">
                  <c:v>7.4</c:v>
                </c:pt>
                <c:pt idx="857">
                  <c:v>4.3</c:v>
                </c:pt>
                <c:pt idx="858">
                  <c:v>6.9</c:v>
                </c:pt>
                <c:pt idx="859">
                  <c:v>7.7</c:v>
                </c:pt>
                <c:pt idx="860">
                  <c:v>5.2</c:v>
                </c:pt>
                <c:pt idx="861">
                  <c:v>3.2</c:v>
                </c:pt>
                <c:pt idx="862">
                  <c:v>4.2</c:v>
                </c:pt>
                <c:pt idx="863">
                  <c:v>5.6</c:v>
                </c:pt>
                <c:pt idx="864">
                  <c:v>3</c:v>
                </c:pt>
                <c:pt idx="865">
                  <c:v>1.9</c:v>
                </c:pt>
                <c:pt idx="866">
                  <c:v>1.9</c:v>
                </c:pt>
                <c:pt idx="867">
                  <c:v>2.6</c:v>
                </c:pt>
                <c:pt idx="868">
                  <c:v>2.7</c:v>
                </c:pt>
                <c:pt idx="869">
                  <c:v>2.2999999999999998</c:v>
                </c:pt>
                <c:pt idx="870">
                  <c:v>2.2000000000000002</c:v>
                </c:pt>
                <c:pt idx="871">
                  <c:v>2.6</c:v>
                </c:pt>
                <c:pt idx="872">
                  <c:v>2.6</c:v>
                </c:pt>
                <c:pt idx="873">
                  <c:v>2</c:v>
                </c:pt>
                <c:pt idx="874">
                  <c:v>2.6</c:v>
                </c:pt>
                <c:pt idx="875">
                  <c:v>2.1</c:v>
                </c:pt>
                <c:pt idx="876">
                  <c:v>7.3</c:v>
                </c:pt>
                <c:pt idx="877">
                  <c:v>6.6</c:v>
                </c:pt>
                <c:pt idx="878">
                  <c:v>4</c:v>
                </c:pt>
                <c:pt idx="879">
                  <c:v>5.5</c:v>
                </c:pt>
                <c:pt idx="880">
                  <c:v>19.899999999999999</c:v>
                </c:pt>
                <c:pt idx="881">
                  <c:v>18.100000000000001</c:v>
                </c:pt>
                <c:pt idx="882">
                  <c:v>12.1</c:v>
                </c:pt>
                <c:pt idx="883">
                  <c:v>16.399999999999999</c:v>
                </c:pt>
                <c:pt idx="884">
                  <c:v>14.2</c:v>
                </c:pt>
                <c:pt idx="885">
                  <c:v>14.1</c:v>
                </c:pt>
                <c:pt idx="886">
                  <c:v>17.899999999999999</c:v>
                </c:pt>
                <c:pt idx="887">
                  <c:v>20.399999999999999</c:v>
                </c:pt>
                <c:pt idx="888">
                  <c:v>25.4</c:v>
                </c:pt>
                <c:pt idx="889">
                  <c:v>19.100000000000001</c:v>
                </c:pt>
                <c:pt idx="890">
                  <c:v>20</c:v>
                </c:pt>
                <c:pt idx="891">
                  <c:v>20.100000000000001</c:v>
                </c:pt>
                <c:pt idx="892">
                  <c:v>29.9</c:v>
                </c:pt>
                <c:pt idx="893">
                  <c:v>20.8</c:v>
                </c:pt>
                <c:pt idx="894">
                  <c:v>27.8</c:v>
                </c:pt>
                <c:pt idx="895">
                  <c:v>27.1</c:v>
                </c:pt>
                <c:pt idx="896">
                  <c:v>13.8</c:v>
                </c:pt>
                <c:pt idx="897">
                  <c:v>18.8</c:v>
                </c:pt>
                <c:pt idx="898">
                  <c:v>12.8</c:v>
                </c:pt>
                <c:pt idx="899">
                  <c:v>18.3</c:v>
                </c:pt>
                <c:pt idx="900">
                  <c:v>13.3</c:v>
                </c:pt>
                <c:pt idx="901">
                  <c:v>10.6</c:v>
                </c:pt>
                <c:pt idx="902">
                  <c:v>7.8</c:v>
                </c:pt>
                <c:pt idx="903">
                  <c:v>5.8</c:v>
                </c:pt>
                <c:pt idx="904">
                  <c:v>4.0999999999999996</c:v>
                </c:pt>
                <c:pt idx="905">
                  <c:v>8</c:v>
                </c:pt>
                <c:pt idx="906">
                  <c:v>7.3</c:v>
                </c:pt>
                <c:pt idx="907">
                  <c:v>6.2</c:v>
                </c:pt>
                <c:pt idx="908">
                  <c:v>7.8</c:v>
                </c:pt>
                <c:pt idx="909">
                  <c:v>4.5999999999999996</c:v>
                </c:pt>
                <c:pt idx="910">
                  <c:v>3.8</c:v>
                </c:pt>
                <c:pt idx="911">
                  <c:v>6.4</c:v>
                </c:pt>
                <c:pt idx="912">
                  <c:v>2.4</c:v>
                </c:pt>
                <c:pt idx="913">
                  <c:v>2.6</c:v>
                </c:pt>
                <c:pt idx="914">
                  <c:v>3</c:v>
                </c:pt>
                <c:pt idx="915">
                  <c:v>3</c:v>
                </c:pt>
                <c:pt idx="916">
                  <c:v>2.2000000000000002</c:v>
                </c:pt>
                <c:pt idx="917">
                  <c:v>1.9</c:v>
                </c:pt>
                <c:pt idx="918">
                  <c:v>2.8</c:v>
                </c:pt>
                <c:pt idx="919">
                  <c:v>2.6</c:v>
                </c:pt>
                <c:pt idx="920">
                  <c:v>2.2999999999999998</c:v>
                </c:pt>
                <c:pt idx="921">
                  <c:v>2.7</c:v>
                </c:pt>
                <c:pt idx="922">
                  <c:v>2.7</c:v>
                </c:pt>
                <c:pt idx="923">
                  <c:v>2.1</c:v>
                </c:pt>
                <c:pt idx="924">
                  <c:v>4</c:v>
                </c:pt>
                <c:pt idx="925">
                  <c:v>5.7</c:v>
                </c:pt>
                <c:pt idx="926">
                  <c:v>6.5</c:v>
                </c:pt>
                <c:pt idx="927">
                  <c:v>7.1</c:v>
                </c:pt>
                <c:pt idx="928">
                  <c:v>15.9</c:v>
                </c:pt>
                <c:pt idx="929">
                  <c:v>19.5</c:v>
                </c:pt>
                <c:pt idx="930">
                  <c:v>12.9</c:v>
                </c:pt>
                <c:pt idx="931">
                  <c:v>13.4</c:v>
                </c:pt>
                <c:pt idx="932">
                  <c:v>17.7</c:v>
                </c:pt>
                <c:pt idx="933">
                  <c:v>13.4</c:v>
                </c:pt>
                <c:pt idx="934">
                  <c:v>16.8</c:v>
                </c:pt>
                <c:pt idx="935">
                  <c:v>21.9</c:v>
                </c:pt>
                <c:pt idx="936">
                  <c:v>21.5</c:v>
                </c:pt>
                <c:pt idx="937">
                  <c:v>27.7</c:v>
                </c:pt>
                <c:pt idx="938">
                  <c:v>33.9</c:v>
                </c:pt>
                <c:pt idx="939">
                  <c:v>21.8</c:v>
                </c:pt>
                <c:pt idx="940">
                  <c:v>28.8</c:v>
                </c:pt>
                <c:pt idx="941">
                  <c:v>24</c:v>
                </c:pt>
                <c:pt idx="942">
                  <c:v>33.4</c:v>
                </c:pt>
                <c:pt idx="943">
                  <c:v>21.1</c:v>
                </c:pt>
                <c:pt idx="944">
                  <c:v>15.5</c:v>
                </c:pt>
                <c:pt idx="945">
                  <c:v>19.899999999999999</c:v>
                </c:pt>
                <c:pt idx="946">
                  <c:v>16.899999999999999</c:v>
                </c:pt>
                <c:pt idx="947">
                  <c:v>15</c:v>
                </c:pt>
                <c:pt idx="948">
                  <c:v>11.1</c:v>
                </c:pt>
                <c:pt idx="949">
                  <c:v>10.1</c:v>
                </c:pt>
                <c:pt idx="950">
                  <c:v>3</c:v>
                </c:pt>
                <c:pt idx="951">
                  <c:v>7.4</c:v>
                </c:pt>
                <c:pt idx="952">
                  <c:v>7.8</c:v>
                </c:pt>
                <c:pt idx="953">
                  <c:v>3</c:v>
                </c:pt>
                <c:pt idx="954">
                  <c:v>4.9000000000000004</c:v>
                </c:pt>
                <c:pt idx="955">
                  <c:v>7.5</c:v>
                </c:pt>
                <c:pt idx="956">
                  <c:v>5.4</c:v>
                </c:pt>
                <c:pt idx="957">
                  <c:v>7.7</c:v>
                </c:pt>
                <c:pt idx="958">
                  <c:v>4.7</c:v>
                </c:pt>
                <c:pt idx="959">
                  <c:v>6.6</c:v>
                </c:pt>
                <c:pt idx="960">
                  <c:v>2.2999999999999998</c:v>
                </c:pt>
                <c:pt idx="961">
                  <c:v>2.2999999999999998</c:v>
                </c:pt>
                <c:pt idx="962">
                  <c:v>3</c:v>
                </c:pt>
                <c:pt idx="963">
                  <c:v>2.4</c:v>
                </c:pt>
                <c:pt idx="964">
                  <c:v>2.2000000000000002</c:v>
                </c:pt>
                <c:pt idx="965">
                  <c:v>2.8</c:v>
                </c:pt>
                <c:pt idx="966">
                  <c:v>2.5</c:v>
                </c:pt>
                <c:pt idx="967">
                  <c:v>2.6</c:v>
                </c:pt>
                <c:pt idx="968">
                  <c:v>2.9</c:v>
                </c:pt>
                <c:pt idx="969">
                  <c:v>2.2000000000000002</c:v>
                </c:pt>
                <c:pt idx="970">
                  <c:v>2</c:v>
                </c:pt>
                <c:pt idx="971">
                  <c:v>2.8</c:v>
                </c:pt>
                <c:pt idx="972">
                  <c:v>6.7</c:v>
                </c:pt>
                <c:pt idx="973">
                  <c:v>7.7</c:v>
                </c:pt>
                <c:pt idx="974">
                  <c:v>5.8</c:v>
                </c:pt>
                <c:pt idx="975">
                  <c:v>7.3</c:v>
                </c:pt>
                <c:pt idx="976">
                  <c:v>15.2</c:v>
                </c:pt>
                <c:pt idx="977">
                  <c:v>19.5</c:v>
                </c:pt>
                <c:pt idx="978">
                  <c:v>13</c:v>
                </c:pt>
                <c:pt idx="979">
                  <c:v>16.3</c:v>
                </c:pt>
                <c:pt idx="980">
                  <c:v>16.2</c:v>
                </c:pt>
                <c:pt idx="981">
                  <c:v>17.3</c:v>
                </c:pt>
                <c:pt idx="982">
                  <c:v>14.3</c:v>
                </c:pt>
                <c:pt idx="983">
                  <c:v>13.5</c:v>
                </c:pt>
                <c:pt idx="984">
                  <c:v>32.200000000000003</c:v>
                </c:pt>
                <c:pt idx="985">
                  <c:v>19.2</c:v>
                </c:pt>
                <c:pt idx="986">
                  <c:v>26.5</c:v>
                </c:pt>
                <c:pt idx="987">
                  <c:v>21.3</c:v>
                </c:pt>
                <c:pt idx="988">
                  <c:v>18.100000000000001</c:v>
                </c:pt>
                <c:pt idx="989">
                  <c:v>27.6</c:v>
                </c:pt>
                <c:pt idx="990">
                  <c:v>26.7</c:v>
                </c:pt>
                <c:pt idx="991">
                  <c:v>22</c:v>
                </c:pt>
                <c:pt idx="992">
                  <c:v>10.199999999999999</c:v>
                </c:pt>
                <c:pt idx="993">
                  <c:v>12.2</c:v>
                </c:pt>
                <c:pt idx="994">
                  <c:v>13.4</c:v>
                </c:pt>
                <c:pt idx="995">
                  <c:v>16.399999999999999</c:v>
                </c:pt>
                <c:pt idx="996">
                  <c:v>13.6</c:v>
                </c:pt>
                <c:pt idx="997">
                  <c:v>19.3</c:v>
                </c:pt>
                <c:pt idx="998">
                  <c:v>7.1</c:v>
                </c:pt>
                <c:pt idx="999">
                  <c:v>5.8</c:v>
                </c:pt>
                <c:pt idx="1000">
                  <c:v>7.6</c:v>
                </c:pt>
                <c:pt idx="1001">
                  <c:v>5.3</c:v>
                </c:pt>
                <c:pt idx="1002">
                  <c:v>4.9000000000000004</c:v>
                </c:pt>
                <c:pt idx="1003">
                  <c:v>5.4</c:v>
                </c:pt>
                <c:pt idx="1004">
                  <c:v>6.5</c:v>
                </c:pt>
                <c:pt idx="1005">
                  <c:v>7</c:v>
                </c:pt>
                <c:pt idx="1006">
                  <c:v>7.7</c:v>
                </c:pt>
                <c:pt idx="1007">
                  <c:v>7.5</c:v>
                </c:pt>
                <c:pt idx="1008">
                  <c:v>2.2999999999999998</c:v>
                </c:pt>
                <c:pt idx="1009">
                  <c:v>1.9</c:v>
                </c:pt>
                <c:pt idx="1010">
                  <c:v>2.6</c:v>
                </c:pt>
                <c:pt idx="1011">
                  <c:v>2.9</c:v>
                </c:pt>
                <c:pt idx="1012">
                  <c:v>2.8</c:v>
                </c:pt>
                <c:pt idx="1013">
                  <c:v>2.2000000000000002</c:v>
                </c:pt>
                <c:pt idx="1014">
                  <c:v>2.5</c:v>
                </c:pt>
                <c:pt idx="1015">
                  <c:v>2.2000000000000002</c:v>
                </c:pt>
                <c:pt idx="1016">
                  <c:v>3</c:v>
                </c:pt>
                <c:pt idx="1017">
                  <c:v>2.6</c:v>
                </c:pt>
                <c:pt idx="1018">
                  <c:v>2.2999999999999998</c:v>
                </c:pt>
                <c:pt idx="1019">
                  <c:v>2.8</c:v>
                </c:pt>
                <c:pt idx="1020">
                  <c:v>6.4</c:v>
                </c:pt>
                <c:pt idx="1021">
                  <c:v>5.3</c:v>
                </c:pt>
                <c:pt idx="1022">
                  <c:v>8</c:v>
                </c:pt>
                <c:pt idx="1023">
                  <c:v>7.5</c:v>
                </c:pt>
                <c:pt idx="1024">
                  <c:v>12.7</c:v>
                </c:pt>
                <c:pt idx="1025">
                  <c:v>21.9</c:v>
                </c:pt>
                <c:pt idx="1026">
                  <c:v>13.5</c:v>
                </c:pt>
                <c:pt idx="1027">
                  <c:v>17.7</c:v>
                </c:pt>
                <c:pt idx="1028">
                  <c:v>17.600000000000001</c:v>
                </c:pt>
                <c:pt idx="1029">
                  <c:v>21.9</c:v>
                </c:pt>
                <c:pt idx="1030">
                  <c:v>21.3</c:v>
                </c:pt>
                <c:pt idx="1031">
                  <c:v>16.399999999999999</c:v>
                </c:pt>
                <c:pt idx="1032">
                  <c:v>19.399999999999999</c:v>
                </c:pt>
                <c:pt idx="1033">
                  <c:v>23.8</c:v>
                </c:pt>
                <c:pt idx="1034">
                  <c:v>25.3</c:v>
                </c:pt>
                <c:pt idx="1035">
                  <c:v>20.399999999999999</c:v>
                </c:pt>
                <c:pt idx="1036">
                  <c:v>31.6</c:v>
                </c:pt>
                <c:pt idx="1037">
                  <c:v>22.2</c:v>
                </c:pt>
                <c:pt idx="1038">
                  <c:v>26.4</c:v>
                </c:pt>
                <c:pt idx="1039">
                  <c:v>20.6</c:v>
                </c:pt>
                <c:pt idx="1040">
                  <c:v>15</c:v>
                </c:pt>
                <c:pt idx="1041">
                  <c:v>14.2</c:v>
                </c:pt>
                <c:pt idx="1042">
                  <c:v>10.8</c:v>
                </c:pt>
                <c:pt idx="1043">
                  <c:v>11.3</c:v>
                </c:pt>
                <c:pt idx="1044">
                  <c:v>11.1</c:v>
                </c:pt>
                <c:pt idx="1045">
                  <c:v>14.2</c:v>
                </c:pt>
                <c:pt idx="1046">
                  <c:v>7.4</c:v>
                </c:pt>
                <c:pt idx="1047">
                  <c:v>4.9000000000000004</c:v>
                </c:pt>
                <c:pt idx="1048">
                  <c:v>4.2</c:v>
                </c:pt>
                <c:pt idx="1049">
                  <c:v>3.6</c:v>
                </c:pt>
                <c:pt idx="1050">
                  <c:v>3.6</c:v>
                </c:pt>
                <c:pt idx="1051">
                  <c:v>4.8</c:v>
                </c:pt>
                <c:pt idx="1052">
                  <c:v>8</c:v>
                </c:pt>
                <c:pt idx="1053">
                  <c:v>5.2</c:v>
                </c:pt>
                <c:pt idx="1054">
                  <c:v>3.6</c:v>
                </c:pt>
                <c:pt idx="1055">
                  <c:v>5.3</c:v>
                </c:pt>
                <c:pt idx="1056">
                  <c:v>2.2999999999999998</c:v>
                </c:pt>
                <c:pt idx="1057">
                  <c:v>3</c:v>
                </c:pt>
                <c:pt idx="1058">
                  <c:v>1.9</c:v>
                </c:pt>
                <c:pt idx="1059">
                  <c:v>2.2999999999999998</c:v>
                </c:pt>
                <c:pt idx="1060">
                  <c:v>2.2000000000000002</c:v>
                </c:pt>
                <c:pt idx="1061">
                  <c:v>1.8</c:v>
                </c:pt>
                <c:pt idx="1062">
                  <c:v>3</c:v>
                </c:pt>
                <c:pt idx="1063">
                  <c:v>2.6</c:v>
                </c:pt>
                <c:pt idx="1064">
                  <c:v>2.4</c:v>
                </c:pt>
                <c:pt idx="1065">
                  <c:v>2.4</c:v>
                </c:pt>
                <c:pt idx="1066">
                  <c:v>2.1</c:v>
                </c:pt>
                <c:pt idx="1067">
                  <c:v>2.2000000000000002</c:v>
                </c:pt>
                <c:pt idx="1068">
                  <c:v>7</c:v>
                </c:pt>
                <c:pt idx="1069">
                  <c:v>7.5</c:v>
                </c:pt>
                <c:pt idx="1070">
                  <c:v>7.4</c:v>
                </c:pt>
                <c:pt idx="1071">
                  <c:v>6.6</c:v>
                </c:pt>
                <c:pt idx="1072">
                  <c:v>13.5</c:v>
                </c:pt>
                <c:pt idx="1073">
                  <c:v>18.5</c:v>
                </c:pt>
                <c:pt idx="1074">
                  <c:v>14.3</c:v>
                </c:pt>
                <c:pt idx="1075">
                  <c:v>19.5</c:v>
                </c:pt>
                <c:pt idx="1076">
                  <c:v>17.7</c:v>
                </c:pt>
                <c:pt idx="1077">
                  <c:v>14.7</c:v>
                </c:pt>
                <c:pt idx="1078">
                  <c:v>22</c:v>
                </c:pt>
                <c:pt idx="1079">
                  <c:v>13.9</c:v>
                </c:pt>
                <c:pt idx="1080">
                  <c:v>22</c:v>
                </c:pt>
                <c:pt idx="1081">
                  <c:v>30.7</c:v>
                </c:pt>
                <c:pt idx="1082">
                  <c:v>20.7</c:v>
                </c:pt>
                <c:pt idx="1083">
                  <c:v>21.3</c:v>
                </c:pt>
                <c:pt idx="1084">
                  <c:v>33.200000000000003</c:v>
                </c:pt>
                <c:pt idx="1085">
                  <c:v>29.3</c:v>
                </c:pt>
                <c:pt idx="1086">
                  <c:v>30</c:v>
                </c:pt>
                <c:pt idx="1087">
                  <c:v>31.1</c:v>
                </c:pt>
                <c:pt idx="1088">
                  <c:v>19.3</c:v>
                </c:pt>
                <c:pt idx="1089">
                  <c:v>17.399999999999999</c:v>
                </c:pt>
                <c:pt idx="1090">
                  <c:v>18.399999999999999</c:v>
                </c:pt>
                <c:pt idx="1091">
                  <c:v>16.8</c:v>
                </c:pt>
                <c:pt idx="1092">
                  <c:v>13.2</c:v>
                </c:pt>
                <c:pt idx="1093">
                  <c:v>19.899999999999999</c:v>
                </c:pt>
                <c:pt idx="1094">
                  <c:v>7.4</c:v>
                </c:pt>
                <c:pt idx="1095">
                  <c:v>7.6</c:v>
                </c:pt>
                <c:pt idx="1096">
                  <c:v>3.9</c:v>
                </c:pt>
                <c:pt idx="1097">
                  <c:v>5.6</c:v>
                </c:pt>
                <c:pt idx="1098">
                  <c:v>5.9</c:v>
                </c:pt>
                <c:pt idx="1099">
                  <c:v>5.8</c:v>
                </c:pt>
                <c:pt idx="1100">
                  <c:v>4.5999999999999996</c:v>
                </c:pt>
                <c:pt idx="1101">
                  <c:v>4.0999999999999996</c:v>
                </c:pt>
                <c:pt idx="1102">
                  <c:v>6.5</c:v>
                </c:pt>
                <c:pt idx="1103">
                  <c:v>5.0999999999999996</c:v>
                </c:pt>
                <c:pt idx="1104">
                  <c:v>2.9</c:v>
                </c:pt>
                <c:pt idx="1105">
                  <c:v>2.4</c:v>
                </c:pt>
                <c:pt idx="1106">
                  <c:v>2.5</c:v>
                </c:pt>
                <c:pt idx="1107">
                  <c:v>2.8</c:v>
                </c:pt>
                <c:pt idx="1108">
                  <c:v>1.8</c:v>
                </c:pt>
                <c:pt idx="1109">
                  <c:v>2.7</c:v>
                </c:pt>
                <c:pt idx="1110">
                  <c:v>2.9</c:v>
                </c:pt>
                <c:pt idx="1111">
                  <c:v>2.2000000000000002</c:v>
                </c:pt>
                <c:pt idx="1112">
                  <c:v>1.9</c:v>
                </c:pt>
                <c:pt idx="1113">
                  <c:v>2.2000000000000002</c:v>
                </c:pt>
                <c:pt idx="1114">
                  <c:v>2.6</c:v>
                </c:pt>
                <c:pt idx="1115">
                  <c:v>2.4</c:v>
                </c:pt>
                <c:pt idx="1116">
                  <c:v>6.7</c:v>
                </c:pt>
                <c:pt idx="1117">
                  <c:v>5.3</c:v>
                </c:pt>
                <c:pt idx="1118">
                  <c:v>4.2</c:v>
                </c:pt>
                <c:pt idx="1119">
                  <c:v>6</c:v>
                </c:pt>
                <c:pt idx="1120">
                  <c:v>14.6</c:v>
                </c:pt>
                <c:pt idx="1121">
                  <c:v>22</c:v>
                </c:pt>
                <c:pt idx="1122">
                  <c:v>17.3</c:v>
                </c:pt>
                <c:pt idx="1123">
                  <c:v>16.600000000000001</c:v>
                </c:pt>
                <c:pt idx="1124">
                  <c:v>19.2</c:v>
                </c:pt>
                <c:pt idx="1125">
                  <c:v>21.9</c:v>
                </c:pt>
                <c:pt idx="1126">
                  <c:v>18.600000000000001</c:v>
                </c:pt>
                <c:pt idx="1127">
                  <c:v>14.4</c:v>
                </c:pt>
                <c:pt idx="1128">
                  <c:v>23.2</c:v>
                </c:pt>
                <c:pt idx="1129">
                  <c:v>21.9</c:v>
                </c:pt>
                <c:pt idx="1130">
                  <c:v>23.7</c:v>
                </c:pt>
                <c:pt idx="1131">
                  <c:v>29</c:v>
                </c:pt>
                <c:pt idx="1132">
                  <c:v>28.2</c:v>
                </c:pt>
                <c:pt idx="1133">
                  <c:v>28.5</c:v>
                </c:pt>
                <c:pt idx="1134">
                  <c:v>34.200000000000003</c:v>
                </c:pt>
                <c:pt idx="1135">
                  <c:v>23.7</c:v>
                </c:pt>
                <c:pt idx="1136">
                  <c:v>18</c:v>
                </c:pt>
                <c:pt idx="1137">
                  <c:v>10.8</c:v>
                </c:pt>
                <c:pt idx="1138">
                  <c:v>10.9</c:v>
                </c:pt>
                <c:pt idx="1139">
                  <c:v>10.8</c:v>
                </c:pt>
                <c:pt idx="1140">
                  <c:v>12.7</c:v>
                </c:pt>
                <c:pt idx="1141">
                  <c:v>12.2</c:v>
                </c:pt>
                <c:pt idx="1142">
                  <c:v>6.7</c:v>
                </c:pt>
                <c:pt idx="1143">
                  <c:v>3.2</c:v>
                </c:pt>
                <c:pt idx="1144">
                  <c:v>3.3</c:v>
                </c:pt>
                <c:pt idx="1145">
                  <c:v>7.2</c:v>
                </c:pt>
                <c:pt idx="1146">
                  <c:v>4.9000000000000004</c:v>
                </c:pt>
                <c:pt idx="1147">
                  <c:v>4.9000000000000004</c:v>
                </c:pt>
                <c:pt idx="1148">
                  <c:v>5.3</c:v>
                </c:pt>
                <c:pt idx="1149">
                  <c:v>7</c:v>
                </c:pt>
                <c:pt idx="1150">
                  <c:v>8</c:v>
                </c:pt>
                <c:pt idx="1151">
                  <c:v>3.2</c:v>
                </c:pt>
                <c:pt idx="1152">
                  <c:v>2.7</c:v>
                </c:pt>
                <c:pt idx="1153">
                  <c:v>2.1</c:v>
                </c:pt>
                <c:pt idx="1154">
                  <c:v>2.5</c:v>
                </c:pt>
                <c:pt idx="1155">
                  <c:v>2</c:v>
                </c:pt>
                <c:pt idx="1156">
                  <c:v>2.2000000000000002</c:v>
                </c:pt>
                <c:pt idx="1157">
                  <c:v>2.7</c:v>
                </c:pt>
                <c:pt idx="1158">
                  <c:v>2.7</c:v>
                </c:pt>
                <c:pt idx="1159">
                  <c:v>2.5</c:v>
                </c:pt>
                <c:pt idx="1160">
                  <c:v>2.5</c:v>
                </c:pt>
                <c:pt idx="1161">
                  <c:v>2.1</c:v>
                </c:pt>
                <c:pt idx="1162">
                  <c:v>2</c:v>
                </c:pt>
                <c:pt idx="1163">
                  <c:v>2.7</c:v>
                </c:pt>
                <c:pt idx="1164">
                  <c:v>4.2</c:v>
                </c:pt>
                <c:pt idx="1165">
                  <c:v>4.8</c:v>
                </c:pt>
                <c:pt idx="1166">
                  <c:v>6.7</c:v>
                </c:pt>
                <c:pt idx="1167">
                  <c:v>7.4</c:v>
                </c:pt>
                <c:pt idx="1168">
                  <c:v>19</c:v>
                </c:pt>
                <c:pt idx="1169">
                  <c:v>19.899999999999999</c:v>
                </c:pt>
                <c:pt idx="1170">
                  <c:v>13.8</c:v>
                </c:pt>
                <c:pt idx="1171">
                  <c:v>15.8</c:v>
                </c:pt>
                <c:pt idx="1172">
                  <c:v>18.600000000000001</c:v>
                </c:pt>
                <c:pt idx="1173">
                  <c:v>14.8</c:v>
                </c:pt>
                <c:pt idx="1174">
                  <c:v>14.2</c:v>
                </c:pt>
                <c:pt idx="1175">
                  <c:v>18.899999999999999</c:v>
                </c:pt>
                <c:pt idx="1176">
                  <c:v>33.1</c:v>
                </c:pt>
                <c:pt idx="1177">
                  <c:v>25.3</c:v>
                </c:pt>
                <c:pt idx="1178">
                  <c:v>23.1</c:v>
                </c:pt>
                <c:pt idx="1179">
                  <c:v>21.8</c:v>
                </c:pt>
                <c:pt idx="1180">
                  <c:v>31.1</c:v>
                </c:pt>
                <c:pt idx="1181">
                  <c:v>24.5</c:v>
                </c:pt>
                <c:pt idx="1182">
                  <c:v>33.700000000000003</c:v>
                </c:pt>
                <c:pt idx="1183">
                  <c:v>20.9</c:v>
                </c:pt>
                <c:pt idx="1184">
                  <c:v>13.2</c:v>
                </c:pt>
                <c:pt idx="1185">
                  <c:v>11.8</c:v>
                </c:pt>
                <c:pt idx="1186">
                  <c:v>11.2</c:v>
                </c:pt>
                <c:pt idx="1187">
                  <c:v>10.1</c:v>
                </c:pt>
                <c:pt idx="1188">
                  <c:v>17.7</c:v>
                </c:pt>
                <c:pt idx="1189">
                  <c:v>11.7</c:v>
                </c:pt>
                <c:pt idx="1190">
                  <c:v>5.3</c:v>
                </c:pt>
                <c:pt idx="1191">
                  <c:v>4.7</c:v>
                </c:pt>
                <c:pt idx="1192">
                  <c:v>3.7</c:v>
                </c:pt>
                <c:pt idx="1193">
                  <c:v>5.7</c:v>
                </c:pt>
                <c:pt idx="1194">
                  <c:v>5.9</c:v>
                </c:pt>
                <c:pt idx="1195">
                  <c:v>7.8</c:v>
                </c:pt>
                <c:pt idx="1196">
                  <c:v>4.5</c:v>
                </c:pt>
                <c:pt idx="1197">
                  <c:v>3.8</c:v>
                </c:pt>
                <c:pt idx="1198">
                  <c:v>4.7</c:v>
                </c:pt>
                <c:pt idx="1199">
                  <c:v>6.2</c:v>
                </c:pt>
                <c:pt idx="1200">
                  <c:v>2.8</c:v>
                </c:pt>
                <c:pt idx="1201">
                  <c:v>2.9</c:v>
                </c:pt>
                <c:pt idx="1202">
                  <c:v>2.6</c:v>
                </c:pt>
                <c:pt idx="1203">
                  <c:v>1.8</c:v>
                </c:pt>
                <c:pt idx="1204">
                  <c:v>2.7</c:v>
                </c:pt>
                <c:pt idx="1205">
                  <c:v>2.4</c:v>
                </c:pt>
                <c:pt idx="1206">
                  <c:v>1.8</c:v>
                </c:pt>
                <c:pt idx="1207">
                  <c:v>2.1</c:v>
                </c:pt>
                <c:pt idx="1208">
                  <c:v>2</c:v>
                </c:pt>
                <c:pt idx="1209">
                  <c:v>2.1</c:v>
                </c:pt>
                <c:pt idx="1210">
                  <c:v>2.7</c:v>
                </c:pt>
                <c:pt idx="1211">
                  <c:v>2</c:v>
                </c:pt>
                <c:pt idx="1212">
                  <c:v>7.6</c:v>
                </c:pt>
                <c:pt idx="1213">
                  <c:v>5.2</c:v>
                </c:pt>
                <c:pt idx="1214">
                  <c:v>4.7</c:v>
                </c:pt>
                <c:pt idx="1215">
                  <c:v>5.0999999999999996</c:v>
                </c:pt>
                <c:pt idx="1216">
                  <c:v>21.9</c:v>
                </c:pt>
                <c:pt idx="1217">
                  <c:v>21.4</c:v>
                </c:pt>
                <c:pt idx="1218">
                  <c:v>20.399999999999999</c:v>
                </c:pt>
                <c:pt idx="1219">
                  <c:v>13.7</c:v>
                </c:pt>
                <c:pt idx="1220">
                  <c:v>13.8</c:v>
                </c:pt>
                <c:pt idx="1221">
                  <c:v>18.899999999999999</c:v>
                </c:pt>
                <c:pt idx="1222">
                  <c:v>21.1</c:v>
                </c:pt>
                <c:pt idx="1223">
                  <c:v>15.8</c:v>
                </c:pt>
                <c:pt idx="1224">
                  <c:v>26.7</c:v>
                </c:pt>
                <c:pt idx="1225">
                  <c:v>31.5</c:v>
                </c:pt>
                <c:pt idx="1226">
                  <c:v>29.1</c:v>
                </c:pt>
                <c:pt idx="1227">
                  <c:v>32.9</c:v>
                </c:pt>
                <c:pt idx="1228">
                  <c:v>33.200000000000003</c:v>
                </c:pt>
                <c:pt idx="1229">
                  <c:v>32</c:v>
                </c:pt>
                <c:pt idx="1230">
                  <c:v>32.299999999999997</c:v>
                </c:pt>
                <c:pt idx="1231">
                  <c:v>22.1</c:v>
                </c:pt>
                <c:pt idx="1232">
                  <c:v>13</c:v>
                </c:pt>
                <c:pt idx="1233">
                  <c:v>19.100000000000001</c:v>
                </c:pt>
                <c:pt idx="1234">
                  <c:v>10.6</c:v>
                </c:pt>
                <c:pt idx="1235">
                  <c:v>15.3</c:v>
                </c:pt>
                <c:pt idx="1236">
                  <c:v>12.4</c:v>
                </c:pt>
                <c:pt idx="1237">
                  <c:v>16.8</c:v>
                </c:pt>
                <c:pt idx="1238">
                  <c:v>3</c:v>
                </c:pt>
                <c:pt idx="1239">
                  <c:v>6.5</c:v>
                </c:pt>
                <c:pt idx="1240">
                  <c:v>7.3</c:v>
                </c:pt>
                <c:pt idx="1241">
                  <c:v>3</c:v>
                </c:pt>
                <c:pt idx="1242">
                  <c:v>4.4000000000000004</c:v>
                </c:pt>
                <c:pt idx="1243">
                  <c:v>6.4</c:v>
                </c:pt>
                <c:pt idx="1244">
                  <c:v>5.7</c:v>
                </c:pt>
                <c:pt idx="1245">
                  <c:v>5.3</c:v>
                </c:pt>
                <c:pt idx="1246">
                  <c:v>4.7</c:v>
                </c:pt>
                <c:pt idx="1247">
                  <c:v>4.5999999999999996</c:v>
                </c:pt>
                <c:pt idx="1248">
                  <c:v>1.8</c:v>
                </c:pt>
                <c:pt idx="1249">
                  <c:v>1.8</c:v>
                </c:pt>
                <c:pt idx="1250">
                  <c:v>2.8</c:v>
                </c:pt>
                <c:pt idx="1251">
                  <c:v>2.6</c:v>
                </c:pt>
                <c:pt idx="1252">
                  <c:v>2.7</c:v>
                </c:pt>
                <c:pt idx="1253">
                  <c:v>1.8</c:v>
                </c:pt>
                <c:pt idx="1254">
                  <c:v>2.6</c:v>
                </c:pt>
                <c:pt idx="1255">
                  <c:v>1.8</c:v>
                </c:pt>
                <c:pt idx="1256">
                  <c:v>2.7</c:v>
                </c:pt>
                <c:pt idx="1257">
                  <c:v>1.8</c:v>
                </c:pt>
                <c:pt idx="1258">
                  <c:v>2.2000000000000002</c:v>
                </c:pt>
                <c:pt idx="1259">
                  <c:v>2.4</c:v>
                </c:pt>
                <c:pt idx="1260">
                  <c:v>5.9</c:v>
                </c:pt>
                <c:pt idx="1261">
                  <c:v>5.4</c:v>
                </c:pt>
                <c:pt idx="1262">
                  <c:v>7.2</c:v>
                </c:pt>
                <c:pt idx="1263">
                  <c:v>7.5</c:v>
                </c:pt>
                <c:pt idx="1264">
                  <c:v>17.2</c:v>
                </c:pt>
                <c:pt idx="1265">
                  <c:v>15.2</c:v>
                </c:pt>
                <c:pt idx="1266">
                  <c:v>17.5</c:v>
                </c:pt>
                <c:pt idx="1267">
                  <c:v>18.7</c:v>
                </c:pt>
                <c:pt idx="1268">
                  <c:v>21.7</c:v>
                </c:pt>
                <c:pt idx="1269">
                  <c:v>18.2</c:v>
                </c:pt>
                <c:pt idx="1270">
                  <c:v>12.3</c:v>
                </c:pt>
                <c:pt idx="1271">
                  <c:v>14.1</c:v>
                </c:pt>
                <c:pt idx="1272">
                  <c:v>24.1</c:v>
                </c:pt>
                <c:pt idx="1273">
                  <c:v>29.1</c:v>
                </c:pt>
                <c:pt idx="1274">
                  <c:v>18</c:v>
                </c:pt>
                <c:pt idx="1275">
                  <c:v>27.6</c:v>
                </c:pt>
                <c:pt idx="1276">
                  <c:v>20.9</c:v>
                </c:pt>
                <c:pt idx="1277">
                  <c:v>20.399999999999999</c:v>
                </c:pt>
                <c:pt idx="1278">
                  <c:v>32.799999999999997</c:v>
                </c:pt>
                <c:pt idx="1279">
                  <c:v>27.9</c:v>
                </c:pt>
                <c:pt idx="1280">
                  <c:v>14.3</c:v>
                </c:pt>
                <c:pt idx="1281">
                  <c:v>17.7</c:v>
                </c:pt>
                <c:pt idx="1282">
                  <c:v>10.6</c:v>
                </c:pt>
                <c:pt idx="1283">
                  <c:v>19.3</c:v>
                </c:pt>
                <c:pt idx="1284">
                  <c:v>16.100000000000001</c:v>
                </c:pt>
                <c:pt idx="1285">
                  <c:v>17.3</c:v>
                </c:pt>
                <c:pt idx="1286">
                  <c:v>3.8</c:v>
                </c:pt>
                <c:pt idx="1287">
                  <c:v>4.2</c:v>
                </c:pt>
                <c:pt idx="1288">
                  <c:v>7.9</c:v>
                </c:pt>
                <c:pt idx="1289">
                  <c:v>3.7</c:v>
                </c:pt>
                <c:pt idx="1290">
                  <c:v>3.9</c:v>
                </c:pt>
                <c:pt idx="1291">
                  <c:v>3.5</c:v>
                </c:pt>
                <c:pt idx="1292">
                  <c:v>3.6</c:v>
                </c:pt>
                <c:pt idx="1293">
                  <c:v>4.5</c:v>
                </c:pt>
                <c:pt idx="1294">
                  <c:v>5.8</c:v>
                </c:pt>
                <c:pt idx="1295">
                  <c:v>3.6</c:v>
                </c:pt>
                <c:pt idx="1296">
                  <c:v>2.4</c:v>
                </c:pt>
                <c:pt idx="1297">
                  <c:v>2.4</c:v>
                </c:pt>
                <c:pt idx="1298">
                  <c:v>2.7</c:v>
                </c:pt>
                <c:pt idx="1299">
                  <c:v>2.9</c:v>
                </c:pt>
                <c:pt idx="1300">
                  <c:v>2</c:v>
                </c:pt>
                <c:pt idx="1301">
                  <c:v>2.7</c:v>
                </c:pt>
                <c:pt idx="1302">
                  <c:v>2.9</c:v>
                </c:pt>
                <c:pt idx="1303">
                  <c:v>2.6</c:v>
                </c:pt>
                <c:pt idx="1304">
                  <c:v>2.2000000000000002</c:v>
                </c:pt>
                <c:pt idx="1305">
                  <c:v>2.2999999999999998</c:v>
                </c:pt>
                <c:pt idx="1306">
                  <c:v>1.9</c:v>
                </c:pt>
                <c:pt idx="1307">
                  <c:v>2</c:v>
                </c:pt>
                <c:pt idx="1308">
                  <c:v>6.3</c:v>
                </c:pt>
                <c:pt idx="1309">
                  <c:v>5.8</c:v>
                </c:pt>
                <c:pt idx="1310">
                  <c:v>6.2</c:v>
                </c:pt>
                <c:pt idx="1311">
                  <c:v>6.9</c:v>
                </c:pt>
                <c:pt idx="1312">
                  <c:v>15.8</c:v>
                </c:pt>
                <c:pt idx="1313">
                  <c:v>20.2</c:v>
                </c:pt>
                <c:pt idx="1314">
                  <c:v>18.100000000000001</c:v>
                </c:pt>
                <c:pt idx="1315">
                  <c:v>12.9</c:v>
                </c:pt>
                <c:pt idx="1316">
                  <c:v>16</c:v>
                </c:pt>
                <c:pt idx="1317">
                  <c:v>19.100000000000001</c:v>
                </c:pt>
                <c:pt idx="1318">
                  <c:v>13.5</c:v>
                </c:pt>
                <c:pt idx="1319">
                  <c:v>19.600000000000001</c:v>
                </c:pt>
                <c:pt idx="1320">
                  <c:v>24.4</c:v>
                </c:pt>
                <c:pt idx="1321">
                  <c:v>34.700000000000003</c:v>
                </c:pt>
                <c:pt idx="1322">
                  <c:v>26.8</c:v>
                </c:pt>
                <c:pt idx="1323">
                  <c:v>30.6</c:v>
                </c:pt>
                <c:pt idx="1324">
                  <c:v>26</c:v>
                </c:pt>
                <c:pt idx="1325">
                  <c:v>22.3</c:v>
                </c:pt>
                <c:pt idx="1326">
                  <c:v>34.200000000000003</c:v>
                </c:pt>
                <c:pt idx="1327">
                  <c:v>21</c:v>
                </c:pt>
                <c:pt idx="1328">
                  <c:v>16</c:v>
                </c:pt>
                <c:pt idx="1329">
                  <c:v>19.600000000000001</c:v>
                </c:pt>
                <c:pt idx="1330">
                  <c:v>13.3</c:v>
                </c:pt>
                <c:pt idx="1331">
                  <c:v>11.1</c:v>
                </c:pt>
                <c:pt idx="1332">
                  <c:v>18</c:v>
                </c:pt>
                <c:pt idx="1333">
                  <c:v>14</c:v>
                </c:pt>
                <c:pt idx="1334">
                  <c:v>4.8</c:v>
                </c:pt>
                <c:pt idx="1335">
                  <c:v>4.5</c:v>
                </c:pt>
                <c:pt idx="1336">
                  <c:v>5.8</c:v>
                </c:pt>
                <c:pt idx="1337">
                  <c:v>7.6</c:v>
                </c:pt>
                <c:pt idx="1338">
                  <c:v>7</c:v>
                </c:pt>
                <c:pt idx="1339">
                  <c:v>3.7</c:v>
                </c:pt>
                <c:pt idx="1340">
                  <c:v>3.2</c:v>
                </c:pt>
                <c:pt idx="1341">
                  <c:v>4.5999999999999996</c:v>
                </c:pt>
                <c:pt idx="1342">
                  <c:v>5.9</c:v>
                </c:pt>
                <c:pt idx="1343">
                  <c:v>6.2</c:v>
                </c:pt>
                <c:pt idx="1344">
                  <c:v>1.9</c:v>
                </c:pt>
                <c:pt idx="1345">
                  <c:v>2.9</c:v>
                </c:pt>
                <c:pt idx="1346">
                  <c:v>2.8</c:v>
                </c:pt>
                <c:pt idx="1347">
                  <c:v>2.6</c:v>
                </c:pt>
                <c:pt idx="1348">
                  <c:v>2.2999999999999998</c:v>
                </c:pt>
                <c:pt idx="1349">
                  <c:v>2.7</c:v>
                </c:pt>
                <c:pt idx="1350">
                  <c:v>2.4</c:v>
                </c:pt>
                <c:pt idx="1351">
                  <c:v>2.5</c:v>
                </c:pt>
                <c:pt idx="1352">
                  <c:v>3</c:v>
                </c:pt>
                <c:pt idx="1353">
                  <c:v>2.8</c:v>
                </c:pt>
                <c:pt idx="1354">
                  <c:v>2</c:v>
                </c:pt>
                <c:pt idx="1355">
                  <c:v>3</c:v>
                </c:pt>
                <c:pt idx="1356">
                  <c:v>4.5999999999999996</c:v>
                </c:pt>
                <c:pt idx="1357">
                  <c:v>5.6</c:v>
                </c:pt>
                <c:pt idx="1358">
                  <c:v>5.4</c:v>
                </c:pt>
                <c:pt idx="1359">
                  <c:v>6.1</c:v>
                </c:pt>
                <c:pt idx="1360">
                  <c:v>21.7</c:v>
                </c:pt>
                <c:pt idx="1361">
                  <c:v>18.3</c:v>
                </c:pt>
                <c:pt idx="1362">
                  <c:v>13.3</c:v>
                </c:pt>
                <c:pt idx="1363">
                  <c:v>20.2</c:v>
                </c:pt>
                <c:pt idx="1364">
                  <c:v>14</c:v>
                </c:pt>
                <c:pt idx="1365">
                  <c:v>21.4</c:v>
                </c:pt>
                <c:pt idx="1366">
                  <c:v>16.8</c:v>
                </c:pt>
                <c:pt idx="1367">
                  <c:v>21.6</c:v>
                </c:pt>
                <c:pt idx="1368">
                  <c:v>20.399999999999999</c:v>
                </c:pt>
                <c:pt idx="1369">
                  <c:v>30.7</c:v>
                </c:pt>
                <c:pt idx="1370">
                  <c:v>31</c:v>
                </c:pt>
                <c:pt idx="1371">
                  <c:v>33.1</c:v>
                </c:pt>
                <c:pt idx="1372">
                  <c:v>19.2</c:v>
                </c:pt>
                <c:pt idx="1373">
                  <c:v>18</c:v>
                </c:pt>
                <c:pt idx="1374">
                  <c:v>24.2</c:v>
                </c:pt>
                <c:pt idx="1375">
                  <c:v>25.3</c:v>
                </c:pt>
                <c:pt idx="1376">
                  <c:v>19.8</c:v>
                </c:pt>
                <c:pt idx="1377">
                  <c:v>19.600000000000001</c:v>
                </c:pt>
                <c:pt idx="1378">
                  <c:v>13.6</c:v>
                </c:pt>
                <c:pt idx="1379">
                  <c:v>18.100000000000001</c:v>
                </c:pt>
                <c:pt idx="1380">
                  <c:v>17.7</c:v>
                </c:pt>
                <c:pt idx="1381">
                  <c:v>13.8</c:v>
                </c:pt>
                <c:pt idx="1382">
                  <c:v>7.8</c:v>
                </c:pt>
                <c:pt idx="1383">
                  <c:v>3</c:v>
                </c:pt>
                <c:pt idx="1384">
                  <c:v>7.5</c:v>
                </c:pt>
                <c:pt idx="1385">
                  <c:v>3.9</c:v>
                </c:pt>
                <c:pt idx="1386">
                  <c:v>6.1</c:v>
                </c:pt>
                <c:pt idx="1387">
                  <c:v>5.4</c:v>
                </c:pt>
                <c:pt idx="1388">
                  <c:v>4.2</c:v>
                </c:pt>
                <c:pt idx="1389">
                  <c:v>3.1</c:v>
                </c:pt>
                <c:pt idx="1390">
                  <c:v>7</c:v>
                </c:pt>
                <c:pt idx="1391">
                  <c:v>4</c:v>
                </c:pt>
                <c:pt idx="1392">
                  <c:v>2.5</c:v>
                </c:pt>
                <c:pt idx="1393">
                  <c:v>1.9</c:v>
                </c:pt>
                <c:pt idx="1394">
                  <c:v>2</c:v>
                </c:pt>
                <c:pt idx="1395">
                  <c:v>2.5</c:v>
                </c:pt>
                <c:pt idx="1396">
                  <c:v>3</c:v>
                </c:pt>
                <c:pt idx="1397">
                  <c:v>2.2000000000000002</c:v>
                </c:pt>
                <c:pt idx="1398">
                  <c:v>1.8</c:v>
                </c:pt>
                <c:pt idx="1399">
                  <c:v>2.8</c:v>
                </c:pt>
                <c:pt idx="1400">
                  <c:v>2.1</c:v>
                </c:pt>
                <c:pt idx="1401">
                  <c:v>2.2000000000000002</c:v>
                </c:pt>
                <c:pt idx="1402">
                  <c:v>2.6</c:v>
                </c:pt>
                <c:pt idx="1403">
                  <c:v>2.7</c:v>
                </c:pt>
                <c:pt idx="1404">
                  <c:v>6.8</c:v>
                </c:pt>
                <c:pt idx="1405">
                  <c:v>5.7</c:v>
                </c:pt>
                <c:pt idx="1406">
                  <c:v>7.5</c:v>
                </c:pt>
                <c:pt idx="1407">
                  <c:v>4</c:v>
                </c:pt>
                <c:pt idx="1408">
                  <c:v>19.5</c:v>
                </c:pt>
                <c:pt idx="1409">
                  <c:v>14.1</c:v>
                </c:pt>
                <c:pt idx="1410">
                  <c:v>16.5</c:v>
                </c:pt>
                <c:pt idx="1411">
                  <c:v>17.100000000000001</c:v>
                </c:pt>
                <c:pt idx="1412">
                  <c:v>21.4</c:v>
                </c:pt>
                <c:pt idx="1413">
                  <c:v>16.899999999999999</c:v>
                </c:pt>
                <c:pt idx="1414">
                  <c:v>13.1</c:v>
                </c:pt>
                <c:pt idx="1415">
                  <c:v>17.2</c:v>
                </c:pt>
                <c:pt idx="1416">
                  <c:v>19.7</c:v>
                </c:pt>
                <c:pt idx="1417">
                  <c:v>33.5</c:v>
                </c:pt>
                <c:pt idx="1418">
                  <c:v>31.3</c:v>
                </c:pt>
                <c:pt idx="1419">
                  <c:v>33.700000000000003</c:v>
                </c:pt>
                <c:pt idx="1420">
                  <c:v>19.3</c:v>
                </c:pt>
                <c:pt idx="1421">
                  <c:v>26.5</c:v>
                </c:pt>
                <c:pt idx="1422">
                  <c:v>19.8</c:v>
                </c:pt>
                <c:pt idx="1423">
                  <c:v>28.2</c:v>
                </c:pt>
                <c:pt idx="1424">
                  <c:v>12.4</c:v>
                </c:pt>
                <c:pt idx="1425">
                  <c:v>17.600000000000001</c:v>
                </c:pt>
                <c:pt idx="1426">
                  <c:v>12.7</c:v>
                </c:pt>
                <c:pt idx="1427">
                  <c:v>18</c:v>
                </c:pt>
                <c:pt idx="1428">
                  <c:v>10.5</c:v>
                </c:pt>
                <c:pt idx="1429">
                  <c:v>14.6</c:v>
                </c:pt>
                <c:pt idx="1430">
                  <c:v>4.2</c:v>
                </c:pt>
                <c:pt idx="1431">
                  <c:v>3.5</c:v>
                </c:pt>
                <c:pt idx="1432">
                  <c:v>6.7</c:v>
                </c:pt>
                <c:pt idx="1433">
                  <c:v>3.2</c:v>
                </c:pt>
                <c:pt idx="1434">
                  <c:v>3.4</c:v>
                </c:pt>
                <c:pt idx="1435">
                  <c:v>4.5</c:v>
                </c:pt>
                <c:pt idx="1436">
                  <c:v>5.6</c:v>
                </c:pt>
                <c:pt idx="1437">
                  <c:v>3</c:v>
                </c:pt>
                <c:pt idx="1438">
                  <c:v>6</c:v>
                </c:pt>
                <c:pt idx="1439">
                  <c:v>3.6</c:v>
                </c:pt>
              </c:numCache>
            </c:numRef>
          </c:val>
          <c:smooth val="0"/>
          <c:extLst>
            <c:ext xmlns:c16="http://schemas.microsoft.com/office/drawing/2014/chart" uri="{C3380CC4-5D6E-409C-BE32-E72D297353CC}">
              <c16:uniqueId val="{00000000-FD4B-44FF-8671-C91F3A3F55EF}"/>
            </c:ext>
          </c:extLst>
        </c:ser>
        <c:ser>
          <c:idx val="1"/>
          <c:order val="1"/>
          <c:tx>
            <c:strRef>
              <c:f>Solar_Analysis!$C$1</c:f>
              <c:strCache>
                <c:ptCount val="1"/>
                <c:pt idx="0">
                  <c:v>Solar_Generation_Kw</c:v>
                </c:pt>
              </c:strCache>
            </c:strRef>
          </c:tx>
          <c:spPr>
            <a:ln w="28575" cap="rnd">
              <a:solidFill>
                <a:schemeClr val="accent2"/>
              </a:solidFill>
              <a:round/>
            </a:ln>
            <a:effectLst/>
          </c:spPr>
          <c:marker>
            <c:symbol val="none"/>
          </c:marker>
          <c:val>
            <c:numRef>
              <c:f>Solar_Analysis!$C$2:$C$1441</c:f>
              <c:numCache>
                <c:formatCode>General</c:formatCode>
                <c:ptCount val="1440"/>
                <c:pt idx="0">
                  <c:v>0</c:v>
                </c:pt>
                <c:pt idx="1">
                  <c:v>0</c:v>
                </c:pt>
                <c:pt idx="2">
                  <c:v>0</c:v>
                </c:pt>
                <c:pt idx="3">
                  <c:v>0</c:v>
                </c:pt>
                <c:pt idx="4">
                  <c:v>0</c:v>
                </c:pt>
                <c:pt idx="5">
                  <c:v>0</c:v>
                </c:pt>
                <c:pt idx="6">
                  <c:v>0</c:v>
                </c:pt>
                <c:pt idx="7">
                  <c:v>0</c:v>
                </c:pt>
                <c:pt idx="8">
                  <c:v>0</c:v>
                </c:pt>
                <c:pt idx="9">
                  <c:v>0</c:v>
                </c:pt>
                <c:pt idx="10">
                  <c:v>0</c:v>
                </c:pt>
                <c:pt idx="11">
                  <c:v>0</c:v>
                </c:pt>
                <c:pt idx="12">
                  <c:v>0</c:v>
                </c:pt>
                <c:pt idx="13">
                  <c:v>3.9157857666015472</c:v>
                </c:pt>
                <c:pt idx="14">
                  <c:v>7.7645713530756222</c:v>
                </c:pt>
                <c:pt idx="15">
                  <c:v>11.480502970952694</c:v>
                </c:pt>
                <c:pt idx="16">
                  <c:v>14.999999999999998</c:v>
                </c:pt>
                <c:pt idx="17">
                  <c:v>18.262842870261618</c:v>
                </c:pt>
                <c:pt idx="18">
                  <c:v>21.213203435596423</c:v>
                </c:pt>
                <c:pt idx="19">
                  <c:v>23.800600208737055</c:v>
                </c:pt>
                <c:pt idx="20">
                  <c:v>25.980762113533157</c:v>
                </c:pt>
                <c:pt idx="21">
                  <c:v>27.716385975338603</c:v>
                </c:pt>
                <c:pt idx="22">
                  <c:v>28.97777478867205</c:v>
                </c:pt>
                <c:pt idx="23">
                  <c:v>29.74334584121431</c:v>
                </c:pt>
                <c:pt idx="24">
                  <c:v>30</c:v>
                </c:pt>
                <c:pt idx="25">
                  <c:v>29.74334584121431</c:v>
                </c:pt>
                <c:pt idx="26">
                  <c:v>28.97777478867205</c:v>
                </c:pt>
                <c:pt idx="27">
                  <c:v>27.716385975338607</c:v>
                </c:pt>
                <c:pt idx="28">
                  <c:v>25.98076211353316</c:v>
                </c:pt>
                <c:pt idx="29">
                  <c:v>23.800600208737055</c:v>
                </c:pt>
                <c:pt idx="30">
                  <c:v>21.213203435596427</c:v>
                </c:pt>
                <c:pt idx="31">
                  <c:v>18.262842870261625</c:v>
                </c:pt>
                <c:pt idx="32">
                  <c:v>14.999999999999998</c:v>
                </c:pt>
                <c:pt idx="33">
                  <c:v>11.480502970952697</c:v>
                </c:pt>
                <c:pt idx="34">
                  <c:v>7.7645713530756302</c:v>
                </c:pt>
                <c:pt idx="35">
                  <c:v>3.9157857666015596</c:v>
                </c:pt>
                <c:pt idx="36">
                  <c:v>3.67544536472586E-15</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3.9157857666015472</c:v>
                </c:pt>
                <c:pt idx="62">
                  <c:v>7.7645713530756222</c:v>
                </c:pt>
                <c:pt idx="63">
                  <c:v>11.480502970952694</c:v>
                </c:pt>
                <c:pt idx="64">
                  <c:v>14.999999999999998</c:v>
                </c:pt>
                <c:pt idx="65">
                  <c:v>18.262842870261618</c:v>
                </c:pt>
                <c:pt idx="66">
                  <c:v>21.213203435596423</c:v>
                </c:pt>
                <c:pt idx="67">
                  <c:v>23.800600208737055</c:v>
                </c:pt>
                <c:pt idx="68">
                  <c:v>25.980762113533157</c:v>
                </c:pt>
                <c:pt idx="69">
                  <c:v>27.716385975338603</c:v>
                </c:pt>
                <c:pt idx="70">
                  <c:v>28.97777478867205</c:v>
                </c:pt>
                <c:pt idx="71">
                  <c:v>29.74334584121431</c:v>
                </c:pt>
                <c:pt idx="72">
                  <c:v>30</c:v>
                </c:pt>
                <c:pt idx="73">
                  <c:v>29.74334584121431</c:v>
                </c:pt>
                <c:pt idx="74">
                  <c:v>28.97777478867205</c:v>
                </c:pt>
                <c:pt idx="75">
                  <c:v>27.716385975338607</c:v>
                </c:pt>
                <c:pt idx="76">
                  <c:v>25.98076211353316</c:v>
                </c:pt>
                <c:pt idx="77">
                  <c:v>23.800600208737055</c:v>
                </c:pt>
                <c:pt idx="78">
                  <c:v>21.213203435596427</c:v>
                </c:pt>
                <c:pt idx="79">
                  <c:v>18.262842870261625</c:v>
                </c:pt>
                <c:pt idx="80">
                  <c:v>14.999999999999998</c:v>
                </c:pt>
                <c:pt idx="81">
                  <c:v>11.480502970952697</c:v>
                </c:pt>
                <c:pt idx="82">
                  <c:v>7.7645713530756302</c:v>
                </c:pt>
                <c:pt idx="83">
                  <c:v>3.9157857666015596</c:v>
                </c:pt>
                <c:pt idx="84">
                  <c:v>3.67544536472586E-15</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3.9157857666015472</c:v>
                </c:pt>
                <c:pt idx="110">
                  <c:v>7.7645713530756222</c:v>
                </c:pt>
                <c:pt idx="111">
                  <c:v>11.480502970952694</c:v>
                </c:pt>
                <c:pt idx="112">
                  <c:v>14.999999999999998</c:v>
                </c:pt>
                <c:pt idx="113">
                  <c:v>18.262842870261618</c:v>
                </c:pt>
                <c:pt idx="114">
                  <c:v>21.213203435596423</c:v>
                </c:pt>
                <c:pt idx="115">
                  <c:v>23.800600208737055</c:v>
                </c:pt>
                <c:pt idx="116">
                  <c:v>25.980762113533157</c:v>
                </c:pt>
                <c:pt idx="117">
                  <c:v>27.716385975338603</c:v>
                </c:pt>
                <c:pt idx="118">
                  <c:v>28.97777478867205</c:v>
                </c:pt>
                <c:pt idx="119">
                  <c:v>29.74334584121431</c:v>
                </c:pt>
                <c:pt idx="120">
                  <c:v>30</c:v>
                </c:pt>
                <c:pt idx="121">
                  <c:v>29.74334584121431</c:v>
                </c:pt>
                <c:pt idx="122">
                  <c:v>28.97777478867205</c:v>
                </c:pt>
                <c:pt idx="123">
                  <c:v>27.716385975338607</c:v>
                </c:pt>
                <c:pt idx="124">
                  <c:v>25.98076211353316</c:v>
                </c:pt>
                <c:pt idx="125">
                  <c:v>23.800600208737055</c:v>
                </c:pt>
                <c:pt idx="126">
                  <c:v>21.213203435596427</c:v>
                </c:pt>
                <c:pt idx="127">
                  <c:v>18.262842870261625</c:v>
                </c:pt>
                <c:pt idx="128">
                  <c:v>14.999999999999998</c:v>
                </c:pt>
                <c:pt idx="129">
                  <c:v>11.480502970952697</c:v>
                </c:pt>
                <c:pt idx="130">
                  <c:v>7.7645713530756302</c:v>
                </c:pt>
                <c:pt idx="131">
                  <c:v>3.9157857666015596</c:v>
                </c:pt>
                <c:pt idx="132">
                  <c:v>3.67544536472586E-15</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3.9157857666015472</c:v>
                </c:pt>
                <c:pt idx="158">
                  <c:v>7.7645713530756222</c:v>
                </c:pt>
                <c:pt idx="159">
                  <c:v>11.480502970952694</c:v>
                </c:pt>
                <c:pt idx="160">
                  <c:v>14.999999999999998</c:v>
                </c:pt>
                <c:pt idx="161">
                  <c:v>18.262842870261618</c:v>
                </c:pt>
                <c:pt idx="162">
                  <c:v>21.213203435596423</c:v>
                </c:pt>
                <c:pt idx="163">
                  <c:v>23.800600208737055</c:v>
                </c:pt>
                <c:pt idx="164">
                  <c:v>25.980762113533157</c:v>
                </c:pt>
                <c:pt idx="165">
                  <c:v>27.716385975338603</c:v>
                </c:pt>
                <c:pt idx="166">
                  <c:v>28.97777478867205</c:v>
                </c:pt>
                <c:pt idx="167">
                  <c:v>29.74334584121431</c:v>
                </c:pt>
                <c:pt idx="168">
                  <c:v>30</c:v>
                </c:pt>
                <c:pt idx="169">
                  <c:v>29.74334584121431</c:v>
                </c:pt>
                <c:pt idx="170">
                  <c:v>28.97777478867205</c:v>
                </c:pt>
                <c:pt idx="171">
                  <c:v>27.716385975338607</c:v>
                </c:pt>
                <c:pt idx="172">
                  <c:v>25.98076211353316</c:v>
                </c:pt>
                <c:pt idx="173">
                  <c:v>23.800600208737055</c:v>
                </c:pt>
                <c:pt idx="174">
                  <c:v>21.213203435596427</c:v>
                </c:pt>
                <c:pt idx="175">
                  <c:v>18.262842870261625</c:v>
                </c:pt>
                <c:pt idx="176">
                  <c:v>14.999999999999998</c:v>
                </c:pt>
                <c:pt idx="177">
                  <c:v>11.480502970952697</c:v>
                </c:pt>
                <c:pt idx="178">
                  <c:v>7.7645713530756302</c:v>
                </c:pt>
                <c:pt idx="179">
                  <c:v>3.9157857666015596</c:v>
                </c:pt>
                <c:pt idx="180">
                  <c:v>3.67544536472586E-15</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3.9157857666015472</c:v>
                </c:pt>
                <c:pt idx="206">
                  <c:v>7.7645713530756222</c:v>
                </c:pt>
                <c:pt idx="207">
                  <c:v>11.480502970952694</c:v>
                </c:pt>
                <c:pt idx="208">
                  <c:v>14.999999999999998</c:v>
                </c:pt>
                <c:pt idx="209">
                  <c:v>18.262842870261618</c:v>
                </c:pt>
                <c:pt idx="210">
                  <c:v>21.213203435596423</c:v>
                </c:pt>
                <c:pt idx="211">
                  <c:v>23.800600208737055</c:v>
                </c:pt>
                <c:pt idx="212">
                  <c:v>25.980762113533157</c:v>
                </c:pt>
                <c:pt idx="213">
                  <c:v>27.716385975338603</c:v>
                </c:pt>
                <c:pt idx="214">
                  <c:v>28.97777478867205</c:v>
                </c:pt>
                <c:pt idx="215">
                  <c:v>29.74334584121431</c:v>
                </c:pt>
                <c:pt idx="216">
                  <c:v>30</c:v>
                </c:pt>
                <c:pt idx="217">
                  <c:v>29.74334584121431</c:v>
                </c:pt>
                <c:pt idx="218">
                  <c:v>28.97777478867205</c:v>
                </c:pt>
                <c:pt idx="219">
                  <c:v>27.716385975338607</c:v>
                </c:pt>
                <c:pt idx="220">
                  <c:v>25.98076211353316</c:v>
                </c:pt>
                <c:pt idx="221">
                  <c:v>23.800600208737055</c:v>
                </c:pt>
                <c:pt idx="222">
                  <c:v>21.213203435596427</c:v>
                </c:pt>
                <c:pt idx="223">
                  <c:v>18.262842870261625</c:v>
                </c:pt>
                <c:pt idx="224">
                  <c:v>14.999999999999998</c:v>
                </c:pt>
                <c:pt idx="225">
                  <c:v>11.480502970952697</c:v>
                </c:pt>
                <c:pt idx="226">
                  <c:v>7.7645713530756302</c:v>
                </c:pt>
                <c:pt idx="227">
                  <c:v>3.9157857666015596</c:v>
                </c:pt>
                <c:pt idx="228">
                  <c:v>3.67544536472586E-15</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3.9157857666015472</c:v>
                </c:pt>
                <c:pt idx="254">
                  <c:v>7.7645713530756222</c:v>
                </c:pt>
                <c:pt idx="255">
                  <c:v>11.480502970952694</c:v>
                </c:pt>
                <c:pt idx="256">
                  <c:v>14.999999999999998</c:v>
                </c:pt>
                <c:pt idx="257">
                  <c:v>18.262842870261618</c:v>
                </c:pt>
                <c:pt idx="258">
                  <c:v>21.213203435596423</c:v>
                </c:pt>
                <c:pt idx="259">
                  <c:v>23.800600208737055</c:v>
                </c:pt>
                <c:pt idx="260">
                  <c:v>25.980762113533157</c:v>
                </c:pt>
                <c:pt idx="261">
                  <c:v>27.716385975338603</c:v>
                </c:pt>
                <c:pt idx="262">
                  <c:v>28.97777478867205</c:v>
                </c:pt>
                <c:pt idx="263">
                  <c:v>29.74334584121431</c:v>
                </c:pt>
                <c:pt idx="264">
                  <c:v>30</c:v>
                </c:pt>
                <c:pt idx="265">
                  <c:v>29.74334584121431</c:v>
                </c:pt>
                <c:pt idx="266">
                  <c:v>28.97777478867205</c:v>
                </c:pt>
                <c:pt idx="267">
                  <c:v>27.716385975338607</c:v>
                </c:pt>
                <c:pt idx="268">
                  <c:v>25.98076211353316</c:v>
                </c:pt>
                <c:pt idx="269">
                  <c:v>23.800600208737055</c:v>
                </c:pt>
                <c:pt idx="270">
                  <c:v>21.213203435596427</c:v>
                </c:pt>
                <c:pt idx="271">
                  <c:v>18.262842870261625</c:v>
                </c:pt>
                <c:pt idx="272">
                  <c:v>14.999999999999998</c:v>
                </c:pt>
                <c:pt idx="273">
                  <c:v>11.480502970952697</c:v>
                </c:pt>
                <c:pt idx="274">
                  <c:v>7.7645713530756302</c:v>
                </c:pt>
                <c:pt idx="275">
                  <c:v>3.9157857666015596</c:v>
                </c:pt>
                <c:pt idx="276">
                  <c:v>3.67544536472586E-15</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3.9157857666015472</c:v>
                </c:pt>
                <c:pt idx="302">
                  <c:v>7.7645713530756222</c:v>
                </c:pt>
                <c:pt idx="303">
                  <c:v>11.480502970952694</c:v>
                </c:pt>
                <c:pt idx="304">
                  <c:v>14.999999999999998</c:v>
                </c:pt>
                <c:pt idx="305">
                  <c:v>18.262842870261618</c:v>
                </c:pt>
                <c:pt idx="306">
                  <c:v>21.213203435596423</c:v>
                </c:pt>
                <c:pt idx="307">
                  <c:v>23.800600208737055</c:v>
                </c:pt>
                <c:pt idx="308">
                  <c:v>25.980762113533157</c:v>
                </c:pt>
                <c:pt idx="309">
                  <c:v>27.716385975338603</c:v>
                </c:pt>
                <c:pt idx="310">
                  <c:v>28.97777478867205</c:v>
                </c:pt>
                <c:pt idx="311">
                  <c:v>29.74334584121431</c:v>
                </c:pt>
                <c:pt idx="312">
                  <c:v>30</c:v>
                </c:pt>
                <c:pt idx="313">
                  <c:v>29.74334584121431</c:v>
                </c:pt>
                <c:pt idx="314">
                  <c:v>28.97777478867205</c:v>
                </c:pt>
                <c:pt idx="315">
                  <c:v>27.716385975338607</c:v>
                </c:pt>
                <c:pt idx="316">
                  <c:v>25.98076211353316</c:v>
                </c:pt>
                <c:pt idx="317">
                  <c:v>23.800600208737055</c:v>
                </c:pt>
                <c:pt idx="318">
                  <c:v>21.213203435596427</c:v>
                </c:pt>
                <c:pt idx="319">
                  <c:v>18.262842870261625</c:v>
                </c:pt>
                <c:pt idx="320">
                  <c:v>14.999999999999998</c:v>
                </c:pt>
                <c:pt idx="321">
                  <c:v>11.480502970952697</c:v>
                </c:pt>
                <c:pt idx="322">
                  <c:v>7.7645713530756302</c:v>
                </c:pt>
                <c:pt idx="323">
                  <c:v>3.9157857666015596</c:v>
                </c:pt>
                <c:pt idx="324">
                  <c:v>3.67544536472586E-15</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3.9157857666015472</c:v>
                </c:pt>
                <c:pt idx="350">
                  <c:v>7.7645713530756222</c:v>
                </c:pt>
                <c:pt idx="351">
                  <c:v>11.480502970952694</c:v>
                </c:pt>
                <c:pt idx="352">
                  <c:v>14.999999999999998</c:v>
                </c:pt>
                <c:pt idx="353">
                  <c:v>18.262842870261618</c:v>
                </c:pt>
                <c:pt idx="354">
                  <c:v>21.213203435596423</c:v>
                </c:pt>
                <c:pt idx="355">
                  <c:v>23.800600208737055</c:v>
                </c:pt>
                <c:pt idx="356">
                  <c:v>25.980762113533157</c:v>
                </c:pt>
                <c:pt idx="357">
                  <c:v>27.716385975338603</c:v>
                </c:pt>
                <c:pt idx="358">
                  <c:v>28.97777478867205</c:v>
                </c:pt>
                <c:pt idx="359">
                  <c:v>29.74334584121431</c:v>
                </c:pt>
                <c:pt idx="360">
                  <c:v>30</c:v>
                </c:pt>
                <c:pt idx="361">
                  <c:v>29.74334584121431</c:v>
                </c:pt>
                <c:pt idx="362">
                  <c:v>28.97777478867205</c:v>
                </c:pt>
                <c:pt idx="363">
                  <c:v>27.716385975338607</c:v>
                </c:pt>
                <c:pt idx="364">
                  <c:v>25.98076211353316</c:v>
                </c:pt>
                <c:pt idx="365">
                  <c:v>23.800600208737055</c:v>
                </c:pt>
                <c:pt idx="366">
                  <c:v>21.213203435596427</c:v>
                </c:pt>
                <c:pt idx="367">
                  <c:v>18.262842870261625</c:v>
                </c:pt>
                <c:pt idx="368">
                  <c:v>14.999999999999998</c:v>
                </c:pt>
                <c:pt idx="369">
                  <c:v>11.480502970952697</c:v>
                </c:pt>
                <c:pt idx="370">
                  <c:v>7.7645713530756302</c:v>
                </c:pt>
                <c:pt idx="371">
                  <c:v>3.9157857666015596</c:v>
                </c:pt>
                <c:pt idx="372">
                  <c:v>3.67544536472586E-15</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3.9157857666015472</c:v>
                </c:pt>
                <c:pt idx="398">
                  <c:v>7.7645713530756222</c:v>
                </c:pt>
                <c:pt idx="399">
                  <c:v>11.480502970952694</c:v>
                </c:pt>
                <c:pt idx="400">
                  <c:v>14.999999999999998</c:v>
                </c:pt>
                <c:pt idx="401">
                  <c:v>18.262842870261618</c:v>
                </c:pt>
                <c:pt idx="402">
                  <c:v>21.213203435596423</c:v>
                </c:pt>
                <c:pt idx="403">
                  <c:v>23.800600208737055</c:v>
                </c:pt>
                <c:pt idx="404">
                  <c:v>25.980762113533157</c:v>
                </c:pt>
                <c:pt idx="405">
                  <c:v>27.716385975338603</c:v>
                </c:pt>
                <c:pt idx="406">
                  <c:v>28.97777478867205</c:v>
                </c:pt>
                <c:pt idx="407">
                  <c:v>29.74334584121431</c:v>
                </c:pt>
                <c:pt idx="408">
                  <c:v>30</c:v>
                </c:pt>
                <c:pt idx="409">
                  <c:v>29.74334584121431</c:v>
                </c:pt>
                <c:pt idx="410">
                  <c:v>28.97777478867205</c:v>
                </c:pt>
                <c:pt idx="411">
                  <c:v>27.716385975338607</c:v>
                </c:pt>
                <c:pt idx="412">
                  <c:v>25.98076211353316</c:v>
                </c:pt>
                <c:pt idx="413">
                  <c:v>23.800600208737055</c:v>
                </c:pt>
                <c:pt idx="414">
                  <c:v>21.213203435596427</c:v>
                </c:pt>
                <c:pt idx="415">
                  <c:v>18.262842870261625</c:v>
                </c:pt>
                <c:pt idx="416">
                  <c:v>14.999999999999998</c:v>
                </c:pt>
                <c:pt idx="417">
                  <c:v>11.480502970952697</c:v>
                </c:pt>
                <c:pt idx="418">
                  <c:v>7.7645713530756302</c:v>
                </c:pt>
                <c:pt idx="419">
                  <c:v>3.9157857666015596</c:v>
                </c:pt>
                <c:pt idx="420">
                  <c:v>3.67544536472586E-15</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3.9157857666015472</c:v>
                </c:pt>
                <c:pt idx="446">
                  <c:v>7.7645713530756222</c:v>
                </c:pt>
                <c:pt idx="447">
                  <c:v>11.480502970952694</c:v>
                </c:pt>
                <c:pt idx="448">
                  <c:v>14.999999999999998</c:v>
                </c:pt>
                <c:pt idx="449">
                  <c:v>18.262842870261618</c:v>
                </c:pt>
                <c:pt idx="450">
                  <c:v>21.213203435596423</c:v>
                </c:pt>
                <c:pt idx="451">
                  <c:v>23.800600208737055</c:v>
                </c:pt>
                <c:pt idx="452">
                  <c:v>25.980762113533157</c:v>
                </c:pt>
                <c:pt idx="453">
                  <c:v>27.716385975338603</c:v>
                </c:pt>
                <c:pt idx="454">
                  <c:v>28.97777478867205</c:v>
                </c:pt>
                <c:pt idx="455">
                  <c:v>29.74334584121431</c:v>
                </c:pt>
                <c:pt idx="456">
                  <c:v>30</c:v>
                </c:pt>
                <c:pt idx="457">
                  <c:v>29.74334584121431</c:v>
                </c:pt>
                <c:pt idx="458">
                  <c:v>28.97777478867205</c:v>
                </c:pt>
                <c:pt idx="459">
                  <c:v>27.716385975338607</c:v>
                </c:pt>
                <c:pt idx="460">
                  <c:v>25.98076211353316</c:v>
                </c:pt>
                <c:pt idx="461">
                  <c:v>23.800600208737055</c:v>
                </c:pt>
                <c:pt idx="462">
                  <c:v>21.213203435596427</c:v>
                </c:pt>
                <c:pt idx="463">
                  <c:v>18.262842870261625</c:v>
                </c:pt>
                <c:pt idx="464">
                  <c:v>14.999999999999998</c:v>
                </c:pt>
                <c:pt idx="465">
                  <c:v>11.480502970952697</c:v>
                </c:pt>
                <c:pt idx="466">
                  <c:v>7.7645713530756302</c:v>
                </c:pt>
                <c:pt idx="467">
                  <c:v>3.9157857666015596</c:v>
                </c:pt>
                <c:pt idx="468">
                  <c:v>3.67544536472586E-15</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3.9157857666015472</c:v>
                </c:pt>
                <c:pt idx="494">
                  <c:v>7.7645713530756222</c:v>
                </c:pt>
                <c:pt idx="495">
                  <c:v>11.480502970952694</c:v>
                </c:pt>
                <c:pt idx="496">
                  <c:v>14.999999999999998</c:v>
                </c:pt>
                <c:pt idx="497">
                  <c:v>18.262842870261618</c:v>
                </c:pt>
                <c:pt idx="498">
                  <c:v>21.213203435596423</c:v>
                </c:pt>
                <c:pt idx="499">
                  <c:v>23.800600208737055</c:v>
                </c:pt>
                <c:pt idx="500">
                  <c:v>25.980762113533157</c:v>
                </c:pt>
                <c:pt idx="501">
                  <c:v>27.716385975338603</c:v>
                </c:pt>
                <c:pt idx="502">
                  <c:v>28.97777478867205</c:v>
                </c:pt>
                <c:pt idx="503">
                  <c:v>29.74334584121431</c:v>
                </c:pt>
                <c:pt idx="504">
                  <c:v>30</c:v>
                </c:pt>
                <c:pt idx="505">
                  <c:v>29.74334584121431</c:v>
                </c:pt>
                <c:pt idx="506">
                  <c:v>28.97777478867205</c:v>
                </c:pt>
                <c:pt idx="507">
                  <c:v>27.716385975338607</c:v>
                </c:pt>
                <c:pt idx="508">
                  <c:v>25.98076211353316</c:v>
                </c:pt>
                <c:pt idx="509">
                  <c:v>23.800600208737055</c:v>
                </c:pt>
                <c:pt idx="510">
                  <c:v>21.213203435596427</c:v>
                </c:pt>
                <c:pt idx="511">
                  <c:v>18.262842870261625</c:v>
                </c:pt>
                <c:pt idx="512">
                  <c:v>14.999999999999998</c:v>
                </c:pt>
                <c:pt idx="513">
                  <c:v>11.480502970952697</c:v>
                </c:pt>
                <c:pt idx="514">
                  <c:v>7.7645713530756302</c:v>
                </c:pt>
                <c:pt idx="515">
                  <c:v>3.9157857666015596</c:v>
                </c:pt>
                <c:pt idx="516">
                  <c:v>3.67544536472586E-15</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3.9157857666015472</c:v>
                </c:pt>
                <c:pt idx="542">
                  <c:v>7.7645713530756222</c:v>
                </c:pt>
                <c:pt idx="543">
                  <c:v>11.480502970952694</c:v>
                </c:pt>
                <c:pt idx="544">
                  <c:v>14.999999999999998</c:v>
                </c:pt>
                <c:pt idx="545">
                  <c:v>18.262842870261618</c:v>
                </c:pt>
                <c:pt idx="546">
                  <c:v>21.213203435596423</c:v>
                </c:pt>
                <c:pt idx="547">
                  <c:v>23.800600208737055</c:v>
                </c:pt>
                <c:pt idx="548">
                  <c:v>25.980762113533157</c:v>
                </c:pt>
                <c:pt idx="549">
                  <c:v>27.716385975338603</c:v>
                </c:pt>
                <c:pt idx="550">
                  <c:v>28.97777478867205</c:v>
                </c:pt>
                <c:pt idx="551">
                  <c:v>29.74334584121431</c:v>
                </c:pt>
                <c:pt idx="552">
                  <c:v>30</c:v>
                </c:pt>
                <c:pt idx="553">
                  <c:v>29.74334584121431</c:v>
                </c:pt>
                <c:pt idx="554">
                  <c:v>28.97777478867205</c:v>
                </c:pt>
                <c:pt idx="555">
                  <c:v>27.716385975338607</c:v>
                </c:pt>
                <c:pt idx="556">
                  <c:v>25.98076211353316</c:v>
                </c:pt>
                <c:pt idx="557">
                  <c:v>23.800600208737055</c:v>
                </c:pt>
                <c:pt idx="558">
                  <c:v>21.213203435596427</c:v>
                </c:pt>
                <c:pt idx="559">
                  <c:v>18.262842870261625</c:v>
                </c:pt>
                <c:pt idx="560">
                  <c:v>14.999999999999998</c:v>
                </c:pt>
                <c:pt idx="561">
                  <c:v>11.480502970952697</c:v>
                </c:pt>
                <c:pt idx="562">
                  <c:v>7.7645713530756302</c:v>
                </c:pt>
                <c:pt idx="563">
                  <c:v>3.9157857666015596</c:v>
                </c:pt>
                <c:pt idx="564">
                  <c:v>3.67544536472586E-15</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3.9157857666015472</c:v>
                </c:pt>
                <c:pt idx="590">
                  <c:v>7.7645713530756222</c:v>
                </c:pt>
                <c:pt idx="591">
                  <c:v>11.480502970952694</c:v>
                </c:pt>
                <c:pt idx="592">
                  <c:v>14.999999999999998</c:v>
                </c:pt>
                <c:pt idx="593">
                  <c:v>18.262842870261618</c:v>
                </c:pt>
                <c:pt idx="594">
                  <c:v>21.213203435596423</c:v>
                </c:pt>
                <c:pt idx="595">
                  <c:v>23.800600208737055</c:v>
                </c:pt>
                <c:pt idx="596">
                  <c:v>25.980762113533157</c:v>
                </c:pt>
                <c:pt idx="597">
                  <c:v>27.716385975338603</c:v>
                </c:pt>
                <c:pt idx="598">
                  <c:v>28.97777478867205</c:v>
                </c:pt>
                <c:pt idx="599">
                  <c:v>29.74334584121431</c:v>
                </c:pt>
                <c:pt idx="600">
                  <c:v>30</c:v>
                </c:pt>
                <c:pt idx="601">
                  <c:v>29.74334584121431</c:v>
                </c:pt>
                <c:pt idx="602">
                  <c:v>28.97777478867205</c:v>
                </c:pt>
                <c:pt idx="603">
                  <c:v>27.716385975338607</c:v>
                </c:pt>
                <c:pt idx="604">
                  <c:v>25.98076211353316</c:v>
                </c:pt>
                <c:pt idx="605">
                  <c:v>23.800600208737055</c:v>
                </c:pt>
                <c:pt idx="606">
                  <c:v>21.213203435596427</c:v>
                </c:pt>
                <c:pt idx="607">
                  <c:v>18.262842870261625</c:v>
                </c:pt>
                <c:pt idx="608">
                  <c:v>14.999999999999998</c:v>
                </c:pt>
                <c:pt idx="609">
                  <c:v>11.480502970952697</c:v>
                </c:pt>
                <c:pt idx="610">
                  <c:v>7.7645713530756302</c:v>
                </c:pt>
                <c:pt idx="611">
                  <c:v>3.9157857666015596</c:v>
                </c:pt>
                <c:pt idx="612">
                  <c:v>3.67544536472586E-15</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3.9157857666015472</c:v>
                </c:pt>
                <c:pt idx="638">
                  <c:v>7.7645713530756222</c:v>
                </c:pt>
                <c:pt idx="639">
                  <c:v>11.480502970952694</c:v>
                </c:pt>
                <c:pt idx="640">
                  <c:v>14.999999999999998</c:v>
                </c:pt>
                <c:pt idx="641">
                  <c:v>18.262842870261618</c:v>
                </c:pt>
                <c:pt idx="642">
                  <c:v>21.213203435596423</c:v>
                </c:pt>
                <c:pt idx="643">
                  <c:v>23.800600208737055</c:v>
                </c:pt>
                <c:pt idx="644">
                  <c:v>25.980762113533157</c:v>
                </c:pt>
                <c:pt idx="645">
                  <c:v>27.716385975338603</c:v>
                </c:pt>
                <c:pt idx="646">
                  <c:v>28.97777478867205</c:v>
                </c:pt>
                <c:pt idx="647">
                  <c:v>29.74334584121431</c:v>
                </c:pt>
                <c:pt idx="648">
                  <c:v>30</c:v>
                </c:pt>
                <c:pt idx="649">
                  <c:v>29.74334584121431</c:v>
                </c:pt>
                <c:pt idx="650">
                  <c:v>28.97777478867205</c:v>
                </c:pt>
                <c:pt idx="651">
                  <c:v>27.716385975338607</c:v>
                </c:pt>
                <c:pt idx="652">
                  <c:v>25.98076211353316</c:v>
                </c:pt>
                <c:pt idx="653">
                  <c:v>23.800600208737055</c:v>
                </c:pt>
                <c:pt idx="654">
                  <c:v>21.213203435596427</c:v>
                </c:pt>
                <c:pt idx="655">
                  <c:v>18.262842870261625</c:v>
                </c:pt>
                <c:pt idx="656">
                  <c:v>14.999999999999998</c:v>
                </c:pt>
                <c:pt idx="657">
                  <c:v>11.480502970952697</c:v>
                </c:pt>
                <c:pt idx="658">
                  <c:v>7.7645713530756302</c:v>
                </c:pt>
                <c:pt idx="659">
                  <c:v>3.9157857666015596</c:v>
                </c:pt>
                <c:pt idx="660">
                  <c:v>3.67544536472586E-15</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3.9157857666015472</c:v>
                </c:pt>
                <c:pt idx="686">
                  <c:v>7.7645713530756222</c:v>
                </c:pt>
                <c:pt idx="687">
                  <c:v>11.480502970952694</c:v>
                </c:pt>
                <c:pt idx="688">
                  <c:v>14.999999999999998</c:v>
                </c:pt>
                <c:pt idx="689">
                  <c:v>18.262842870261618</c:v>
                </c:pt>
                <c:pt idx="690">
                  <c:v>21.213203435596423</c:v>
                </c:pt>
                <c:pt idx="691">
                  <c:v>23.800600208737055</c:v>
                </c:pt>
                <c:pt idx="692">
                  <c:v>25.980762113533157</c:v>
                </c:pt>
                <c:pt idx="693">
                  <c:v>27.716385975338603</c:v>
                </c:pt>
                <c:pt idx="694">
                  <c:v>28.97777478867205</c:v>
                </c:pt>
                <c:pt idx="695">
                  <c:v>29.74334584121431</c:v>
                </c:pt>
                <c:pt idx="696">
                  <c:v>30</c:v>
                </c:pt>
                <c:pt idx="697">
                  <c:v>29.74334584121431</c:v>
                </c:pt>
                <c:pt idx="698">
                  <c:v>28.97777478867205</c:v>
                </c:pt>
                <c:pt idx="699">
                  <c:v>27.716385975338607</c:v>
                </c:pt>
                <c:pt idx="700">
                  <c:v>25.98076211353316</c:v>
                </c:pt>
                <c:pt idx="701">
                  <c:v>23.800600208737055</c:v>
                </c:pt>
                <c:pt idx="702">
                  <c:v>21.213203435596427</c:v>
                </c:pt>
                <c:pt idx="703">
                  <c:v>18.262842870261625</c:v>
                </c:pt>
                <c:pt idx="704">
                  <c:v>14.999999999999998</c:v>
                </c:pt>
                <c:pt idx="705">
                  <c:v>11.480502970952697</c:v>
                </c:pt>
                <c:pt idx="706">
                  <c:v>7.7645713530756302</c:v>
                </c:pt>
                <c:pt idx="707">
                  <c:v>3.9157857666015596</c:v>
                </c:pt>
                <c:pt idx="708">
                  <c:v>3.67544536472586E-15</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3.9157857666015472</c:v>
                </c:pt>
                <c:pt idx="734">
                  <c:v>7.7645713530756222</c:v>
                </c:pt>
                <c:pt idx="735">
                  <c:v>11.480502970952694</c:v>
                </c:pt>
                <c:pt idx="736">
                  <c:v>14.999999999999998</c:v>
                </c:pt>
                <c:pt idx="737">
                  <c:v>18.262842870261618</c:v>
                </c:pt>
                <c:pt idx="738">
                  <c:v>21.213203435596423</c:v>
                </c:pt>
                <c:pt idx="739">
                  <c:v>23.800600208737055</c:v>
                </c:pt>
                <c:pt idx="740">
                  <c:v>25.980762113533157</c:v>
                </c:pt>
                <c:pt idx="741">
                  <c:v>27.716385975338603</c:v>
                </c:pt>
                <c:pt idx="742">
                  <c:v>28.97777478867205</c:v>
                </c:pt>
                <c:pt idx="743">
                  <c:v>29.74334584121431</c:v>
                </c:pt>
                <c:pt idx="744">
                  <c:v>30</c:v>
                </c:pt>
                <c:pt idx="745">
                  <c:v>29.74334584121431</c:v>
                </c:pt>
                <c:pt idx="746">
                  <c:v>28.97777478867205</c:v>
                </c:pt>
                <c:pt idx="747">
                  <c:v>27.716385975338607</c:v>
                </c:pt>
                <c:pt idx="748">
                  <c:v>25.98076211353316</c:v>
                </c:pt>
                <c:pt idx="749">
                  <c:v>23.800600208737055</c:v>
                </c:pt>
                <c:pt idx="750">
                  <c:v>21.213203435596427</c:v>
                </c:pt>
                <c:pt idx="751">
                  <c:v>18.262842870261625</c:v>
                </c:pt>
                <c:pt idx="752">
                  <c:v>14.999999999999998</c:v>
                </c:pt>
                <c:pt idx="753">
                  <c:v>11.480502970952697</c:v>
                </c:pt>
                <c:pt idx="754">
                  <c:v>7.7645713530756302</c:v>
                </c:pt>
                <c:pt idx="755">
                  <c:v>3.9157857666015596</c:v>
                </c:pt>
                <c:pt idx="756">
                  <c:v>3.67544536472586E-15</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3.9157857666015472</c:v>
                </c:pt>
                <c:pt idx="782">
                  <c:v>7.7645713530756222</c:v>
                </c:pt>
                <c:pt idx="783">
                  <c:v>11.480502970952694</c:v>
                </c:pt>
                <c:pt idx="784">
                  <c:v>14.999999999999998</c:v>
                </c:pt>
                <c:pt idx="785">
                  <c:v>18.262842870261618</c:v>
                </c:pt>
                <c:pt idx="786">
                  <c:v>21.213203435596423</c:v>
                </c:pt>
                <c:pt idx="787">
                  <c:v>23.800600208737055</c:v>
                </c:pt>
                <c:pt idx="788">
                  <c:v>25.980762113533157</c:v>
                </c:pt>
                <c:pt idx="789">
                  <c:v>27.716385975338603</c:v>
                </c:pt>
                <c:pt idx="790">
                  <c:v>28.97777478867205</c:v>
                </c:pt>
                <c:pt idx="791">
                  <c:v>29.74334584121431</c:v>
                </c:pt>
                <c:pt idx="792">
                  <c:v>30</c:v>
                </c:pt>
                <c:pt idx="793">
                  <c:v>29.74334584121431</c:v>
                </c:pt>
                <c:pt idx="794">
                  <c:v>28.97777478867205</c:v>
                </c:pt>
                <c:pt idx="795">
                  <c:v>27.716385975338607</c:v>
                </c:pt>
                <c:pt idx="796">
                  <c:v>25.98076211353316</c:v>
                </c:pt>
                <c:pt idx="797">
                  <c:v>23.800600208737055</c:v>
                </c:pt>
                <c:pt idx="798">
                  <c:v>21.213203435596427</c:v>
                </c:pt>
                <c:pt idx="799">
                  <c:v>18.262842870261625</c:v>
                </c:pt>
                <c:pt idx="800">
                  <c:v>14.999999999999998</c:v>
                </c:pt>
                <c:pt idx="801">
                  <c:v>11.480502970952697</c:v>
                </c:pt>
                <c:pt idx="802">
                  <c:v>7.7645713530756302</c:v>
                </c:pt>
                <c:pt idx="803">
                  <c:v>3.9157857666015596</c:v>
                </c:pt>
                <c:pt idx="804">
                  <c:v>3.67544536472586E-15</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3.9157857666015472</c:v>
                </c:pt>
                <c:pt idx="830">
                  <c:v>7.7645713530756222</c:v>
                </c:pt>
                <c:pt idx="831">
                  <c:v>11.480502970952694</c:v>
                </c:pt>
                <c:pt idx="832">
                  <c:v>14.999999999999998</c:v>
                </c:pt>
                <c:pt idx="833">
                  <c:v>18.262842870261618</c:v>
                </c:pt>
                <c:pt idx="834">
                  <c:v>21.213203435596423</c:v>
                </c:pt>
                <c:pt idx="835">
                  <c:v>23.800600208737055</c:v>
                </c:pt>
                <c:pt idx="836">
                  <c:v>25.980762113533157</c:v>
                </c:pt>
                <c:pt idx="837">
                  <c:v>27.716385975338603</c:v>
                </c:pt>
                <c:pt idx="838">
                  <c:v>28.97777478867205</c:v>
                </c:pt>
                <c:pt idx="839">
                  <c:v>29.74334584121431</c:v>
                </c:pt>
                <c:pt idx="840">
                  <c:v>30</c:v>
                </c:pt>
                <c:pt idx="841">
                  <c:v>29.74334584121431</c:v>
                </c:pt>
                <c:pt idx="842">
                  <c:v>28.97777478867205</c:v>
                </c:pt>
                <c:pt idx="843">
                  <c:v>27.716385975338607</c:v>
                </c:pt>
                <c:pt idx="844">
                  <c:v>25.98076211353316</c:v>
                </c:pt>
                <c:pt idx="845">
                  <c:v>23.800600208737055</c:v>
                </c:pt>
                <c:pt idx="846">
                  <c:v>21.213203435596427</c:v>
                </c:pt>
                <c:pt idx="847">
                  <c:v>18.262842870261625</c:v>
                </c:pt>
                <c:pt idx="848">
                  <c:v>14.999999999999998</c:v>
                </c:pt>
                <c:pt idx="849">
                  <c:v>11.480502970952697</c:v>
                </c:pt>
                <c:pt idx="850">
                  <c:v>7.7645713530756302</c:v>
                </c:pt>
                <c:pt idx="851">
                  <c:v>3.9157857666015596</c:v>
                </c:pt>
                <c:pt idx="852">
                  <c:v>3.67544536472586E-15</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3.9157857666015472</c:v>
                </c:pt>
                <c:pt idx="878">
                  <c:v>7.7645713530756222</c:v>
                </c:pt>
                <c:pt idx="879">
                  <c:v>11.480502970952694</c:v>
                </c:pt>
                <c:pt idx="880">
                  <c:v>14.999999999999998</c:v>
                </c:pt>
                <c:pt idx="881">
                  <c:v>18.262842870261618</c:v>
                </c:pt>
                <c:pt idx="882">
                  <c:v>21.213203435596423</c:v>
                </c:pt>
                <c:pt idx="883">
                  <c:v>23.800600208737055</c:v>
                </c:pt>
                <c:pt idx="884">
                  <c:v>25.980762113533157</c:v>
                </c:pt>
                <c:pt idx="885">
                  <c:v>27.716385975338603</c:v>
                </c:pt>
                <c:pt idx="886">
                  <c:v>28.97777478867205</c:v>
                </c:pt>
                <c:pt idx="887">
                  <c:v>29.74334584121431</c:v>
                </c:pt>
                <c:pt idx="888">
                  <c:v>30</c:v>
                </c:pt>
                <c:pt idx="889">
                  <c:v>29.74334584121431</c:v>
                </c:pt>
                <c:pt idx="890">
                  <c:v>28.97777478867205</c:v>
                </c:pt>
                <c:pt idx="891">
                  <c:v>27.716385975338607</c:v>
                </c:pt>
                <c:pt idx="892">
                  <c:v>25.98076211353316</c:v>
                </c:pt>
                <c:pt idx="893">
                  <c:v>23.800600208737055</c:v>
                </c:pt>
                <c:pt idx="894">
                  <c:v>21.213203435596427</c:v>
                </c:pt>
                <c:pt idx="895">
                  <c:v>18.262842870261625</c:v>
                </c:pt>
                <c:pt idx="896">
                  <c:v>14.999999999999998</c:v>
                </c:pt>
                <c:pt idx="897">
                  <c:v>11.480502970952697</c:v>
                </c:pt>
                <c:pt idx="898">
                  <c:v>7.7645713530756302</c:v>
                </c:pt>
                <c:pt idx="899">
                  <c:v>3.9157857666015596</c:v>
                </c:pt>
                <c:pt idx="900">
                  <c:v>3.67544536472586E-15</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3.9157857666015472</c:v>
                </c:pt>
                <c:pt idx="926">
                  <c:v>7.7645713530756222</c:v>
                </c:pt>
                <c:pt idx="927">
                  <c:v>11.480502970952694</c:v>
                </c:pt>
                <c:pt idx="928">
                  <c:v>14.999999999999998</c:v>
                </c:pt>
                <c:pt idx="929">
                  <c:v>18.262842870261618</c:v>
                </c:pt>
                <c:pt idx="930">
                  <c:v>21.213203435596423</c:v>
                </c:pt>
                <c:pt idx="931">
                  <c:v>23.800600208737055</c:v>
                </c:pt>
                <c:pt idx="932">
                  <c:v>25.980762113533157</c:v>
                </c:pt>
                <c:pt idx="933">
                  <c:v>27.716385975338603</c:v>
                </c:pt>
                <c:pt idx="934">
                  <c:v>28.97777478867205</c:v>
                </c:pt>
                <c:pt idx="935">
                  <c:v>29.74334584121431</c:v>
                </c:pt>
                <c:pt idx="936">
                  <c:v>30</c:v>
                </c:pt>
                <c:pt idx="937">
                  <c:v>29.74334584121431</c:v>
                </c:pt>
                <c:pt idx="938">
                  <c:v>28.97777478867205</c:v>
                </c:pt>
                <c:pt idx="939">
                  <c:v>27.716385975338607</c:v>
                </c:pt>
                <c:pt idx="940">
                  <c:v>25.98076211353316</c:v>
                </c:pt>
                <c:pt idx="941">
                  <c:v>23.800600208737055</c:v>
                </c:pt>
                <c:pt idx="942">
                  <c:v>21.213203435596427</c:v>
                </c:pt>
                <c:pt idx="943">
                  <c:v>18.262842870261625</c:v>
                </c:pt>
                <c:pt idx="944">
                  <c:v>14.999999999999998</c:v>
                </c:pt>
                <c:pt idx="945">
                  <c:v>11.480502970952697</c:v>
                </c:pt>
                <c:pt idx="946">
                  <c:v>7.7645713530756302</c:v>
                </c:pt>
                <c:pt idx="947">
                  <c:v>3.9157857666015596</c:v>
                </c:pt>
                <c:pt idx="948">
                  <c:v>3.67544536472586E-15</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3.9157857666015472</c:v>
                </c:pt>
                <c:pt idx="974">
                  <c:v>7.7645713530756222</c:v>
                </c:pt>
                <c:pt idx="975">
                  <c:v>11.480502970952694</c:v>
                </c:pt>
                <c:pt idx="976">
                  <c:v>14.999999999999998</c:v>
                </c:pt>
                <c:pt idx="977">
                  <c:v>18.262842870261618</c:v>
                </c:pt>
                <c:pt idx="978">
                  <c:v>21.213203435596423</c:v>
                </c:pt>
                <c:pt idx="979">
                  <c:v>23.800600208737055</c:v>
                </c:pt>
                <c:pt idx="980">
                  <c:v>25.980762113533157</c:v>
                </c:pt>
                <c:pt idx="981">
                  <c:v>27.716385975338603</c:v>
                </c:pt>
                <c:pt idx="982">
                  <c:v>28.97777478867205</c:v>
                </c:pt>
                <c:pt idx="983">
                  <c:v>29.74334584121431</c:v>
                </c:pt>
                <c:pt idx="984">
                  <c:v>30</c:v>
                </c:pt>
                <c:pt idx="985">
                  <c:v>29.74334584121431</c:v>
                </c:pt>
                <c:pt idx="986">
                  <c:v>28.97777478867205</c:v>
                </c:pt>
                <c:pt idx="987">
                  <c:v>27.716385975338607</c:v>
                </c:pt>
                <c:pt idx="988">
                  <c:v>25.98076211353316</c:v>
                </c:pt>
                <c:pt idx="989">
                  <c:v>23.800600208737055</c:v>
                </c:pt>
                <c:pt idx="990">
                  <c:v>21.213203435596427</c:v>
                </c:pt>
                <c:pt idx="991">
                  <c:v>18.262842870261625</c:v>
                </c:pt>
                <c:pt idx="992">
                  <c:v>14.999999999999998</c:v>
                </c:pt>
                <c:pt idx="993">
                  <c:v>11.480502970952697</c:v>
                </c:pt>
                <c:pt idx="994">
                  <c:v>7.7645713530756302</c:v>
                </c:pt>
                <c:pt idx="995">
                  <c:v>3.9157857666015596</c:v>
                </c:pt>
                <c:pt idx="996">
                  <c:v>3.67544536472586E-15</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3.9157857666015472</c:v>
                </c:pt>
                <c:pt idx="1022">
                  <c:v>7.7645713530756222</c:v>
                </c:pt>
                <c:pt idx="1023">
                  <c:v>11.480502970952694</c:v>
                </c:pt>
                <c:pt idx="1024">
                  <c:v>14.999999999999998</c:v>
                </c:pt>
                <c:pt idx="1025">
                  <c:v>18.262842870261618</c:v>
                </c:pt>
                <c:pt idx="1026">
                  <c:v>21.213203435596423</c:v>
                </c:pt>
                <c:pt idx="1027">
                  <c:v>23.800600208737055</c:v>
                </c:pt>
                <c:pt idx="1028">
                  <c:v>25.980762113533157</c:v>
                </c:pt>
                <c:pt idx="1029">
                  <c:v>27.716385975338603</c:v>
                </c:pt>
                <c:pt idx="1030">
                  <c:v>28.97777478867205</c:v>
                </c:pt>
                <c:pt idx="1031">
                  <c:v>29.74334584121431</c:v>
                </c:pt>
                <c:pt idx="1032">
                  <c:v>30</c:v>
                </c:pt>
                <c:pt idx="1033">
                  <c:v>29.74334584121431</c:v>
                </c:pt>
                <c:pt idx="1034">
                  <c:v>28.97777478867205</c:v>
                </c:pt>
                <c:pt idx="1035">
                  <c:v>27.716385975338607</c:v>
                </c:pt>
                <c:pt idx="1036">
                  <c:v>25.98076211353316</c:v>
                </c:pt>
                <c:pt idx="1037">
                  <c:v>23.800600208737055</c:v>
                </c:pt>
                <c:pt idx="1038">
                  <c:v>21.213203435596427</c:v>
                </c:pt>
                <c:pt idx="1039">
                  <c:v>18.262842870261625</c:v>
                </c:pt>
                <c:pt idx="1040">
                  <c:v>14.999999999999998</c:v>
                </c:pt>
                <c:pt idx="1041">
                  <c:v>11.480502970952697</c:v>
                </c:pt>
                <c:pt idx="1042">
                  <c:v>7.7645713530756302</c:v>
                </c:pt>
                <c:pt idx="1043">
                  <c:v>3.9157857666015596</c:v>
                </c:pt>
                <c:pt idx="1044">
                  <c:v>3.67544536472586E-15</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3.9157857666015472</c:v>
                </c:pt>
                <c:pt idx="1070">
                  <c:v>7.7645713530756222</c:v>
                </c:pt>
                <c:pt idx="1071">
                  <c:v>11.480502970952694</c:v>
                </c:pt>
                <c:pt idx="1072">
                  <c:v>14.999999999999998</c:v>
                </c:pt>
                <c:pt idx="1073">
                  <c:v>18.262842870261618</c:v>
                </c:pt>
                <c:pt idx="1074">
                  <c:v>21.213203435596423</c:v>
                </c:pt>
                <c:pt idx="1075">
                  <c:v>23.800600208737055</c:v>
                </c:pt>
                <c:pt idx="1076">
                  <c:v>25.980762113533157</c:v>
                </c:pt>
                <c:pt idx="1077">
                  <c:v>27.716385975338603</c:v>
                </c:pt>
                <c:pt idx="1078">
                  <c:v>28.97777478867205</c:v>
                </c:pt>
                <c:pt idx="1079">
                  <c:v>29.74334584121431</c:v>
                </c:pt>
                <c:pt idx="1080">
                  <c:v>30</c:v>
                </c:pt>
                <c:pt idx="1081">
                  <c:v>29.74334584121431</c:v>
                </c:pt>
                <c:pt idx="1082">
                  <c:v>28.97777478867205</c:v>
                </c:pt>
                <c:pt idx="1083">
                  <c:v>27.716385975338607</c:v>
                </c:pt>
                <c:pt idx="1084">
                  <c:v>25.98076211353316</c:v>
                </c:pt>
                <c:pt idx="1085">
                  <c:v>23.800600208737055</c:v>
                </c:pt>
                <c:pt idx="1086">
                  <c:v>21.213203435596427</c:v>
                </c:pt>
                <c:pt idx="1087">
                  <c:v>18.262842870261625</c:v>
                </c:pt>
                <c:pt idx="1088">
                  <c:v>14.999999999999998</c:v>
                </c:pt>
                <c:pt idx="1089">
                  <c:v>11.480502970952697</c:v>
                </c:pt>
                <c:pt idx="1090">
                  <c:v>7.7645713530756302</c:v>
                </c:pt>
                <c:pt idx="1091">
                  <c:v>3.9157857666015596</c:v>
                </c:pt>
                <c:pt idx="1092">
                  <c:v>3.67544536472586E-15</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3.9157857666015472</c:v>
                </c:pt>
                <c:pt idx="1118">
                  <c:v>7.7645713530756222</c:v>
                </c:pt>
                <c:pt idx="1119">
                  <c:v>11.480502970952694</c:v>
                </c:pt>
                <c:pt idx="1120">
                  <c:v>14.999999999999998</c:v>
                </c:pt>
                <c:pt idx="1121">
                  <c:v>18.262842870261618</c:v>
                </c:pt>
                <c:pt idx="1122">
                  <c:v>21.213203435596423</c:v>
                </c:pt>
                <c:pt idx="1123">
                  <c:v>23.800600208737055</c:v>
                </c:pt>
                <c:pt idx="1124">
                  <c:v>25.980762113533157</c:v>
                </c:pt>
                <c:pt idx="1125">
                  <c:v>27.716385975338603</c:v>
                </c:pt>
                <c:pt idx="1126">
                  <c:v>28.97777478867205</c:v>
                </c:pt>
                <c:pt idx="1127">
                  <c:v>29.74334584121431</c:v>
                </c:pt>
                <c:pt idx="1128">
                  <c:v>30</c:v>
                </c:pt>
                <c:pt idx="1129">
                  <c:v>29.74334584121431</c:v>
                </c:pt>
                <c:pt idx="1130">
                  <c:v>28.97777478867205</c:v>
                </c:pt>
                <c:pt idx="1131">
                  <c:v>27.716385975338607</c:v>
                </c:pt>
                <c:pt idx="1132">
                  <c:v>25.98076211353316</c:v>
                </c:pt>
                <c:pt idx="1133">
                  <c:v>23.800600208737055</c:v>
                </c:pt>
                <c:pt idx="1134">
                  <c:v>21.213203435596427</c:v>
                </c:pt>
                <c:pt idx="1135">
                  <c:v>18.262842870261625</c:v>
                </c:pt>
                <c:pt idx="1136">
                  <c:v>14.999999999999998</c:v>
                </c:pt>
                <c:pt idx="1137">
                  <c:v>11.480502970952697</c:v>
                </c:pt>
                <c:pt idx="1138">
                  <c:v>7.7645713530756302</c:v>
                </c:pt>
                <c:pt idx="1139">
                  <c:v>3.9157857666015596</c:v>
                </c:pt>
                <c:pt idx="1140">
                  <c:v>3.67544536472586E-15</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3.9157857666015472</c:v>
                </c:pt>
                <c:pt idx="1166">
                  <c:v>7.7645713530756222</c:v>
                </c:pt>
                <c:pt idx="1167">
                  <c:v>11.480502970952694</c:v>
                </c:pt>
                <c:pt idx="1168">
                  <c:v>14.999999999999998</c:v>
                </c:pt>
                <c:pt idx="1169">
                  <c:v>18.262842870261618</c:v>
                </c:pt>
                <c:pt idx="1170">
                  <c:v>21.213203435596423</c:v>
                </c:pt>
                <c:pt idx="1171">
                  <c:v>23.800600208737055</c:v>
                </c:pt>
                <c:pt idx="1172">
                  <c:v>25.980762113533157</c:v>
                </c:pt>
                <c:pt idx="1173">
                  <c:v>27.716385975338603</c:v>
                </c:pt>
                <c:pt idx="1174">
                  <c:v>28.97777478867205</c:v>
                </c:pt>
                <c:pt idx="1175">
                  <c:v>29.74334584121431</c:v>
                </c:pt>
                <c:pt idx="1176">
                  <c:v>30</c:v>
                </c:pt>
                <c:pt idx="1177">
                  <c:v>29.74334584121431</c:v>
                </c:pt>
                <c:pt idx="1178">
                  <c:v>28.97777478867205</c:v>
                </c:pt>
                <c:pt idx="1179">
                  <c:v>27.716385975338607</c:v>
                </c:pt>
                <c:pt idx="1180">
                  <c:v>25.98076211353316</c:v>
                </c:pt>
                <c:pt idx="1181">
                  <c:v>23.800600208737055</c:v>
                </c:pt>
                <c:pt idx="1182">
                  <c:v>21.213203435596427</c:v>
                </c:pt>
                <c:pt idx="1183">
                  <c:v>18.262842870261625</c:v>
                </c:pt>
                <c:pt idx="1184">
                  <c:v>14.999999999999998</c:v>
                </c:pt>
                <c:pt idx="1185">
                  <c:v>11.480502970952697</c:v>
                </c:pt>
                <c:pt idx="1186">
                  <c:v>7.7645713530756302</c:v>
                </c:pt>
                <c:pt idx="1187">
                  <c:v>3.9157857666015596</c:v>
                </c:pt>
                <c:pt idx="1188">
                  <c:v>3.67544536472586E-15</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3.9157857666015472</c:v>
                </c:pt>
                <c:pt idx="1214">
                  <c:v>7.7645713530756222</c:v>
                </c:pt>
                <c:pt idx="1215">
                  <c:v>11.480502970952694</c:v>
                </c:pt>
                <c:pt idx="1216">
                  <c:v>14.999999999999998</c:v>
                </c:pt>
                <c:pt idx="1217">
                  <c:v>18.262842870261618</c:v>
                </c:pt>
                <c:pt idx="1218">
                  <c:v>21.213203435596423</c:v>
                </c:pt>
                <c:pt idx="1219">
                  <c:v>23.800600208737055</c:v>
                </c:pt>
                <c:pt idx="1220">
                  <c:v>25.980762113533157</c:v>
                </c:pt>
                <c:pt idx="1221">
                  <c:v>27.716385975338603</c:v>
                </c:pt>
                <c:pt idx="1222">
                  <c:v>28.97777478867205</c:v>
                </c:pt>
                <c:pt idx="1223">
                  <c:v>29.74334584121431</c:v>
                </c:pt>
                <c:pt idx="1224">
                  <c:v>30</c:v>
                </c:pt>
                <c:pt idx="1225">
                  <c:v>29.74334584121431</c:v>
                </c:pt>
                <c:pt idx="1226">
                  <c:v>28.97777478867205</c:v>
                </c:pt>
                <c:pt idx="1227">
                  <c:v>27.716385975338607</c:v>
                </c:pt>
                <c:pt idx="1228">
                  <c:v>25.98076211353316</c:v>
                </c:pt>
                <c:pt idx="1229">
                  <c:v>23.800600208737055</c:v>
                </c:pt>
                <c:pt idx="1230">
                  <c:v>21.213203435596427</c:v>
                </c:pt>
                <c:pt idx="1231">
                  <c:v>18.262842870261625</c:v>
                </c:pt>
                <c:pt idx="1232">
                  <c:v>14.999999999999998</c:v>
                </c:pt>
                <c:pt idx="1233">
                  <c:v>11.480502970952697</c:v>
                </c:pt>
                <c:pt idx="1234">
                  <c:v>7.7645713530756302</c:v>
                </c:pt>
                <c:pt idx="1235">
                  <c:v>3.9157857666015596</c:v>
                </c:pt>
                <c:pt idx="1236">
                  <c:v>3.67544536472586E-15</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3.9157857666015472</c:v>
                </c:pt>
                <c:pt idx="1262">
                  <c:v>7.7645713530756222</c:v>
                </c:pt>
                <c:pt idx="1263">
                  <c:v>11.480502970952694</c:v>
                </c:pt>
                <c:pt idx="1264">
                  <c:v>14.999999999999998</c:v>
                </c:pt>
                <c:pt idx="1265">
                  <c:v>18.262842870261618</c:v>
                </c:pt>
                <c:pt idx="1266">
                  <c:v>21.213203435596423</c:v>
                </c:pt>
                <c:pt idx="1267">
                  <c:v>23.800600208737055</c:v>
                </c:pt>
                <c:pt idx="1268">
                  <c:v>25.980762113533157</c:v>
                </c:pt>
                <c:pt idx="1269">
                  <c:v>27.716385975338603</c:v>
                </c:pt>
                <c:pt idx="1270">
                  <c:v>28.97777478867205</c:v>
                </c:pt>
                <c:pt idx="1271">
                  <c:v>29.74334584121431</c:v>
                </c:pt>
                <c:pt idx="1272">
                  <c:v>30</c:v>
                </c:pt>
                <c:pt idx="1273">
                  <c:v>29.74334584121431</c:v>
                </c:pt>
                <c:pt idx="1274">
                  <c:v>28.97777478867205</c:v>
                </c:pt>
                <c:pt idx="1275">
                  <c:v>27.716385975338607</c:v>
                </c:pt>
                <c:pt idx="1276">
                  <c:v>25.98076211353316</c:v>
                </c:pt>
                <c:pt idx="1277">
                  <c:v>23.800600208737055</c:v>
                </c:pt>
                <c:pt idx="1278">
                  <c:v>21.213203435596427</c:v>
                </c:pt>
                <c:pt idx="1279">
                  <c:v>18.262842870261625</c:v>
                </c:pt>
                <c:pt idx="1280">
                  <c:v>14.999999999999998</c:v>
                </c:pt>
                <c:pt idx="1281">
                  <c:v>11.480502970952697</c:v>
                </c:pt>
                <c:pt idx="1282">
                  <c:v>7.7645713530756302</c:v>
                </c:pt>
                <c:pt idx="1283">
                  <c:v>3.9157857666015596</c:v>
                </c:pt>
                <c:pt idx="1284">
                  <c:v>3.67544536472586E-15</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3.9157857666015472</c:v>
                </c:pt>
                <c:pt idx="1310">
                  <c:v>7.7645713530756222</c:v>
                </c:pt>
                <c:pt idx="1311">
                  <c:v>11.480502970952694</c:v>
                </c:pt>
                <c:pt idx="1312">
                  <c:v>14.999999999999998</c:v>
                </c:pt>
                <c:pt idx="1313">
                  <c:v>18.262842870261618</c:v>
                </c:pt>
                <c:pt idx="1314">
                  <c:v>21.213203435596423</c:v>
                </c:pt>
                <c:pt idx="1315">
                  <c:v>23.800600208737055</c:v>
                </c:pt>
                <c:pt idx="1316">
                  <c:v>25.980762113533157</c:v>
                </c:pt>
                <c:pt idx="1317">
                  <c:v>27.716385975338603</c:v>
                </c:pt>
                <c:pt idx="1318">
                  <c:v>28.97777478867205</c:v>
                </c:pt>
                <c:pt idx="1319">
                  <c:v>29.74334584121431</c:v>
                </c:pt>
                <c:pt idx="1320">
                  <c:v>30</c:v>
                </c:pt>
                <c:pt idx="1321">
                  <c:v>29.74334584121431</c:v>
                </c:pt>
                <c:pt idx="1322">
                  <c:v>28.97777478867205</c:v>
                </c:pt>
                <c:pt idx="1323">
                  <c:v>27.716385975338607</c:v>
                </c:pt>
                <c:pt idx="1324">
                  <c:v>25.98076211353316</c:v>
                </c:pt>
                <c:pt idx="1325">
                  <c:v>23.800600208737055</c:v>
                </c:pt>
                <c:pt idx="1326">
                  <c:v>21.213203435596427</c:v>
                </c:pt>
                <c:pt idx="1327">
                  <c:v>18.262842870261625</c:v>
                </c:pt>
                <c:pt idx="1328">
                  <c:v>14.999999999999998</c:v>
                </c:pt>
                <c:pt idx="1329">
                  <c:v>11.480502970952697</c:v>
                </c:pt>
                <c:pt idx="1330">
                  <c:v>7.7645713530756302</c:v>
                </c:pt>
                <c:pt idx="1331">
                  <c:v>3.9157857666015596</c:v>
                </c:pt>
                <c:pt idx="1332">
                  <c:v>3.67544536472586E-15</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3.9157857666015472</c:v>
                </c:pt>
                <c:pt idx="1358">
                  <c:v>7.7645713530756222</c:v>
                </c:pt>
                <c:pt idx="1359">
                  <c:v>11.480502970952694</c:v>
                </c:pt>
                <c:pt idx="1360">
                  <c:v>14.999999999999998</c:v>
                </c:pt>
                <c:pt idx="1361">
                  <c:v>18.262842870261618</c:v>
                </c:pt>
                <c:pt idx="1362">
                  <c:v>21.213203435596423</c:v>
                </c:pt>
                <c:pt idx="1363">
                  <c:v>23.800600208737055</c:v>
                </c:pt>
                <c:pt idx="1364">
                  <c:v>25.980762113533157</c:v>
                </c:pt>
                <c:pt idx="1365">
                  <c:v>27.716385975338603</c:v>
                </c:pt>
                <c:pt idx="1366">
                  <c:v>28.97777478867205</c:v>
                </c:pt>
                <c:pt idx="1367">
                  <c:v>29.74334584121431</c:v>
                </c:pt>
                <c:pt idx="1368">
                  <c:v>30</c:v>
                </c:pt>
                <c:pt idx="1369">
                  <c:v>29.74334584121431</c:v>
                </c:pt>
                <c:pt idx="1370">
                  <c:v>28.97777478867205</c:v>
                </c:pt>
                <c:pt idx="1371">
                  <c:v>27.716385975338607</c:v>
                </c:pt>
                <c:pt idx="1372">
                  <c:v>25.98076211353316</c:v>
                </c:pt>
                <c:pt idx="1373">
                  <c:v>23.800600208737055</c:v>
                </c:pt>
                <c:pt idx="1374">
                  <c:v>21.213203435596427</c:v>
                </c:pt>
                <c:pt idx="1375">
                  <c:v>18.262842870261625</c:v>
                </c:pt>
                <c:pt idx="1376">
                  <c:v>14.999999999999998</c:v>
                </c:pt>
                <c:pt idx="1377">
                  <c:v>11.480502970952697</c:v>
                </c:pt>
                <c:pt idx="1378">
                  <c:v>7.7645713530756302</c:v>
                </c:pt>
                <c:pt idx="1379">
                  <c:v>3.9157857666015596</c:v>
                </c:pt>
                <c:pt idx="1380">
                  <c:v>3.67544536472586E-15</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3.9157857666015472</c:v>
                </c:pt>
                <c:pt idx="1406">
                  <c:v>7.7645713530756222</c:v>
                </c:pt>
                <c:pt idx="1407">
                  <c:v>11.480502970952694</c:v>
                </c:pt>
                <c:pt idx="1408">
                  <c:v>14.999999999999998</c:v>
                </c:pt>
                <c:pt idx="1409">
                  <c:v>18.262842870261618</c:v>
                </c:pt>
                <c:pt idx="1410">
                  <c:v>21.213203435596423</c:v>
                </c:pt>
                <c:pt idx="1411">
                  <c:v>23.800600208737055</c:v>
                </c:pt>
                <c:pt idx="1412">
                  <c:v>25.980762113533157</c:v>
                </c:pt>
                <c:pt idx="1413">
                  <c:v>27.716385975338603</c:v>
                </c:pt>
                <c:pt idx="1414">
                  <c:v>28.97777478867205</c:v>
                </c:pt>
                <c:pt idx="1415">
                  <c:v>29.74334584121431</c:v>
                </c:pt>
                <c:pt idx="1416">
                  <c:v>30</c:v>
                </c:pt>
                <c:pt idx="1417">
                  <c:v>29.74334584121431</c:v>
                </c:pt>
                <c:pt idx="1418">
                  <c:v>28.97777478867205</c:v>
                </c:pt>
                <c:pt idx="1419">
                  <c:v>27.716385975338607</c:v>
                </c:pt>
                <c:pt idx="1420">
                  <c:v>25.98076211353316</c:v>
                </c:pt>
                <c:pt idx="1421">
                  <c:v>23.800600208737055</c:v>
                </c:pt>
                <c:pt idx="1422">
                  <c:v>21.213203435596427</c:v>
                </c:pt>
                <c:pt idx="1423">
                  <c:v>18.262842870261625</c:v>
                </c:pt>
                <c:pt idx="1424">
                  <c:v>14.999999999999998</c:v>
                </c:pt>
                <c:pt idx="1425">
                  <c:v>11.480502970952697</c:v>
                </c:pt>
                <c:pt idx="1426">
                  <c:v>7.7645713530756302</c:v>
                </c:pt>
                <c:pt idx="1427">
                  <c:v>3.9157857666015596</c:v>
                </c:pt>
                <c:pt idx="1428">
                  <c:v>3.67544536472586E-15</c:v>
                </c:pt>
                <c:pt idx="1429">
                  <c:v>0</c:v>
                </c:pt>
                <c:pt idx="1430">
                  <c:v>0</c:v>
                </c:pt>
                <c:pt idx="1431">
                  <c:v>0</c:v>
                </c:pt>
                <c:pt idx="1432">
                  <c:v>0</c:v>
                </c:pt>
                <c:pt idx="1433">
                  <c:v>0</c:v>
                </c:pt>
                <c:pt idx="1434">
                  <c:v>0</c:v>
                </c:pt>
                <c:pt idx="1435">
                  <c:v>0</c:v>
                </c:pt>
                <c:pt idx="1436">
                  <c:v>0</c:v>
                </c:pt>
                <c:pt idx="1437">
                  <c:v>0</c:v>
                </c:pt>
                <c:pt idx="1438">
                  <c:v>0</c:v>
                </c:pt>
                <c:pt idx="1439">
                  <c:v>0</c:v>
                </c:pt>
              </c:numCache>
            </c:numRef>
          </c:val>
          <c:smooth val="0"/>
          <c:extLst>
            <c:ext xmlns:c16="http://schemas.microsoft.com/office/drawing/2014/chart" uri="{C3380CC4-5D6E-409C-BE32-E72D297353CC}">
              <c16:uniqueId val="{00000001-FD4B-44FF-8671-C91F3A3F55EF}"/>
            </c:ext>
          </c:extLst>
        </c:ser>
        <c:dLbls>
          <c:showLegendKey val="0"/>
          <c:showVal val="0"/>
          <c:showCatName val="0"/>
          <c:showSerName val="0"/>
          <c:showPercent val="0"/>
          <c:showBubbleSize val="0"/>
        </c:dLbls>
        <c:smooth val="0"/>
        <c:axId val="143081823"/>
        <c:axId val="143082303"/>
      </c:lineChart>
      <c:catAx>
        <c:axId val="143081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30-minute</a:t>
                </a:r>
                <a:r>
                  <a:rPr lang="en-US" baseline="0"/>
                  <a:t> interval over 30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82303"/>
        <c:crosses val="autoZero"/>
        <c:auto val="1"/>
        <c:lblAlgn val="ctr"/>
        <c:lblOffset val="100"/>
        <c:noMultiLvlLbl val="0"/>
      </c:catAx>
      <c:valAx>
        <c:axId val="143082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Power (KW)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8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Solar Energy Use Split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Solar_Analysis!$N$1</c:f>
              <c:strCache>
                <c:ptCount val="1"/>
                <c:pt idx="0">
                  <c:v>kWh</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708-430E-B6ED-02972AF9583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708-430E-B6ED-02972AF9583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7708-430E-B6ED-02972AF9583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7708-430E-B6ED-02972AF95839}"/>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Solar_Analysis!$M$2:$M$3</c:f>
              <c:strCache>
                <c:ptCount val="2"/>
                <c:pt idx="0">
                  <c:v>Self-consumed</c:v>
                </c:pt>
                <c:pt idx="1">
                  <c:v>Exported</c:v>
                </c:pt>
              </c:strCache>
            </c:strRef>
          </c:cat>
          <c:val>
            <c:numRef>
              <c:f>Solar_Analysis!$N$2:$N$3</c:f>
              <c:numCache>
                <c:formatCode>General</c:formatCode>
                <c:ptCount val="2"/>
                <c:pt idx="0">
                  <c:v>5581.3491416844163</c:v>
                </c:pt>
                <c:pt idx="1">
                  <c:v>1284.3241180350738</c:v>
                </c:pt>
              </c:numCache>
            </c:numRef>
          </c:val>
          <c:extLst>
            <c:ext xmlns:c16="http://schemas.microsoft.com/office/drawing/2014/chart" uri="{C3380CC4-5D6E-409C-BE32-E72D297353CC}">
              <c16:uniqueId val="{00000000-7708-430E-B6ED-02972AF95839}"/>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Energy Before vs After Solar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Solar_Analysis!$N$5</c:f>
              <c:strCache>
                <c:ptCount val="1"/>
                <c:pt idx="0">
                  <c:v>Energy (kWh)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Solar_Analysis!$M$6:$M$7</c:f>
              <c:strCache>
                <c:ptCount val="2"/>
                <c:pt idx="0">
                  <c:v>Original Building Demand</c:v>
                </c:pt>
                <c:pt idx="1">
                  <c:v>Grid Import After Solar</c:v>
                </c:pt>
              </c:strCache>
            </c:strRef>
          </c:cat>
          <c:val>
            <c:numRef>
              <c:f>Solar_Analysis!$N$6:$N$7</c:f>
              <c:numCache>
                <c:formatCode>General</c:formatCode>
                <c:ptCount val="2"/>
                <c:pt idx="0">
                  <c:v>8130.0000000000009</c:v>
                </c:pt>
                <c:pt idx="1">
                  <c:v>2548.650858315581</c:v>
                </c:pt>
              </c:numCache>
            </c:numRef>
          </c:val>
          <c:extLst>
            <c:ext xmlns:c16="http://schemas.microsoft.com/office/drawing/2014/chart" uri="{C3380CC4-5D6E-409C-BE32-E72D297353CC}">
              <c16:uniqueId val="{00000000-4C95-48AE-A83F-0EF841505E9E}"/>
            </c:ext>
          </c:extLst>
        </c:ser>
        <c:dLbls>
          <c:dLblPos val="outEnd"/>
          <c:showLegendKey val="0"/>
          <c:showVal val="1"/>
          <c:showCatName val="0"/>
          <c:showSerName val="0"/>
          <c:showPercent val="0"/>
          <c:showBubbleSize val="0"/>
        </c:dLbls>
        <c:gapWidth val="100"/>
        <c:overlap val="-24"/>
        <c:axId val="268056559"/>
        <c:axId val="268054639"/>
      </c:barChart>
      <c:catAx>
        <c:axId val="268056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4639"/>
        <c:crosses val="autoZero"/>
        <c:auto val="1"/>
        <c:lblAlgn val="ctr"/>
        <c:lblOffset val="100"/>
        <c:noMultiLvlLbl val="0"/>
      </c:catAx>
      <c:valAx>
        <c:axId val="268054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Energy (kWh)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Daily Energy Consumption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08259094266228"/>
          <c:y val="0.17937191695865654"/>
          <c:w val="0.85647392296826286"/>
          <c:h val="0.53292816763742579"/>
        </c:manualLayout>
      </c:layout>
      <c:barChart>
        <c:barDir val="col"/>
        <c:grouping val="clustered"/>
        <c:varyColors val="0"/>
        <c:ser>
          <c:idx val="0"/>
          <c:order val="0"/>
          <c:tx>
            <c:strRef>
              <c:f>'Daily Summary'!$B$1</c:f>
              <c:strCache>
                <c:ptCount val="1"/>
                <c:pt idx="0">
                  <c:v>Daily_Energy_kWh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'Daily Summary'!$A$2:$A$31</c:f>
              <c:numCache>
                <c:formatCode>d\-mmm\-yy</c:formatCode>
                <c:ptCount val="30"/>
                <c:pt idx="0">
                  <c:v>46204</c:v>
                </c:pt>
                <c:pt idx="1">
                  <c:v>46205</c:v>
                </c:pt>
                <c:pt idx="2">
                  <c:v>46206</c:v>
                </c:pt>
                <c:pt idx="3">
                  <c:v>46207</c:v>
                </c:pt>
                <c:pt idx="4">
                  <c:v>46208</c:v>
                </c:pt>
                <c:pt idx="5">
                  <c:v>46209</c:v>
                </c:pt>
                <c:pt idx="6">
                  <c:v>46210</c:v>
                </c:pt>
                <c:pt idx="7">
                  <c:v>46211</c:v>
                </c:pt>
                <c:pt idx="8">
                  <c:v>46212</c:v>
                </c:pt>
                <c:pt idx="9">
                  <c:v>46213</c:v>
                </c:pt>
                <c:pt idx="10">
                  <c:v>46214</c:v>
                </c:pt>
                <c:pt idx="11">
                  <c:v>46215</c:v>
                </c:pt>
                <c:pt idx="12">
                  <c:v>46216</c:v>
                </c:pt>
                <c:pt idx="13">
                  <c:v>46217</c:v>
                </c:pt>
                <c:pt idx="14">
                  <c:v>46218</c:v>
                </c:pt>
                <c:pt idx="15">
                  <c:v>46219</c:v>
                </c:pt>
                <c:pt idx="16">
                  <c:v>46220</c:v>
                </c:pt>
                <c:pt idx="17">
                  <c:v>46221</c:v>
                </c:pt>
                <c:pt idx="18">
                  <c:v>46222</c:v>
                </c:pt>
                <c:pt idx="19">
                  <c:v>46223</c:v>
                </c:pt>
                <c:pt idx="20">
                  <c:v>46224</c:v>
                </c:pt>
                <c:pt idx="21">
                  <c:v>46225</c:v>
                </c:pt>
                <c:pt idx="22">
                  <c:v>46226</c:v>
                </c:pt>
                <c:pt idx="23">
                  <c:v>46227</c:v>
                </c:pt>
                <c:pt idx="24">
                  <c:v>46228</c:v>
                </c:pt>
                <c:pt idx="25">
                  <c:v>46229</c:v>
                </c:pt>
                <c:pt idx="26">
                  <c:v>46230</c:v>
                </c:pt>
                <c:pt idx="27">
                  <c:v>46231</c:v>
                </c:pt>
                <c:pt idx="28">
                  <c:v>46232</c:v>
                </c:pt>
                <c:pt idx="29">
                  <c:v>46233</c:v>
                </c:pt>
              </c:numCache>
            </c:numRef>
          </c:cat>
          <c:val>
            <c:numRef>
              <c:f>'Daily Summary'!$B$2:$B$31</c:f>
              <c:numCache>
                <c:formatCode>General</c:formatCode>
                <c:ptCount val="30"/>
                <c:pt idx="0">
                  <c:v>276.29999999999995</c:v>
                </c:pt>
                <c:pt idx="1">
                  <c:v>264.39999999999986</c:v>
                </c:pt>
                <c:pt idx="2">
                  <c:v>271.60000000000008</c:v>
                </c:pt>
                <c:pt idx="3">
                  <c:v>261.34999999999997</c:v>
                </c:pt>
                <c:pt idx="4">
                  <c:v>271.3</c:v>
                </c:pt>
                <c:pt idx="5">
                  <c:v>261.65000000000003</c:v>
                </c:pt>
                <c:pt idx="6">
                  <c:v>269.59999999999997</c:v>
                </c:pt>
                <c:pt idx="7">
                  <c:v>282.40000000000003</c:v>
                </c:pt>
                <c:pt idx="8">
                  <c:v>284.55</c:v>
                </c:pt>
                <c:pt idx="9">
                  <c:v>278.95</c:v>
                </c:pt>
                <c:pt idx="10">
                  <c:v>278.10000000000002</c:v>
                </c:pt>
                <c:pt idx="11">
                  <c:v>266.75</c:v>
                </c:pt>
                <c:pt idx="12">
                  <c:v>270.45000000000005</c:v>
                </c:pt>
                <c:pt idx="13">
                  <c:v>279.50000000000011</c:v>
                </c:pt>
                <c:pt idx="14">
                  <c:v>270.70000000000005</c:v>
                </c:pt>
                <c:pt idx="15">
                  <c:v>270.2</c:v>
                </c:pt>
                <c:pt idx="16">
                  <c:v>257.25</c:v>
                </c:pt>
                <c:pt idx="17">
                  <c:v>268.45000000000005</c:v>
                </c:pt>
                <c:pt idx="18">
                  <c:v>262.30000000000007</c:v>
                </c:pt>
                <c:pt idx="19">
                  <c:v>271.90000000000003</c:v>
                </c:pt>
                <c:pt idx="20">
                  <c:v>263.15000000000003</c:v>
                </c:pt>
                <c:pt idx="21">
                  <c:v>258.60000000000002</c:v>
                </c:pt>
                <c:pt idx="22">
                  <c:v>285.3</c:v>
                </c:pt>
                <c:pt idx="23">
                  <c:v>268.79999999999995</c:v>
                </c:pt>
                <c:pt idx="24">
                  <c:v>264.14999999999998</c:v>
                </c:pt>
                <c:pt idx="25">
                  <c:v>287.7</c:v>
                </c:pt>
                <c:pt idx="26">
                  <c:v>264.25</c:v>
                </c:pt>
                <c:pt idx="27">
                  <c:v>277.35000000000014</c:v>
                </c:pt>
                <c:pt idx="28">
                  <c:v>278.20000000000005</c:v>
                </c:pt>
                <c:pt idx="29">
                  <c:v>264.79999999999995</c:v>
                </c:pt>
              </c:numCache>
            </c:numRef>
          </c:val>
          <c:extLst>
            <c:ext xmlns:c16="http://schemas.microsoft.com/office/drawing/2014/chart" uri="{C3380CC4-5D6E-409C-BE32-E72D297353CC}">
              <c16:uniqueId val="{00000000-6C54-4DDC-9EBE-06E730D6108A}"/>
            </c:ext>
          </c:extLst>
        </c:ser>
        <c:dLbls>
          <c:showLegendKey val="0"/>
          <c:showVal val="0"/>
          <c:showCatName val="0"/>
          <c:showSerName val="0"/>
          <c:showPercent val="0"/>
          <c:showBubbleSize val="0"/>
        </c:dLbls>
        <c:gapWidth val="100"/>
        <c:overlap val="-24"/>
        <c:axId val="2067658847"/>
        <c:axId val="2067659327"/>
      </c:barChart>
      <c:dateAx>
        <c:axId val="206765884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d\-mm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59327"/>
        <c:crosses val="autoZero"/>
        <c:auto val="1"/>
        <c:lblOffset val="100"/>
        <c:baseTimeUnit val="days"/>
      </c:dateAx>
      <c:valAx>
        <c:axId val="206765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Energy Used (kWh)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5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Daily Peak Demand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'Daily Summary'!$C$1</c:f>
              <c:strCache>
                <c:ptCount val="1"/>
                <c:pt idx="0">
                  <c:v>Peak_Demand_kW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'Daily Summary'!$C$2:$C$31</c:f>
              <c:numCache>
                <c:formatCode>General</c:formatCode>
                <c:ptCount val="30"/>
                <c:pt idx="0">
                  <c:v>33.299999999999997</c:v>
                </c:pt>
                <c:pt idx="1">
                  <c:v>31.5</c:v>
                </c:pt>
                <c:pt idx="2">
                  <c:v>34.299999999999997</c:v>
                </c:pt>
                <c:pt idx="3">
                  <c:v>31.7</c:v>
                </c:pt>
                <c:pt idx="4">
                  <c:v>34.9</c:v>
                </c:pt>
                <c:pt idx="5">
                  <c:v>34.700000000000003</c:v>
                </c:pt>
                <c:pt idx="6">
                  <c:v>33.9</c:v>
                </c:pt>
                <c:pt idx="7">
                  <c:v>34.1</c:v>
                </c:pt>
                <c:pt idx="8">
                  <c:v>34.4</c:v>
                </c:pt>
                <c:pt idx="9">
                  <c:v>34.1</c:v>
                </c:pt>
                <c:pt idx="10">
                  <c:v>34.1</c:v>
                </c:pt>
                <c:pt idx="11">
                  <c:v>30.5</c:v>
                </c:pt>
                <c:pt idx="12">
                  <c:v>34.9</c:v>
                </c:pt>
                <c:pt idx="13">
                  <c:v>34.1</c:v>
                </c:pt>
                <c:pt idx="14">
                  <c:v>34.6</c:v>
                </c:pt>
                <c:pt idx="15">
                  <c:v>34.9</c:v>
                </c:pt>
                <c:pt idx="16">
                  <c:v>30.5</c:v>
                </c:pt>
                <c:pt idx="17">
                  <c:v>31.7</c:v>
                </c:pt>
                <c:pt idx="18">
                  <c:v>29.9</c:v>
                </c:pt>
                <c:pt idx="19">
                  <c:v>33.9</c:v>
                </c:pt>
                <c:pt idx="20">
                  <c:v>32.200000000000003</c:v>
                </c:pt>
                <c:pt idx="21">
                  <c:v>31.6</c:v>
                </c:pt>
                <c:pt idx="22">
                  <c:v>33.200000000000003</c:v>
                </c:pt>
                <c:pt idx="23">
                  <c:v>34.200000000000003</c:v>
                </c:pt>
                <c:pt idx="24">
                  <c:v>33.700000000000003</c:v>
                </c:pt>
                <c:pt idx="25">
                  <c:v>33.200000000000003</c:v>
                </c:pt>
                <c:pt idx="26">
                  <c:v>32.799999999999997</c:v>
                </c:pt>
                <c:pt idx="27">
                  <c:v>34.700000000000003</c:v>
                </c:pt>
                <c:pt idx="28">
                  <c:v>33.1</c:v>
                </c:pt>
                <c:pt idx="29">
                  <c:v>33.700000000000003</c:v>
                </c:pt>
              </c:numCache>
            </c:numRef>
          </c:val>
          <c:extLst>
            <c:ext xmlns:c16="http://schemas.microsoft.com/office/drawing/2014/chart" uri="{C3380CC4-5D6E-409C-BE32-E72D297353CC}">
              <c16:uniqueId val="{00000000-7626-43BC-A8BF-DCE07B7C08EB}"/>
            </c:ext>
          </c:extLst>
        </c:ser>
        <c:dLbls>
          <c:showLegendKey val="0"/>
          <c:showVal val="0"/>
          <c:showCatName val="0"/>
          <c:showSerName val="0"/>
          <c:showPercent val="0"/>
          <c:showBubbleSize val="0"/>
        </c:dLbls>
        <c:gapWidth val="100"/>
        <c:overlap val="-24"/>
        <c:axId val="132457007"/>
        <c:axId val="132457967"/>
      </c:barChart>
      <c:catAx>
        <c:axId val="1324570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7967"/>
        <c:crosses val="autoZero"/>
        <c:auto val="1"/>
        <c:lblAlgn val="ctr"/>
        <c:lblOffset val="100"/>
        <c:noMultiLvlLbl val="0"/>
      </c:catAx>
      <c:valAx>
        <c:axId val="132457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Peak Demand (kW)</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30-Day</a:t>
            </a:r>
            <a:r>
              <a:rPr lang="en-US" baseline="0"/>
              <a:t> Demand vs Solar Generation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Solar_Analysis!$B$1</c:f>
              <c:strCache>
                <c:ptCount val="1"/>
                <c:pt idx="0">
                  <c:v>Building_Demand_Kw</c:v>
                </c:pt>
              </c:strCache>
            </c:strRef>
          </c:tx>
          <c:spPr>
            <a:ln w="28575" cap="rnd">
              <a:solidFill>
                <a:schemeClr val="accent1"/>
              </a:solidFill>
              <a:round/>
            </a:ln>
            <a:effectLst/>
          </c:spPr>
          <c:marker>
            <c:symbol val="none"/>
          </c:marker>
          <c:val>
            <c:numRef>
              <c:f>Solar_Analysis!$B$2:$B$1441</c:f>
              <c:numCache>
                <c:formatCode>General</c:formatCode>
                <c:ptCount val="1440"/>
                <c:pt idx="0">
                  <c:v>2.2000000000000002</c:v>
                </c:pt>
                <c:pt idx="1">
                  <c:v>2.1</c:v>
                </c:pt>
                <c:pt idx="2">
                  <c:v>1.9</c:v>
                </c:pt>
                <c:pt idx="3">
                  <c:v>2.5</c:v>
                </c:pt>
                <c:pt idx="4">
                  <c:v>2.1</c:v>
                </c:pt>
                <c:pt idx="5">
                  <c:v>2.9</c:v>
                </c:pt>
                <c:pt idx="6">
                  <c:v>2.6</c:v>
                </c:pt>
                <c:pt idx="7">
                  <c:v>1.9</c:v>
                </c:pt>
                <c:pt idx="8">
                  <c:v>2.8</c:v>
                </c:pt>
                <c:pt idx="9">
                  <c:v>1.9</c:v>
                </c:pt>
                <c:pt idx="10">
                  <c:v>2.6</c:v>
                </c:pt>
                <c:pt idx="11">
                  <c:v>1.8</c:v>
                </c:pt>
                <c:pt idx="12">
                  <c:v>7.7</c:v>
                </c:pt>
                <c:pt idx="13">
                  <c:v>6</c:v>
                </c:pt>
                <c:pt idx="14">
                  <c:v>6.5</c:v>
                </c:pt>
                <c:pt idx="15">
                  <c:v>4.2</c:v>
                </c:pt>
                <c:pt idx="16">
                  <c:v>13.5</c:v>
                </c:pt>
                <c:pt idx="17">
                  <c:v>13</c:v>
                </c:pt>
                <c:pt idx="18">
                  <c:v>21</c:v>
                </c:pt>
                <c:pt idx="19">
                  <c:v>14.8</c:v>
                </c:pt>
                <c:pt idx="20">
                  <c:v>14.2</c:v>
                </c:pt>
                <c:pt idx="21">
                  <c:v>13.5</c:v>
                </c:pt>
                <c:pt idx="22">
                  <c:v>21.9</c:v>
                </c:pt>
                <c:pt idx="23">
                  <c:v>18.5</c:v>
                </c:pt>
                <c:pt idx="24">
                  <c:v>19.600000000000001</c:v>
                </c:pt>
                <c:pt idx="25">
                  <c:v>29.6</c:v>
                </c:pt>
                <c:pt idx="26">
                  <c:v>33.299999999999997</c:v>
                </c:pt>
                <c:pt idx="27">
                  <c:v>32.200000000000003</c:v>
                </c:pt>
                <c:pt idx="28">
                  <c:v>21.1</c:v>
                </c:pt>
                <c:pt idx="29">
                  <c:v>22.7</c:v>
                </c:pt>
                <c:pt idx="30">
                  <c:v>23.7</c:v>
                </c:pt>
                <c:pt idx="31">
                  <c:v>32.9</c:v>
                </c:pt>
                <c:pt idx="32">
                  <c:v>20</c:v>
                </c:pt>
                <c:pt idx="33">
                  <c:v>17.2</c:v>
                </c:pt>
                <c:pt idx="34">
                  <c:v>19.100000000000001</c:v>
                </c:pt>
                <c:pt idx="35">
                  <c:v>18.600000000000001</c:v>
                </c:pt>
                <c:pt idx="36">
                  <c:v>17.899999999999999</c:v>
                </c:pt>
                <c:pt idx="37">
                  <c:v>13.2</c:v>
                </c:pt>
                <c:pt idx="38">
                  <c:v>6.5</c:v>
                </c:pt>
                <c:pt idx="39">
                  <c:v>3.3</c:v>
                </c:pt>
                <c:pt idx="40">
                  <c:v>5.5</c:v>
                </c:pt>
                <c:pt idx="41">
                  <c:v>6</c:v>
                </c:pt>
                <c:pt idx="42">
                  <c:v>4</c:v>
                </c:pt>
                <c:pt idx="43">
                  <c:v>4.4000000000000004</c:v>
                </c:pt>
                <c:pt idx="44">
                  <c:v>6.5</c:v>
                </c:pt>
                <c:pt idx="45">
                  <c:v>3.1</c:v>
                </c:pt>
                <c:pt idx="46">
                  <c:v>6</c:v>
                </c:pt>
                <c:pt idx="47">
                  <c:v>4.0999999999999996</c:v>
                </c:pt>
                <c:pt idx="48">
                  <c:v>2.7</c:v>
                </c:pt>
                <c:pt idx="49">
                  <c:v>1.9</c:v>
                </c:pt>
                <c:pt idx="50">
                  <c:v>2</c:v>
                </c:pt>
                <c:pt idx="51">
                  <c:v>2.2000000000000002</c:v>
                </c:pt>
                <c:pt idx="52">
                  <c:v>1.9</c:v>
                </c:pt>
                <c:pt idx="53">
                  <c:v>2.5</c:v>
                </c:pt>
                <c:pt idx="54">
                  <c:v>2</c:v>
                </c:pt>
                <c:pt idx="55">
                  <c:v>1.8</c:v>
                </c:pt>
                <c:pt idx="56">
                  <c:v>1.9</c:v>
                </c:pt>
                <c:pt idx="57">
                  <c:v>2.5</c:v>
                </c:pt>
                <c:pt idx="58">
                  <c:v>1.8</c:v>
                </c:pt>
                <c:pt idx="59">
                  <c:v>2.2999999999999998</c:v>
                </c:pt>
                <c:pt idx="60">
                  <c:v>7.5</c:v>
                </c:pt>
                <c:pt idx="61">
                  <c:v>7.9</c:v>
                </c:pt>
                <c:pt idx="62">
                  <c:v>7</c:v>
                </c:pt>
                <c:pt idx="63">
                  <c:v>6.7</c:v>
                </c:pt>
                <c:pt idx="64">
                  <c:v>19.100000000000001</c:v>
                </c:pt>
                <c:pt idx="65">
                  <c:v>14.2</c:v>
                </c:pt>
                <c:pt idx="66">
                  <c:v>21.5</c:v>
                </c:pt>
                <c:pt idx="67">
                  <c:v>15.1</c:v>
                </c:pt>
                <c:pt idx="68">
                  <c:v>15.5</c:v>
                </c:pt>
                <c:pt idx="69">
                  <c:v>14.5</c:v>
                </c:pt>
                <c:pt idx="70">
                  <c:v>19.7</c:v>
                </c:pt>
                <c:pt idx="71">
                  <c:v>15.3</c:v>
                </c:pt>
                <c:pt idx="72">
                  <c:v>31.5</c:v>
                </c:pt>
                <c:pt idx="73">
                  <c:v>25.6</c:v>
                </c:pt>
                <c:pt idx="74">
                  <c:v>30.6</c:v>
                </c:pt>
                <c:pt idx="75">
                  <c:v>20.3</c:v>
                </c:pt>
                <c:pt idx="76">
                  <c:v>18.8</c:v>
                </c:pt>
                <c:pt idx="77">
                  <c:v>21.5</c:v>
                </c:pt>
                <c:pt idx="78">
                  <c:v>25.9</c:v>
                </c:pt>
                <c:pt idx="79">
                  <c:v>30.1</c:v>
                </c:pt>
                <c:pt idx="80">
                  <c:v>15.9</c:v>
                </c:pt>
                <c:pt idx="81">
                  <c:v>19.899999999999999</c:v>
                </c:pt>
                <c:pt idx="82">
                  <c:v>11.4</c:v>
                </c:pt>
                <c:pt idx="83">
                  <c:v>10</c:v>
                </c:pt>
                <c:pt idx="84">
                  <c:v>15.4</c:v>
                </c:pt>
                <c:pt idx="85">
                  <c:v>10.9</c:v>
                </c:pt>
                <c:pt idx="86">
                  <c:v>3.2</c:v>
                </c:pt>
                <c:pt idx="87">
                  <c:v>5.9</c:v>
                </c:pt>
                <c:pt idx="88">
                  <c:v>4.4000000000000004</c:v>
                </c:pt>
                <c:pt idx="89">
                  <c:v>5.4</c:v>
                </c:pt>
                <c:pt idx="90">
                  <c:v>3.2</c:v>
                </c:pt>
                <c:pt idx="91">
                  <c:v>7.5</c:v>
                </c:pt>
                <c:pt idx="92">
                  <c:v>3.8</c:v>
                </c:pt>
                <c:pt idx="93">
                  <c:v>7.4</c:v>
                </c:pt>
                <c:pt idx="94">
                  <c:v>7.4</c:v>
                </c:pt>
                <c:pt idx="95">
                  <c:v>3.3</c:v>
                </c:pt>
                <c:pt idx="96">
                  <c:v>2.1</c:v>
                </c:pt>
                <c:pt idx="97">
                  <c:v>2.2000000000000002</c:v>
                </c:pt>
                <c:pt idx="98">
                  <c:v>2.8</c:v>
                </c:pt>
                <c:pt idx="99">
                  <c:v>2.8</c:v>
                </c:pt>
                <c:pt idx="100">
                  <c:v>2.6</c:v>
                </c:pt>
                <c:pt idx="101">
                  <c:v>1.8</c:v>
                </c:pt>
                <c:pt idx="102">
                  <c:v>2.6</c:v>
                </c:pt>
                <c:pt idx="103">
                  <c:v>2.1</c:v>
                </c:pt>
                <c:pt idx="104">
                  <c:v>2.2999999999999998</c:v>
                </c:pt>
                <c:pt idx="105">
                  <c:v>2.2000000000000002</c:v>
                </c:pt>
                <c:pt idx="106">
                  <c:v>1.9</c:v>
                </c:pt>
                <c:pt idx="107">
                  <c:v>2.8</c:v>
                </c:pt>
                <c:pt idx="108">
                  <c:v>5.5</c:v>
                </c:pt>
                <c:pt idx="109">
                  <c:v>6.2</c:v>
                </c:pt>
                <c:pt idx="110">
                  <c:v>6.7</c:v>
                </c:pt>
                <c:pt idx="111">
                  <c:v>4.2</c:v>
                </c:pt>
                <c:pt idx="112">
                  <c:v>16.399999999999999</c:v>
                </c:pt>
                <c:pt idx="113">
                  <c:v>12.4</c:v>
                </c:pt>
                <c:pt idx="114">
                  <c:v>12.5</c:v>
                </c:pt>
                <c:pt idx="115">
                  <c:v>15.6</c:v>
                </c:pt>
                <c:pt idx="116">
                  <c:v>15.3</c:v>
                </c:pt>
                <c:pt idx="117">
                  <c:v>12.7</c:v>
                </c:pt>
                <c:pt idx="118">
                  <c:v>18.600000000000001</c:v>
                </c:pt>
                <c:pt idx="119">
                  <c:v>21.5</c:v>
                </c:pt>
                <c:pt idx="120">
                  <c:v>34</c:v>
                </c:pt>
                <c:pt idx="121">
                  <c:v>31.7</c:v>
                </c:pt>
                <c:pt idx="122">
                  <c:v>32.1</c:v>
                </c:pt>
                <c:pt idx="123">
                  <c:v>22.8</c:v>
                </c:pt>
                <c:pt idx="124">
                  <c:v>34.299999999999997</c:v>
                </c:pt>
                <c:pt idx="125">
                  <c:v>20.100000000000001</c:v>
                </c:pt>
                <c:pt idx="126">
                  <c:v>22.7</c:v>
                </c:pt>
                <c:pt idx="127">
                  <c:v>23</c:v>
                </c:pt>
                <c:pt idx="128">
                  <c:v>16.5</c:v>
                </c:pt>
                <c:pt idx="129">
                  <c:v>16.3</c:v>
                </c:pt>
                <c:pt idx="130">
                  <c:v>16.8</c:v>
                </c:pt>
                <c:pt idx="131">
                  <c:v>14</c:v>
                </c:pt>
                <c:pt idx="132">
                  <c:v>18.2</c:v>
                </c:pt>
                <c:pt idx="133">
                  <c:v>11.6</c:v>
                </c:pt>
                <c:pt idx="134">
                  <c:v>5.8</c:v>
                </c:pt>
                <c:pt idx="135">
                  <c:v>6.7</c:v>
                </c:pt>
                <c:pt idx="136">
                  <c:v>5.8</c:v>
                </c:pt>
                <c:pt idx="137">
                  <c:v>4.5</c:v>
                </c:pt>
                <c:pt idx="138">
                  <c:v>5.7</c:v>
                </c:pt>
                <c:pt idx="139">
                  <c:v>4.7</c:v>
                </c:pt>
                <c:pt idx="140">
                  <c:v>3.6</c:v>
                </c:pt>
                <c:pt idx="141">
                  <c:v>3.9</c:v>
                </c:pt>
                <c:pt idx="142">
                  <c:v>5.6</c:v>
                </c:pt>
                <c:pt idx="143">
                  <c:v>7</c:v>
                </c:pt>
                <c:pt idx="144">
                  <c:v>2.1</c:v>
                </c:pt>
                <c:pt idx="145">
                  <c:v>3</c:v>
                </c:pt>
                <c:pt idx="146">
                  <c:v>2</c:v>
                </c:pt>
                <c:pt idx="147">
                  <c:v>2</c:v>
                </c:pt>
                <c:pt idx="148">
                  <c:v>2.4</c:v>
                </c:pt>
                <c:pt idx="149">
                  <c:v>2.5</c:v>
                </c:pt>
                <c:pt idx="150">
                  <c:v>2.8</c:v>
                </c:pt>
                <c:pt idx="151">
                  <c:v>3</c:v>
                </c:pt>
                <c:pt idx="152">
                  <c:v>2.6</c:v>
                </c:pt>
                <c:pt idx="153">
                  <c:v>2.2999999999999998</c:v>
                </c:pt>
                <c:pt idx="154">
                  <c:v>2.8</c:v>
                </c:pt>
                <c:pt idx="155">
                  <c:v>2.1</c:v>
                </c:pt>
                <c:pt idx="156">
                  <c:v>4.0999999999999996</c:v>
                </c:pt>
                <c:pt idx="157">
                  <c:v>5.0999999999999996</c:v>
                </c:pt>
                <c:pt idx="158">
                  <c:v>6.7</c:v>
                </c:pt>
                <c:pt idx="159">
                  <c:v>6.5</c:v>
                </c:pt>
                <c:pt idx="160">
                  <c:v>20.9</c:v>
                </c:pt>
                <c:pt idx="161">
                  <c:v>21.1</c:v>
                </c:pt>
                <c:pt idx="162">
                  <c:v>17.8</c:v>
                </c:pt>
                <c:pt idx="163">
                  <c:v>13.9</c:v>
                </c:pt>
                <c:pt idx="164">
                  <c:v>18.5</c:v>
                </c:pt>
                <c:pt idx="165">
                  <c:v>13.6</c:v>
                </c:pt>
                <c:pt idx="166">
                  <c:v>14.3</c:v>
                </c:pt>
                <c:pt idx="167">
                  <c:v>14</c:v>
                </c:pt>
                <c:pt idx="168">
                  <c:v>25.9</c:v>
                </c:pt>
                <c:pt idx="169">
                  <c:v>23.9</c:v>
                </c:pt>
                <c:pt idx="170">
                  <c:v>21</c:v>
                </c:pt>
                <c:pt idx="171">
                  <c:v>28.2</c:v>
                </c:pt>
                <c:pt idx="172">
                  <c:v>31.7</c:v>
                </c:pt>
                <c:pt idx="173">
                  <c:v>18.2</c:v>
                </c:pt>
                <c:pt idx="174">
                  <c:v>23.3</c:v>
                </c:pt>
                <c:pt idx="175">
                  <c:v>23.3</c:v>
                </c:pt>
                <c:pt idx="176">
                  <c:v>18.399999999999999</c:v>
                </c:pt>
                <c:pt idx="177">
                  <c:v>11.6</c:v>
                </c:pt>
                <c:pt idx="178">
                  <c:v>15.7</c:v>
                </c:pt>
                <c:pt idx="179">
                  <c:v>15.8</c:v>
                </c:pt>
                <c:pt idx="180">
                  <c:v>13.5</c:v>
                </c:pt>
                <c:pt idx="181">
                  <c:v>14.1</c:v>
                </c:pt>
                <c:pt idx="182">
                  <c:v>5.0999999999999996</c:v>
                </c:pt>
                <c:pt idx="183">
                  <c:v>3.1</c:v>
                </c:pt>
                <c:pt idx="184">
                  <c:v>4.9000000000000004</c:v>
                </c:pt>
                <c:pt idx="185">
                  <c:v>4.9000000000000004</c:v>
                </c:pt>
                <c:pt idx="186">
                  <c:v>3.5</c:v>
                </c:pt>
                <c:pt idx="187">
                  <c:v>7.7</c:v>
                </c:pt>
                <c:pt idx="188">
                  <c:v>7.5</c:v>
                </c:pt>
                <c:pt idx="189">
                  <c:v>4.9000000000000004</c:v>
                </c:pt>
                <c:pt idx="190">
                  <c:v>5</c:v>
                </c:pt>
                <c:pt idx="191">
                  <c:v>5.4</c:v>
                </c:pt>
                <c:pt idx="192">
                  <c:v>2.2000000000000002</c:v>
                </c:pt>
                <c:pt idx="193">
                  <c:v>2.2000000000000002</c:v>
                </c:pt>
                <c:pt idx="194">
                  <c:v>1.9</c:v>
                </c:pt>
                <c:pt idx="195">
                  <c:v>2.9</c:v>
                </c:pt>
                <c:pt idx="196">
                  <c:v>2</c:v>
                </c:pt>
                <c:pt idx="197">
                  <c:v>2.7</c:v>
                </c:pt>
                <c:pt idx="198">
                  <c:v>2</c:v>
                </c:pt>
                <c:pt idx="199">
                  <c:v>2.4</c:v>
                </c:pt>
                <c:pt idx="200">
                  <c:v>1.9</c:v>
                </c:pt>
                <c:pt idx="201">
                  <c:v>2.7</c:v>
                </c:pt>
                <c:pt idx="202">
                  <c:v>1.8</c:v>
                </c:pt>
                <c:pt idx="203">
                  <c:v>2.6</c:v>
                </c:pt>
                <c:pt idx="204">
                  <c:v>7.3</c:v>
                </c:pt>
                <c:pt idx="205">
                  <c:v>4</c:v>
                </c:pt>
                <c:pt idx="206">
                  <c:v>4.7</c:v>
                </c:pt>
                <c:pt idx="207">
                  <c:v>5.9</c:v>
                </c:pt>
                <c:pt idx="208">
                  <c:v>12.6</c:v>
                </c:pt>
                <c:pt idx="209">
                  <c:v>21.5</c:v>
                </c:pt>
                <c:pt idx="210">
                  <c:v>15</c:v>
                </c:pt>
                <c:pt idx="211">
                  <c:v>17.600000000000001</c:v>
                </c:pt>
                <c:pt idx="212">
                  <c:v>14.5</c:v>
                </c:pt>
                <c:pt idx="213">
                  <c:v>21.5</c:v>
                </c:pt>
                <c:pt idx="214">
                  <c:v>20.8</c:v>
                </c:pt>
                <c:pt idx="215">
                  <c:v>20.399999999999999</c:v>
                </c:pt>
                <c:pt idx="216">
                  <c:v>22.2</c:v>
                </c:pt>
                <c:pt idx="217">
                  <c:v>24.5</c:v>
                </c:pt>
                <c:pt idx="218">
                  <c:v>19.7</c:v>
                </c:pt>
                <c:pt idx="219">
                  <c:v>31.2</c:v>
                </c:pt>
                <c:pt idx="220">
                  <c:v>29.3</c:v>
                </c:pt>
                <c:pt idx="221">
                  <c:v>20.399999999999999</c:v>
                </c:pt>
                <c:pt idx="222">
                  <c:v>34.9</c:v>
                </c:pt>
                <c:pt idx="223">
                  <c:v>21</c:v>
                </c:pt>
                <c:pt idx="224">
                  <c:v>14.3</c:v>
                </c:pt>
                <c:pt idx="225">
                  <c:v>13.5</c:v>
                </c:pt>
                <c:pt idx="226">
                  <c:v>14.6</c:v>
                </c:pt>
                <c:pt idx="227">
                  <c:v>15.6</c:v>
                </c:pt>
                <c:pt idx="228">
                  <c:v>16.399999999999999</c:v>
                </c:pt>
                <c:pt idx="229">
                  <c:v>11.1</c:v>
                </c:pt>
                <c:pt idx="230">
                  <c:v>3.5</c:v>
                </c:pt>
                <c:pt idx="231">
                  <c:v>5.7</c:v>
                </c:pt>
                <c:pt idx="232">
                  <c:v>8</c:v>
                </c:pt>
                <c:pt idx="233">
                  <c:v>8</c:v>
                </c:pt>
                <c:pt idx="234">
                  <c:v>6.1</c:v>
                </c:pt>
                <c:pt idx="235">
                  <c:v>7.2</c:v>
                </c:pt>
                <c:pt idx="236">
                  <c:v>6.5</c:v>
                </c:pt>
                <c:pt idx="237">
                  <c:v>3.3</c:v>
                </c:pt>
                <c:pt idx="238">
                  <c:v>5.8</c:v>
                </c:pt>
                <c:pt idx="239">
                  <c:v>6.7</c:v>
                </c:pt>
                <c:pt idx="240">
                  <c:v>1.8</c:v>
                </c:pt>
                <c:pt idx="241">
                  <c:v>1.9</c:v>
                </c:pt>
                <c:pt idx="242">
                  <c:v>1.8</c:v>
                </c:pt>
                <c:pt idx="243">
                  <c:v>2.5</c:v>
                </c:pt>
                <c:pt idx="244">
                  <c:v>2.5</c:v>
                </c:pt>
                <c:pt idx="245">
                  <c:v>2.7</c:v>
                </c:pt>
                <c:pt idx="246">
                  <c:v>2.6</c:v>
                </c:pt>
                <c:pt idx="247">
                  <c:v>2.4</c:v>
                </c:pt>
                <c:pt idx="248">
                  <c:v>2</c:v>
                </c:pt>
                <c:pt idx="249">
                  <c:v>2.2999999999999998</c:v>
                </c:pt>
                <c:pt idx="250">
                  <c:v>2.2999999999999998</c:v>
                </c:pt>
                <c:pt idx="251">
                  <c:v>3</c:v>
                </c:pt>
                <c:pt idx="252">
                  <c:v>7.1</c:v>
                </c:pt>
                <c:pt idx="253">
                  <c:v>4.5</c:v>
                </c:pt>
                <c:pt idx="254">
                  <c:v>6.8</c:v>
                </c:pt>
                <c:pt idx="255">
                  <c:v>5.0999999999999996</c:v>
                </c:pt>
                <c:pt idx="256">
                  <c:v>16.3</c:v>
                </c:pt>
                <c:pt idx="257">
                  <c:v>12.1</c:v>
                </c:pt>
                <c:pt idx="258">
                  <c:v>15</c:v>
                </c:pt>
                <c:pt idx="259">
                  <c:v>17</c:v>
                </c:pt>
                <c:pt idx="260">
                  <c:v>18.2</c:v>
                </c:pt>
                <c:pt idx="261">
                  <c:v>19.8</c:v>
                </c:pt>
                <c:pt idx="262">
                  <c:v>12.6</c:v>
                </c:pt>
                <c:pt idx="263">
                  <c:v>15.8</c:v>
                </c:pt>
                <c:pt idx="264">
                  <c:v>21.4</c:v>
                </c:pt>
                <c:pt idx="265">
                  <c:v>30.9</c:v>
                </c:pt>
                <c:pt idx="266">
                  <c:v>34.700000000000003</c:v>
                </c:pt>
                <c:pt idx="267">
                  <c:v>33.6</c:v>
                </c:pt>
                <c:pt idx="268">
                  <c:v>22.8</c:v>
                </c:pt>
                <c:pt idx="269">
                  <c:v>18.3</c:v>
                </c:pt>
                <c:pt idx="270">
                  <c:v>25.5</c:v>
                </c:pt>
                <c:pt idx="271">
                  <c:v>21.8</c:v>
                </c:pt>
                <c:pt idx="272">
                  <c:v>12.7</c:v>
                </c:pt>
                <c:pt idx="273">
                  <c:v>15.1</c:v>
                </c:pt>
                <c:pt idx="274">
                  <c:v>13</c:v>
                </c:pt>
                <c:pt idx="275">
                  <c:v>10.1</c:v>
                </c:pt>
                <c:pt idx="276">
                  <c:v>13.1</c:v>
                </c:pt>
                <c:pt idx="277">
                  <c:v>11.8</c:v>
                </c:pt>
                <c:pt idx="278">
                  <c:v>4.9000000000000004</c:v>
                </c:pt>
                <c:pt idx="279">
                  <c:v>7.2</c:v>
                </c:pt>
                <c:pt idx="280">
                  <c:v>7.5</c:v>
                </c:pt>
                <c:pt idx="281">
                  <c:v>7.7</c:v>
                </c:pt>
                <c:pt idx="282">
                  <c:v>5</c:v>
                </c:pt>
                <c:pt idx="283">
                  <c:v>7.9</c:v>
                </c:pt>
                <c:pt idx="284">
                  <c:v>5.5</c:v>
                </c:pt>
                <c:pt idx="285">
                  <c:v>4.8</c:v>
                </c:pt>
                <c:pt idx="286">
                  <c:v>6.5</c:v>
                </c:pt>
                <c:pt idx="287">
                  <c:v>3.4</c:v>
                </c:pt>
                <c:pt idx="288">
                  <c:v>2</c:v>
                </c:pt>
                <c:pt idx="289">
                  <c:v>3</c:v>
                </c:pt>
                <c:pt idx="290">
                  <c:v>2.6</c:v>
                </c:pt>
                <c:pt idx="291">
                  <c:v>1.8</c:v>
                </c:pt>
                <c:pt idx="292">
                  <c:v>2.4</c:v>
                </c:pt>
                <c:pt idx="293">
                  <c:v>2.9</c:v>
                </c:pt>
                <c:pt idx="294">
                  <c:v>2.5</c:v>
                </c:pt>
                <c:pt idx="295">
                  <c:v>2.6</c:v>
                </c:pt>
                <c:pt idx="296">
                  <c:v>2.6</c:v>
                </c:pt>
                <c:pt idx="297">
                  <c:v>2.9</c:v>
                </c:pt>
                <c:pt idx="298">
                  <c:v>2</c:v>
                </c:pt>
                <c:pt idx="299">
                  <c:v>2.4</c:v>
                </c:pt>
                <c:pt idx="300">
                  <c:v>7.2</c:v>
                </c:pt>
                <c:pt idx="301">
                  <c:v>4.0999999999999996</c:v>
                </c:pt>
                <c:pt idx="302">
                  <c:v>4.5</c:v>
                </c:pt>
                <c:pt idx="303">
                  <c:v>4.3</c:v>
                </c:pt>
                <c:pt idx="304">
                  <c:v>18.899999999999999</c:v>
                </c:pt>
                <c:pt idx="305">
                  <c:v>17</c:v>
                </c:pt>
                <c:pt idx="306">
                  <c:v>12.2</c:v>
                </c:pt>
                <c:pt idx="307">
                  <c:v>16.7</c:v>
                </c:pt>
                <c:pt idx="308">
                  <c:v>12.9</c:v>
                </c:pt>
                <c:pt idx="309">
                  <c:v>16.3</c:v>
                </c:pt>
                <c:pt idx="310">
                  <c:v>15.5</c:v>
                </c:pt>
                <c:pt idx="311">
                  <c:v>19.7</c:v>
                </c:pt>
                <c:pt idx="312">
                  <c:v>29.4</c:v>
                </c:pt>
                <c:pt idx="313">
                  <c:v>25.6</c:v>
                </c:pt>
                <c:pt idx="314">
                  <c:v>21</c:v>
                </c:pt>
                <c:pt idx="315">
                  <c:v>30.3</c:v>
                </c:pt>
                <c:pt idx="316">
                  <c:v>23.3</c:v>
                </c:pt>
                <c:pt idx="317">
                  <c:v>23.8</c:v>
                </c:pt>
                <c:pt idx="318">
                  <c:v>20.6</c:v>
                </c:pt>
                <c:pt idx="319">
                  <c:v>33.9</c:v>
                </c:pt>
                <c:pt idx="320">
                  <c:v>11.7</c:v>
                </c:pt>
                <c:pt idx="321">
                  <c:v>19.600000000000001</c:v>
                </c:pt>
                <c:pt idx="322">
                  <c:v>18</c:v>
                </c:pt>
                <c:pt idx="323">
                  <c:v>17.2</c:v>
                </c:pt>
                <c:pt idx="324">
                  <c:v>15.3</c:v>
                </c:pt>
                <c:pt idx="325">
                  <c:v>14.1</c:v>
                </c:pt>
                <c:pt idx="326">
                  <c:v>4.3</c:v>
                </c:pt>
                <c:pt idx="327">
                  <c:v>7.4</c:v>
                </c:pt>
                <c:pt idx="328">
                  <c:v>4.9000000000000004</c:v>
                </c:pt>
                <c:pt idx="329">
                  <c:v>3.5</c:v>
                </c:pt>
                <c:pt idx="330">
                  <c:v>6.1</c:v>
                </c:pt>
                <c:pt idx="331">
                  <c:v>3.1</c:v>
                </c:pt>
                <c:pt idx="332">
                  <c:v>4.5999999999999996</c:v>
                </c:pt>
                <c:pt idx="333">
                  <c:v>7.8</c:v>
                </c:pt>
                <c:pt idx="334">
                  <c:v>7.4</c:v>
                </c:pt>
                <c:pt idx="335">
                  <c:v>7.3</c:v>
                </c:pt>
                <c:pt idx="336">
                  <c:v>2.4</c:v>
                </c:pt>
                <c:pt idx="337">
                  <c:v>2.4</c:v>
                </c:pt>
                <c:pt idx="338">
                  <c:v>2.4</c:v>
                </c:pt>
                <c:pt idx="339">
                  <c:v>2.7</c:v>
                </c:pt>
                <c:pt idx="340">
                  <c:v>2</c:v>
                </c:pt>
                <c:pt idx="341">
                  <c:v>1.8</c:v>
                </c:pt>
                <c:pt idx="342">
                  <c:v>2.6</c:v>
                </c:pt>
                <c:pt idx="343">
                  <c:v>1.8</c:v>
                </c:pt>
                <c:pt idx="344">
                  <c:v>3</c:v>
                </c:pt>
                <c:pt idx="345">
                  <c:v>2.7</c:v>
                </c:pt>
                <c:pt idx="346">
                  <c:v>1.9</c:v>
                </c:pt>
                <c:pt idx="347">
                  <c:v>2.2000000000000002</c:v>
                </c:pt>
                <c:pt idx="348">
                  <c:v>5.7</c:v>
                </c:pt>
                <c:pt idx="349">
                  <c:v>4.5999999999999996</c:v>
                </c:pt>
                <c:pt idx="350">
                  <c:v>7.8</c:v>
                </c:pt>
                <c:pt idx="351">
                  <c:v>4.3</c:v>
                </c:pt>
                <c:pt idx="352">
                  <c:v>20.7</c:v>
                </c:pt>
                <c:pt idx="353">
                  <c:v>13</c:v>
                </c:pt>
                <c:pt idx="354">
                  <c:v>14.1</c:v>
                </c:pt>
                <c:pt idx="355">
                  <c:v>15.2</c:v>
                </c:pt>
                <c:pt idx="356">
                  <c:v>21.3</c:v>
                </c:pt>
                <c:pt idx="357">
                  <c:v>19.3</c:v>
                </c:pt>
                <c:pt idx="358">
                  <c:v>15.3</c:v>
                </c:pt>
                <c:pt idx="359">
                  <c:v>18.899999999999999</c:v>
                </c:pt>
                <c:pt idx="360">
                  <c:v>33.1</c:v>
                </c:pt>
                <c:pt idx="361">
                  <c:v>23.5</c:v>
                </c:pt>
                <c:pt idx="362">
                  <c:v>27.6</c:v>
                </c:pt>
                <c:pt idx="363">
                  <c:v>30.1</c:v>
                </c:pt>
                <c:pt idx="364">
                  <c:v>18.5</c:v>
                </c:pt>
                <c:pt idx="365">
                  <c:v>34.1</c:v>
                </c:pt>
                <c:pt idx="366">
                  <c:v>31.2</c:v>
                </c:pt>
                <c:pt idx="367">
                  <c:v>23.3</c:v>
                </c:pt>
                <c:pt idx="368">
                  <c:v>19.3</c:v>
                </c:pt>
                <c:pt idx="369">
                  <c:v>17.399999999999999</c:v>
                </c:pt>
                <c:pt idx="370">
                  <c:v>15.1</c:v>
                </c:pt>
                <c:pt idx="371">
                  <c:v>17.8</c:v>
                </c:pt>
                <c:pt idx="372">
                  <c:v>13.9</c:v>
                </c:pt>
                <c:pt idx="373">
                  <c:v>11.9</c:v>
                </c:pt>
                <c:pt idx="374">
                  <c:v>7.9</c:v>
                </c:pt>
                <c:pt idx="375">
                  <c:v>6.8</c:v>
                </c:pt>
                <c:pt idx="376">
                  <c:v>7.4</c:v>
                </c:pt>
                <c:pt idx="377">
                  <c:v>7.6</c:v>
                </c:pt>
                <c:pt idx="378">
                  <c:v>3.2</c:v>
                </c:pt>
                <c:pt idx="379">
                  <c:v>8</c:v>
                </c:pt>
                <c:pt idx="380">
                  <c:v>3.5</c:v>
                </c:pt>
                <c:pt idx="381">
                  <c:v>7.8</c:v>
                </c:pt>
                <c:pt idx="382">
                  <c:v>3.6</c:v>
                </c:pt>
                <c:pt idx="383">
                  <c:v>4.0999999999999996</c:v>
                </c:pt>
                <c:pt idx="384">
                  <c:v>2.8</c:v>
                </c:pt>
                <c:pt idx="385">
                  <c:v>2.7</c:v>
                </c:pt>
                <c:pt idx="386">
                  <c:v>2.2999999999999998</c:v>
                </c:pt>
                <c:pt idx="387">
                  <c:v>2.6</c:v>
                </c:pt>
                <c:pt idx="388">
                  <c:v>2.1</c:v>
                </c:pt>
                <c:pt idx="389">
                  <c:v>2.6</c:v>
                </c:pt>
                <c:pt idx="390">
                  <c:v>2.1</c:v>
                </c:pt>
                <c:pt idx="391">
                  <c:v>1.9</c:v>
                </c:pt>
                <c:pt idx="392">
                  <c:v>2.9</c:v>
                </c:pt>
                <c:pt idx="393">
                  <c:v>2.2000000000000002</c:v>
                </c:pt>
                <c:pt idx="394">
                  <c:v>2.6</c:v>
                </c:pt>
                <c:pt idx="395">
                  <c:v>3</c:v>
                </c:pt>
                <c:pt idx="396">
                  <c:v>4.4000000000000004</c:v>
                </c:pt>
                <c:pt idx="397">
                  <c:v>5.2</c:v>
                </c:pt>
                <c:pt idx="398">
                  <c:v>7.6</c:v>
                </c:pt>
                <c:pt idx="399">
                  <c:v>4.9000000000000004</c:v>
                </c:pt>
                <c:pt idx="400">
                  <c:v>17.399999999999999</c:v>
                </c:pt>
                <c:pt idx="401">
                  <c:v>20.9</c:v>
                </c:pt>
                <c:pt idx="402">
                  <c:v>16.899999999999999</c:v>
                </c:pt>
                <c:pt idx="403">
                  <c:v>16.8</c:v>
                </c:pt>
                <c:pt idx="404">
                  <c:v>21.1</c:v>
                </c:pt>
                <c:pt idx="405">
                  <c:v>17.5</c:v>
                </c:pt>
                <c:pt idx="406">
                  <c:v>18.8</c:v>
                </c:pt>
                <c:pt idx="407">
                  <c:v>19</c:v>
                </c:pt>
                <c:pt idx="408">
                  <c:v>23.1</c:v>
                </c:pt>
                <c:pt idx="409">
                  <c:v>29.6</c:v>
                </c:pt>
                <c:pt idx="410">
                  <c:v>22.7</c:v>
                </c:pt>
                <c:pt idx="411">
                  <c:v>34.4</c:v>
                </c:pt>
                <c:pt idx="412">
                  <c:v>31.5</c:v>
                </c:pt>
                <c:pt idx="413">
                  <c:v>29.4</c:v>
                </c:pt>
                <c:pt idx="414">
                  <c:v>21.5</c:v>
                </c:pt>
                <c:pt idx="415">
                  <c:v>30.7</c:v>
                </c:pt>
                <c:pt idx="416">
                  <c:v>17.8</c:v>
                </c:pt>
                <c:pt idx="417">
                  <c:v>18.7</c:v>
                </c:pt>
                <c:pt idx="418">
                  <c:v>12</c:v>
                </c:pt>
                <c:pt idx="419">
                  <c:v>14.9</c:v>
                </c:pt>
                <c:pt idx="420">
                  <c:v>19.100000000000001</c:v>
                </c:pt>
                <c:pt idx="421">
                  <c:v>11.6</c:v>
                </c:pt>
                <c:pt idx="422">
                  <c:v>4.4000000000000004</c:v>
                </c:pt>
                <c:pt idx="423">
                  <c:v>4.4000000000000004</c:v>
                </c:pt>
                <c:pt idx="424">
                  <c:v>4.2</c:v>
                </c:pt>
                <c:pt idx="425">
                  <c:v>4.5</c:v>
                </c:pt>
                <c:pt idx="426">
                  <c:v>4.0999999999999996</c:v>
                </c:pt>
                <c:pt idx="427">
                  <c:v>6.6</c:v>
                </c:pt>
                <c:pt idx="428">
                  <c:v>5.3</c:v>
                </c:pt>
                <c:pt idx="429">
                  <c:v>7.2</c:v>
                </c:pt>
                <c:pt idx="430">
                  <c:v>6</c:v>
                </c:pt>
                <c:pt idx="431">
                  <c:v>5.0999999999999996</c:v>
                </c:pt>
                <c:pt idx="432">
                  <c:v>2.4</c:v>
                </c:pt>
                <c:pt idx="433">
                  <c:v>3</c:v>
                </c:pt>
                <c:pt idx="434">
                  <c:v>2.5</c:v>
                </c:pt>
                <c:pt idx="435">
                  <c:v>1.9</c:v>
                </c:pt>
                <c:pt idx="436">
                  <c:v>1.9</c:v>
                </c:pt>
                <c:pt idx="437">
                  <c:v>2.2000000000000002</c:v>
                </c:pt>
                <c:pt idx="438">
                  <c:v>1.8</c:v>
                </c:pt>
                <c:pt idx="439">
                  <c:v>2.2000000000000002</c:v>
                </c:pt>
                <c:pt idx="440">
                  <c:v>2.2000000000000002</c:v>
                </c:pt>
                <c:pt idx="441">
                  <c:v>2</c:v>
                </c:pt>
                <c:pt idx="442">
                  <c:v>2.1</c:v>
                </c:pt>
                <c:pt idx="443">
                  <c:v>2.2999999999999998</c:v>
                </c:pt>
                <c:pt idx="444">
                  <c:v>7.8</c:v>
                </c:pt>
                <c:pt idx="445">
                  <c:v>5</c:v>
                </c:pt>
                <c:pt idx="446">
                  <c:v>5.9</c:v>
                </c:pt>
                <c:pt idx="447">
                  <c:v>7.2</c:v>
                </c:pt>
                <c:pt idx="448">
                  <c:v>14.8</c:v>
                </c:pt>
                <c:pt idx="449">
                  <c:v>22</c:v>
                </c:pt>
                <c:pt idx="450">
                  <c:v>14.8</c:v>
                </c:pt>
                <c:pt idx="451">
                  <c:v>15.1</c:v>
                </c:pt>
                <c:pt idx="452">
                  <c:v>18.600000000000001</c:v>
                </c:pt>
                <c:pt idx="453">
                  <c:v>12.1</c:v>
                </c:pt>
                <c:pt idx="454">
                  <c:v>18.7</c:v>
                </c:pt>
                <c:pt idx="455">
                  <c:v>14.7</c:v>
                </c:pt>
                <c:pt idx="456">
                  <c:v>33</c:v>
                </c:pt>
                <c:pt idx="457">
                  <c:v>34.1</c:v>
                </c:pt>
                <c:pt idx="458">
                  <c:v>26.1</c:v>
                </c:pt>
                <c:pt idx="459">
                  <c:v>29.6</c:v>
                </c:pt>
                <c:pt idx="460">
                  <c:v>33.1</c:v>
                </c:pt>
                <c:pt idx="461">
                  <c:v>19.2</c:v>
                </c:pt>
                <c:pt idx="462">
                  <c:v>19.2</c:v>
                </c:pt>
                <c:pt idx="463">
                  <c:v>25.4</c:v>
                </c:pt>
                <c:pt idx="464">
                  <c:v>13</c:v>
                </c:pt>
                <c:pt idx="465">
                  <c:v>14.4</c:v>
                </c:pt>
                <c:pt idx="466">
                  <c:v>14.9</c:v>
                </c:pt>
                <c:pt idx="467">
                  <c:v>18.2</c:v>
                </c:pt>
                <c:pt idx="468">
                  <c:v>19.3</c:v>
                </c:pt>
                <c:pt idx="469">
                  <c:v>14.8</c:v>
                </c:pt>
                <c:pt idx="470">
                  <c:v>5.8</c:v>
                </c:pt>
                <c:pt idx="471">
                  <c:v>3.8</c:v>
                </c:pt>
                <c:pt idx="472">
                  <c:v>5.4</c:v>
                </c:pt>
                <c:pt idx="473">
                  <c:v>7.7</c:v>
                </c:pt>
                <c:pt idx="474">
                  <c:v>5</c:v>
                </c:pt>
                <c:pt idx="475">
                  <c:v>7.7</c:v>
                </c:pt>
                <c:pt idx="476">
                  <c:v>7.8</c:v>
                </c:pt>
                <c:pt idx="477">
                  <c:v>7.8</c:v>
                </c:pt>
                <c:pt idx="478">
                  <c:v>4.3</c:v>
                </c:pt>
                <c:pt idx="479">
                  <c:v>5.0999999999999996</c:v>
                </c:pt>
                <c:pt idx="480">
                  <c:v>3</c:v>
                </c:pt>
                <c:pt idx="481">
                  <c:v>2.8</c:v>
                </c:pt>
                <c:pt idx="482">
                  <c:v>2.8</c:v>
                </c:pt>
                <c:pt idx="483">
                  <c:v>2.2999999999999998</c:v>
                </c:pt>
                <c:pt idx="484">
                  <c:v>2.2000000000000002</c:v>
                </c:pt>
                <c:pt idx="485">
                  <c:v>3</c:v>
                </c:pt>
                <c:pt idx="486">
                  <c:v>2</c:v>
                </c:pt>
                <c:pt idx="487">
                  <c:v>1.8</c:v>
                </c:pt>
                <c:pt idx="488">
                  <c:v>3</c:v>
                </c:pt>
                <c:pt idx="489">
                  <c:v>1.8</c:v>
                </c:pt>
                <c:pt idx="490">
                  <c:v>2.8</c:v>
                </c:pt>
                <c:pt idx="491">
                  <c:v>2.4</c:v>
                </c:pt>
                <c:pt idx="492">
                  <c:v>7.6</c:v>
                </c:pt>
                <c:pt idx="493">
                  <c:v>6.1</c:v>
                </c:pt>
                <c:pt idx="494">
                  <c:v>4</c:v>
                </c:pt>
                <c:pt idx="495">
                  <c:v>4.0999999999999996</c:v>
                </c:pt>
                <c:pt idx="496">
                  <c:v>19.8</c:v>
                </c:pt>
                <c:pt idx="497">
                  <c:v>16.100000000000001</c:v>
                </c:pt>
                <c:pt idx="498">
                  <c:v>13</c:v>
                </c:pt>
                <c:pt idx="499">
                  <c:v>19.100000000000001</c:v>
                </c:pt>
                <c:pt idx="500">
                  <c:v>18.399999999999999</c:v>
                </c:pt>
                <c:pt idx="501">
                  <c:v>17.399999999999999</c:v>
                </c:pt>
                <c:pt idx="502">
                  <c:v>20</c:v>
                </c:pt>
                <c:pt idx="503">
                  <c:v>19.899999999999999</c:v>
                </c:pt>
                <c:pt idx="504">
                  <c:v>27.3</c:v>
                </c:pt>
                <c:pt idx="505">
                  <c:v>22</c:v>
                </c:pt>
                <c:pt idx="506">
                  <c:v>22.1</c:v>
                </c:pt>
                <c:pt idx="507">
                  <c:v>20.3</c:v>
                </c:pt>
                <c:pt idx="508">
                  <c:v>28.8</c:v>
                </c:pt>
                <c:pt idx="509">
                  <c:v>34.1</c:v>
                </c:pt>
                <c:pt idx="510">
                  <c:v>30.6</c:v>
                </c:pt>
                <c:pt idx="511">
                  <c:v>25</c:v>
                </c:pt>
                <c:pt idx="512">
                  <c:v>17.8</c:v>
                </c:pt>
                <c:pt idx="513">
                  <c:v>13.3</c:v>
                </c:pt>
                <c:pt idx="514">
                  <c:v>18.399999999999999</c:v>
                </c:pt>
                <c:pt idx="515">
                  <c:v>13</c:v>
                </c:pt>
                <c:pt idx="516">
                  <c:v>15.6</c:v>
                </c:pt>
                <c:pt idx="517">
                  <c:v>17.5</c:v>
                </c:pt>
                <c:pt idx="518">
                  <c:v>4.5999999999999996</c:v>
                </c:pt>
                <c:pt idx="519">
                  <c:v>4.3</c:v>
                </c:pt>
                <c:pt idx="520">
                  <c:v>5.6</c:v>
                </c:pt>
                <c:pt idx="521">
                  <c:v>8</c:v>
                </c:pt>
                <c:pt idx="522">
                  <c:v>5.3</c:v>
                </c:pt>
                <c:pt idx="523">
                  <c:v>7.4</c:v>
                </c:pt>
                <c:pt idx="524">
                  <c:v>5.9</c:v>
                </c:pt>
                <c:pt idx="525">
                  <c:v>3.2</c:v>
                </c:pt>
                <c:pt idx="526">
                  <c:v>3.9</c:v>
                </c:pt>
                <c:pt idx="527">
                  <c:v>6.8</c:v>
                </c:pt>
                <c:pt idx="528">
                  <c:v>2.4</c:v>
                </c:pt>
                <c:pt idx="529">
                  <c:v>1.8</c:v>
                </c:pt>
                <c:pt idx="530">
                  <c:v>2.2000000000000002</c:v>
                </c:pt>
                <c:pt idx="531">
                  <c:v>2.1</c:v>
                </c:pt>
                <c:pt idx="532">
                  <c:v>1.8</c:v>
                </c:pt>
                <c:pt idx="533">
                  <c:v>1.9</c:v>
                </c:pt>
                <c:pt idx="534">
                  <c:v>2.4</c:v>
                </c:pt>
                <c:pt idx="535">
                  <c:v>2.7</c:v>
                </c:pt>
                <c:pt idx="536">
                  <c:v>2.1</c:v>
                </c:pt>
                <c:pt idx="537">
                  <c:v>2.1</c:v>
                </c:pt>
                <c:pt idx="538">
                  <c:v>2.9</c:v>
                </c:pt>
                <c:pt idx="539">
                  <c:v>2.4</c:v>
                </c:pt>
                <c:pt idx="540">
                  <c:v>5.9</c:v>
                </c:pt>
                <c:pt idx="541">
                  <c:v>7.3</c:v>
                </c:pt>
                <c:pt idx="542">
                  <c:v>6.2</c:v>
                </c:pt>
                <c:pt idx="543">
                  <c:v>4.8</c:v>
                </c:pt>
                <c:pt idx="544">
                  <c:v>19.2</c:v>
                </c:pt>
                <c:pt idx="545">
                  <c:v>12</c:v>
                </c:pt>
                <c:pt idx="546">
                  <c:v>12.7</c:v>
                </c:pt>
                <c:pt idx="547">
                  <c:v>16.399999999999999</c:v>
                </c:pt>
                <c:pt idx="548">
                  <c:v>21.1</c:v>
                </c:pt>
                <c:pt idx="549">
                  <c:v>16.100000000000001</c:v>
                </c:pt>
                <c:pt idx="550">
                  <c:v>20.100000000000001</c:v>
                </c:pt>
                <c:pt idx="551">
                  <c:v>13.4</c:v>
                </c:pt>
                <c:pt idx="552">
                  <c:v>30.5</c:v>
                </c:pt>
                <c:pt idx="553">
                  <c:v>29.7</c:v>
                </c:pt>
                <c:pt idx="554">
                  <c:v>27.4</c:v>
                </c:pt>
                <c:pt idx="555">
                  <c:v>25.8</c:v>
                </c:pt>
                <c:pt idx="556">
                  <c:v>27.3</c:v>
                </c:pt>
                <c:pt idx="557">
                  <c:v>28.2</c:v>
                </c:pt>
                <c:pt idx="558">
                  <c:v>24.3</c:v>
                </c:pt>
                <c:pt idx="559">
                  <c:v>23.7</c:v>
                </c:pt>
                <c:pt idx="560">
                  <c:v>10.3</c:v>
                </c:pt>
                <c:pt idx="561">
                  <c:v>12.6</c:v>
                </c:pt>
                <c:pt idx="562">
                  <c:v>10.7</c:v>
                </c:pt>
                <c:pt idx="563">
                  <c:v>17.8</c:v>
                </c:pt>
                <c:pt idx="564">
                  <c:v>17.399999999999999</c:v>
                </c:pt>
                <c:pt idx="565">
                  <c:v>11.2</c:v>
                </c:pt>
                <c:pt idx="566">
                  <c:v>4.7</c:v>
                </c:pt>
                <c:pt idx="567">
                  <c:v>7.3</c:v>
                </c:pt>
                <c:pt idx="568">
                  <c:v>8</c:v>
                </c:pt>
                <c:pt idx="569">
                  <c:v>5.9</c:v>
                </c:pt>
                <c:pt idx="570">
                  <c:v>4.3</c:v>
                </c:pt>
                <c:pt idx="571">
                  <c:v>5.3</c:v>
                </c:pt>
                <c:pt idx="572">
                  <c:v>4.0999999999999996</c:v>
                </c:pt>
                <c:pt idx="573">
                  <c:v>6.6</c:v>
                </c:pt>
                <c:pt idx="574">
                  <c:v>3.4</c:v>
                </c:pt>
                <c:pt idx="575">
                  <c:v>5</c:v>
                </c:pt>
                <c:pt idx="576">
                  <c:v>2.1</c:v>
                </c:pt>
                <c:pt idx="577">
                  <c:v>2.9</c:v>
                </c:pt>
                <c:pt idx="578">
                  <c:v>2.7</c:v>
                </c:pt>
                <c:pt idx="579">
                  <c:v>2</c:v>
                </c:pt>
                <c:pt idx="580">
                  <c:v>2.5</c:v>
                </c:pt>
                <c:pt idx="581">
                  <c:v>2.8</c:v>
                </c:pt>
                <c:pt idx="582">
                  <c:v>2.6</c:v>
                </c:pt>
                <c:pt idx="583">
                  <c:v>2.4</c:v>
                </c:pt>
                <c:pt idx="584">
                  <c:v>2.9</c:v>
                </c:pt>
                <c:pt idx="585">
                  <c:v>2.8</c:v>
                </c:pt>
                <c:pt idx="586">
                  <c:v>2.2000000000000002</c:v>
                </c:pt>
                <c:pt idx="587">
                  <c:v>2.4</c:v>
                </c:pt>
                <c:pt idx="588">
                  <c:v>7.4</c:v>
                </c:pt>
                <c:pt idx="589">
                  <c:v>4.7</c:v>
                </c:pt>
                <c:pt idx="590">
                  <c:v>4.0999999999999996</c:v>
                </c:pt>
                <c:pt idx="591">
                  <c:v>6.5</c:v>
                </c:pt>
                <c:pt idx="592">
                  <c:v>16.3</c:v>
                </c:pt>
                <c:pt idx="593">
                  <c:v>16.3</c:v>
                </c:pt>
                <c:pt idx="594">
                  <c:v>13.6</c:v>
                </c:pt>
                <c:pt idx="595">
                  <c:v>14.5</c:v>
                </c:pt>
                <c:pt idx="596">
                  <c:v>12.9</c:v>
                </c:pt>
                <c:pt idx="597">
                  <c:v>20.100000000000001</c:v>
                </c:pt>
                <c:pt idx="598">
                  <c:v>19.399999999999999</c:v>
                </c:pt>
                <c:pt idx="599">
                  <c:v>15.5</c:v>
                </c:pt>
                <c:pt idx="600">
                  <c:v>33</c:v>
                </c:pt>
                <c:pt idx="601">
                  <c:v>25.5</c:v>
                </c:pt>
                <c:pt idx="602">
                  <c:v>19.399999999999999</c:v>
                </c:pt>
                <c:pt idx="603">
                  <c:v>24.6</c:v>
                </c:pt>
                <c:pt idx="604">
                  <c:v>33.200000000000003</c:v>
                </c:pt>
                <c:pt idx="605">
                  <c:v>34.9</c:v>
                </c:pt>
                <c:pt idx="606">
                  <c:v>19.899999999999999</c:v>
                </c:pt>
                <c:pt idx="607">
                  <c:v>19.899999999999999</c:v>
                </c:pt>
                <c:pt idx="608">
                  <c:v>13.2</c:v>
                </c:pt>
                <c:pt idx="609">
                  <c:v>16.8</c:v>
                </c:pt>
                <c:pt idx="610">
                  <c:v>16.2</c:v>
                </c:pt>
                <c:pt idx="611">
                  <c:v>18.100000000000001</c:v>
                </c:pt>
                <c:pt idx="612">
                  <c:v>14.3</c:v>
                </c:pt>
                <c:pt idx="613">
                  <c:v>18.5</c:v>
                </c:pt>
                <c:pt idx="614">
                  <c:v>5.6</c:v>
                </c:pt>
                <c:pt idx="615">
                  <c:v>3.1</c:v>
                </c:pt>
                <c:pt idx="616">
                  <c:v>5.8</c:v>
                </c:pt>
                <c:pt idx="617">
                  <c:v>7.6</c:v>
                </c:pt>
                <c:pt idx="618">
                  <c:v>4.0999999999999996</c:v>
                </c:pt>
                <c:pt idx="619">
                  <c:v>6.7</c:v>
                </c:pt>
                <c:pt idx="620">
                  <c:v>4</c:v>
                </c:pt>
                <c:pt idx="621">
                  <c:v>3.4</c:v>
                </c:pt>
                <c:pt idx="622">
                  <c:v>6.9</c:v>
                </c:pt>
                <c:pt idx="623">
                  <c:v>4.5999999999999996</c:v>
                </c:pt>
                <c:pt idx="624">
                  <c:v>2.7</c:v>
                </c:pt>
                <c:pt idx="625">
                  <c:v>2.2000000000000002</c:v>
                </c:pt>
                <c:pt idx="626">
                  <c:v>2.5</c:v>
                </c:pt>
                <c:pt idx="627">
                  <c:v>2.9</c:v>
                </c:pt>
                <c:pt idx="628">
                  <c:v>2.2999999999999998</c:v>
                </c:pt>
                <c:pt idx="629">
                  <c:v>2.6</c:v>
                </c:pt>
                <c:pt idx="630">
                  <c:v>2.8</c:v>
                </c:pt>
                <c:pt idx="631">
                  <c:v>2.4</c:v>
                </c:pt>
                <c:pt idx="632">
                  <c:v>2</c:v>
                </c:pt>
                <c:pt idx="633">
                  <c:v>2.2999999999999998</c:v>
                </c:pt>
                <c:pt idx="634">
                  <c:v>2.9</c:v>
                </c:pt>
                <c:pt idx="635">
                  <c:v>1.9</c:v>
                </c:pt>
                <c:pt idx="636">
                  <c:v>6.9</c:v>
                </c:pt>
                <c:pt idx="637">
                  <c:v>6.2</c:v>
                </c:pt>
                <c:pt idx="638">
                  <c:v>7.7</c:v>
                </c:pt>
                <c:pt idx="639">
                  <c:v>6</c:v>
                </c:pt>
                <c:pt idx="640">
                  <c:v>13.5</c:v>
                </c:pt>
                <c:pt idx="641">
                  <c:v>20.399999999999999</c:v>
                </c:pt>
                <c:pt idx="642">
                  <c:v>14.1</c:v>
                </c:pt>
                <c:pt idx="643">
                  <c:v>19</c:v>
                </c:pt>
                <c:pt idx="644">
                  <c:v>20.8</c:v>
                </c:pt>
                <c:pt idx="645">
                  <c:v>16.5</c:v>
                </c:pt>
                <c:pt idx="646">
                  <c:v>20.399999999999999</c:v>
                </c:pt>
                <c:pt idx="647">
                  <c:v>18.5</c:v>
                </c:pt>
                <c:pt idx="648">
                  <c:v>33</c:v>
                </c:pt>
                <c:pt idx="649">
                  <c:v>30</c:v>
                </c:pt>
                <c:pt idx="650">
                  <c:v>22.3</c:v>
                </c:pt>
                <c:pt idx="651">
                  <c:v>34.1</c:v>
                </c:pt>
                <c:pt idx="652">
                  <c:v>33.5</c:v>
                </c:pt>
                <c:pt idx="653">
                  <c:v>27.6</c:v>
                </c:pt>
                <c:pt idx="654">
                  <c:v>23.6</c:v>
                </c:pt>
                <c:pt idx="655">
                  <c:v>18.3</c:v>
                </c:pt>
                <c:pt idx="656">
                  <c:v>12.5</c:v>
                </c:pt>
                <c:pt idx="657">
                  <c:v>19.8</c:v>
                </c:pt>
                <c:pt idx="658">
                  <c:v>17.8</c:v>
                </c:pt>
                <c:pt idx="659">
                  <c:v>12.3</c:v>
                </c:pt>
                <c:pt idx="660">
                  <c:v>12.3</c:v>
                </c:pt>
                <c:pt idx="661">
                  <c:v>12.2</c:v>
                </c:pt>
                <c:pt idx="662">
                  <c:v>3.1</c:v>
                </c:pt>
                <c:pt idx="663">
                  <c:v>5.4</c:v>
                </c:pt>
                <c:pt idx="664">
                  <c:v>5.6</c:v>
                </c:pt>
                <c:pt idx="665">
                  <c:v>6.6</c:v>
                </c:pt>
                <c:pt idx="666">
                  <c:v>3.9</c:v>
                </c:pt>
                <c:pt idx="667">
                  <c:v>7.5</c:v>
                </c:pt>
                <c:pt idx="668">
                  <c:v>4.5999999999999996</c:v>
                </c:pt>
                <c:pt idx="669">
                  <c:v>3.7</c:v>
                </c:pt>
                <c:pt idx="670">
                  <c:v>5.9</c:v>
                </c:pt>
                <c:pt idx="671">
                  <c:v>3.9</c:v>
                </c:pt>
                <c:pt idx="672">
                  <c:v>1.9</c:v>
                </c:pt>
                <c:pt idx="673">
                  <c:v>1.9</c:v>
                </c:pt>
                <c:pt idx="674">
                  <c:v>2.2999999999999998</c:v>
                </c:pt>
                <c:pt idx="675">
                  <c:v>2.9</c:v>
                </c:pt>
                <c:pt idx="676">
                  <c:v>3</c:v>
                </c:pt>
                <c:pt idx="677">
                  <c:v>2.5</c:v>
                </c:pt>
                <c:pt idx="678">
                  <c:v>2.2999999999999998</c:v>
                </c:pt>
                <c:pt idx="679">
                  <c:v>2</c:v>
                </c:pt>
                <c:pt idx="680">
                  <c:v>2.2000000000000002</c:v>
                </c:pt>
                <c:pt idx="681">
                  <c:v>2</c:v>
                </c:pt>
                <c:pt idx="682">
                  <c:v>2.5</c:v>
                </c:pt>
                <c:pt idx="683">
                  <c:v>2</c:v>
                </c:pt>
                <c:pt idx="684">
                  <c:v>6.6</c:v>
                </c:pt>
                <c:pt idx="685">
                  <c:v>5.2</c:v>
                </c:pt>
                <c:pt idx="686">
                  <c:v>7.7</c:v>
                </c:pt>
                <c:pt idx="687">
                  <c:v>4</c:v>
                </c:pt>
                <c:pt idx="688">
                  <c:v>20</c:v>
                </c:pt>
                <c:pt idx="689">
                  <c:v>13</c:v>
                </c:pt>
                <c:pt idx="690">
                  <c:v>12.7</c:v>
                </c:pt>
                <c:pt idx="691">
                  <c:v>14</c:v>
                </c:pt>
                <c:pt idx="692">
                  <c:v>18.399999999999999</c:v>
                </c:pt>
                <c:pt idx="693">
                  <c:v>17.3</c:v>
                </c:pt>
                <c:pt idx="694">
                  <c:v>16.600000000000001</c:v>
                </c:pt>
                <c:pt idx="695">
                  <c:v>15.1</c:v>
                </c:pt>
                <c:pt idx="696">
                  <c:v>20.399999999999999</c:v>
                </c:pt>
                <c:pt idx="697">
                  <c:v>32.700000000000003</c:v>
                </c:pt>
                <c:pt idx="698">
                  <c:v>33.200000000000003</c:v>
                </c:pt>
                <c:pt idx="699">
                  <c:v>21.6</c:v>
                </c:pt>
                <c:pt idx="700">
                  <c:v>21.6</c:v>
                </c:pt>
                <c:pt idx="701">
                  <c:v>26.1</c:v>
                </c:pt>
                <c:pt idx="702">
                  <c:v>26.2</c:v>
                </c:pt>
                <c:pt idx="703">
                  <c:v>34.6</c:v>
                </c:pt>
                <c:pt idx="704">
                  <c:v>16.5</c:v>
                </c:pt>
                <c:pt idx="705">
                  <c:v>10.4</c:v>
                </c:pt>
                <c:pt idx="706">
                  <c:v>19.2</c:v>
                </c:pt>
                <c:pt idx="707">
                  <c:v>16</c:v>
                </c:pt>
                <c:pt idx="708">
                  <c:v>16.100000000000001</c:v>
                </c:pt>
                <c:pt idx="709">
                  <c:v>16.2</c:v>
                </c:pt>
                <c:pt idx="710">
                  <c:v>3.7</c:v>
                </c:pt>
                <c:pt idx="711">
                  <c:v>5.5</c:v>
                </c:pt>
                <c:pt idx="712">
                  <c:v>4.7</c:v>
                </c:pt>
                <c:pt idx="713">
                  <c:v>6.6</c:v>
                </c:pt>
                <c:pt idx="714">
                  <c:v>5.8</c:v>
                </c:pt>
                <c:pt idx="715">
                  <c:v>4.0999999999999996</c:v>
                </c:pt>
                <c:pt idx="716">
                  <c:v>7.8</c:v>
                </c:pt>
                <c:pt idx="717">
                  <c:v>3.5</c:v>
                </c:pt>
                <c:pt idx="718">
                  <c:v>7.2</c:v>
                </c:pt>
                <c:pt idx="719">
                  <c:v>3.6</c:v>
                </c:pt>
                <c:pt idx="720">
                  <c:v>2.4</c:v>
                </c:pt>
                <c:pt idx="721">
                  <c:v>2</c:v>
                </c:pt>
                <c:pt idx="722">
                  <c:v>2.9</c:v>
                </c:pt>
                <c:pt idx="723">
                  <c:v>3</c:v>
                </c:pt>
                <c:pt idx="724">
                  <c:v>2.2000000000000002</c:v>
                </c:pt>
                <c:pt idx="725">
                  <c:v>2.7</c:v>
                </c:pt>
                <c:pt idx="726">
                  <c:v>1.8</c:v>
                </c:pt>
                <c:pt idx="727">
                  <c:v>1.8</c:v>
                </c:pt>
                <c:pt idx="728">
                  <c:v>2.8</c:v>
                </c:pt>
                <c:pt idx="729">
                  <c:v>2.2999999999999998</c:v>
                </c:pt>
                <c:pt idx="730">
                  <c:v>2.4</c:v>
                </c:pt>
                <c:pt idx="731">
                  <c:v>3</c:v>
                </c:pt>
                <c:pt idx="732">
                  <c:v>5.3</c:v>
                </c:pt>
                <c:pt idx="733">
                  <c:v>6.5</c:v>
                </c:pt>
                <c:pt idx="734">
                  <c:v>7.8</c:v>
                </c:pt>
                <c:pt idx="735">
                  <c:v>6.5</c:v>
                </c:pt>
                <c:pt idx="736">
                  <c:v>14.2</c:v>
                </c:pt>
                <c:pt idx="737">
                  <c:v>14.1</c:v>
                </c:pt>
                <c:pt idx="738">
                  <c:v>13</c:v>
                </c:pt>
                <c:pt idx="739">
                  <c:v>18.899999999999999</c:v>
                </c:pt>
                <c:pt idx="740">
                  <c:v>20.100000000000001</c:v>
                </c:pt>
                <c:pt idx="741">
                  <c:v>19.8</c:v>
                </c:pt>
                <c:pt idx="742">
                  <c:v>18.8</c:v>
                </c:pt>
                <c:pt idx="743">
                  <c:v>18.2</c:v>
                </c:pt>
                <c:pt idx="744">
                  <c:v>20.3</c:v>
                </c:pt>
                <c:pt idx="745">
                  <c:v>27.2</c:v>
                </c:pt>
                <c:pt idx="746">
                  <c:v>34.1</c:v>
                </c:pt>
                <c:pt idx="747">
                  <c:v>34.9</c:v>
                </c:pt>
                <c:pt idx="748">
                  <c:v>24.2</c:v>
                </c:pt>
                <c:pt idx="749">
                  <c:v>26.7</c:v>
                </c:pt>
                <c:pt idx="750">
                  <c:v>18.399999999999999</c:v>
                </c:pt>
                <c:pt idx="751">
                  <c:v>20.9</c:v>
                </c:pt>
                <c:pt idx="752">
                  <c:v>12.7</c:v>
                </c:pt>
                <c:pt idx="753">
                  <c:v>17.600000000000001</c:v>
                </c:pt>
                <c:pt idx="754">
                  <c:v>10.8</c:v>
                </c:pt>
                <c:pt idx="755">
                  <c:v>19</c:v>
                </c:pt>
                <c:pt idx="756">
                  <c:v>12.6</c:v>
                </c:pt>
                <c:pt idx="757">
                  <c:v>13</c:v>
                </c:pt>
                <c:pt idx="758">
                  <c:v>4.4000000000000004</c:v>
                </c:pt>
                <c:pt idx="759">
                  <c:v>4.2</c:v>
                </c:pt>
                <c:pt idx="760">
                  <c:v>6.4</c:v>
                </c:pt>
                <c:pt idx="761">
                  <c:v>5.5</c:v>
                </c:pt>
                <c:pt idx="762">
                  <c:v>3.5</c:v>
                </c:pt>
                <c:pt idx="763">
                  <c:v>7.4</c:v>
                </c:pt>
                <c:pt idx="764">
                  <c:v>4.4000000000000004</c:v>
                </c:pt>
                <c:pt idx="765">
                  <c:v>7.6</c:v>
                </c:pt>
                <c:pt idx="766">
                  <c:v>5</c:v>
                </c:pt>
                <c:pt idx="767">
                  <c:v>7.1</c:v>
                </c:pt>
                <c:pt idx="768">
                  <c:v>1.9</c:v>
                </c:pt>
                <c:pt idx="769">
                  <c:v>2.6</c:v>
                </c:pt>
                <c:pt idx="770">
                  <c:v>2.1</c:v>
                </c:pt>
                <c:pt idx="771">
                  <c:v>2.6</c:v>
                </c:pt>
                <c:pt idx="772">
                  <c:v>2.2999999999999998</c:v>
                </c:pt>
                <c:pt idx="773">
                  <c:v>2.7</c:v>
                </c:pt>
                <c:pt idx="774">
                  <c:v>2.4</c:v>
                </c:pt>
                <c:pt idx="775">
                  <c:v>1.8</c:v>
                </c:pt>
                <c:pt idx="776">
                  <c:v>2.6</c:v>
                </c:pt>
                <c:pt idx="777">
                  <c:v>2.7</c:v>
                </c:pt>
                <c:pt idx="778">
                  <c:v>2.7</c:v>
                </c:pt>
                <c:pt idx="779">
                  <c:v>2.7</c:v>
                </c:pt>
                <c:pt idx="780">
                  <c:v>5.5</c:v>
                </c:pt>
                <c:pt idx="781">
                  <c:v>7.6</c:v>
                </c:pt>
                <c:pt idx="782">
                  <c:v>7.1</c:v>
                </c:pt>
                <c:pt idx="783">
                  <c:v>4.5</c:v>
                </c:pt>
                <c:pt idx="784">
                  <c:v>18.7</c:v>
                </c:pt>
                <c:pt idx="785">
                  <c:v>18.5</c:v>
                </c:pt>
                <c:pt idx="786">
                  <c:v>16.399999999999999</c:v>
                </c:pt>
                <c:pt idx="787">
                  <c:v>14.7</c:v>
                </c:pt>
                <c:pt idx="788">
                  <c:v>20.6</c:v>
                </c:pt>
                <c:pt idx="789">
                  <c:v>14.3</c:v>
                </c:pt>
                <c:pt idx="790">
                  <c:v>13.9</c:v>
                </c:pt>
                <c:pt idx="791">
                  <c:v>12.3</c:v>
                </c:pt>
                <c:pt idx="792">
                  <c:v>23</c:v>
                </c:pt>
                <c:pt idx="793">
                  <c:v>27.5</c:v>
                </c:pt>
                <c:pt idx="794">
                  <c:v>30.5</c:v>
                </c:pt>
                <c:pt idx="795">
                  <c:v>20.399999999999999</c:v>
                </c:pt>
                <c:pt idx="796">
                  <c:v>19.399999999999999</c:v>
                </c:pt>
                <c:pt idx="797">
                  <c:v>21.7</c:v>
                </c:pt>
                <c:pt idx="798">
                  <c:v>30.4</c:v>
                </c:pt>
                <c:pt idx="799">
                  <c:v>18.899999999999999</c:v>
                </c:pt>
                <c:pt idx="800">
                  <c:v>14.9</c:v>
                </c:pt>
                <c:pt idx="801">
                  <c:v>14.2</c:v>
                </c:pt>
                <c:pt idx="802">
                  <c:v>18.3</c:v>
                </c:pt>
                <c:pt idx="803">
                  <c:v>19.100000000000001</c:v>
                </c:pt>
                <c:pt idx="804">
                  <c:v>15.4</c:v>
                </c:pt>
                <c:pt idx="805">
                  <c:v>13.4</c:v>
                </c:pt>
                <c:pt idx="806">
                  <c:v>3.9</c:v>
                </c:pt>
                <c:pt idx="807">
                  <c:v>4.5</c:v>
                </c:pt>
                <c:pt idx="808">
                  <c:v>4.3</c:v>
                </c:pt>
                <c:pt idx="809">
                  <c:v>4.9000000000000004</c:v>
                </c:pt>
                <c:pt idx="810">
                  <c:v>5.0999999999999996</c:v>
                </c:pt>
                <c:pt idx="811">
                  <c:v>3.3</c:v>
                </c:pt>
                <c:pt idx="812">
                  <c:v>6.8</c:v>
                </c:pt>
                <c:pt idx="813">
                  <c:v>3.1</c:v>
                </c:pt>
                <c:pt idx="814">
                  <c:v>5.3</c:v>
                </c:pt>
                <c:pt idx="815">
                  <c:v>3</c:v>
                </c:pt>
                <c:pt idx="816">
                  <c:v>2</c:v>
                </c:pt>
                <c:pt idx="817">
                  <c:v>2.9</c:v>
                </c:pt>
                <c:pt idx="818">
                  <c:v>2.7</c:v>
                </c:pt>
                <c:pt idx="819">
                  <c:v>2.4</c:v>
                </c:pt>
                <c:pt idx="820">
                  <c:v>2.7</c:v>
                </c:pt>
                <c:pt idx="821">
                  <c:v>2.9</c:v>
                </c:pt>
                <c:pt idx="822">
                  <c:v>1.9</c:v>
                </c:pt>
                <c:pt idx="823">
                  <c:v>2.9</c:v>
                </c:pt>
                <c:pt idx="824">
                  <c:v>1.9</c:v>
                </c:pt>
                <c:pt idx="825">
                  <c:v>2.2999999999999998</c:v>
                </c:pt>
                <c:pt idx="826">
                  <c:v>1.8</c:v>
                </c:pt>
                <c:pt idx="827">
                  <c:v>2.8</c:v>
                </c:pt>
                <c:pt idx="828">
                  <c:v>7.4</c:v>
                </c:pt>
                <c:pt idx="829">
                  <c:v>7.5</c:v>
                </c:pt>
                <c:pt idx="830">
                  <c:v>5</c:v>
                </c:pt>
                <c:pt idx="831">
                  <c:v>6.3</c:v>
                </c:pt>
                <c:pt idx="832">
                  <c:v>21.1</c:v>
                </c:pt>
                <c:pt idx="833">
                  <c:v>13.9</c:v>
                </c:pt>
                <c:pt idx="834">
                  <c:v>20.100000000000001</c:v>
                </c:pt>
                <c:pt idx="835">
                  <c:v>14.2</c:v>
                </c:pt>
                <c:pt idx="836">
                  <c:v>14.3</c:v>
                </c:pt>
                <c:pt idx="837">
                  <c:v>13.5</c:v>
                </c:pt>
                <c:pt idx="838">
                  <c:v>13</c:v>
                </c:pt>
                <c:pt idx="839">
                  <c:v>20.2</c:v>
                </c:pt>
                <c:pt idx="840">
                  <c:v>23.9</c:v>
                </c:pt>
                <c:pt idx="841">
                  <c:v>29.8</c:v>
                </c:pt>
                <c:pt idx="842">
                  <c:v>26.3</c:v>
                </c:pt>
                <c:pt idx="843">
                  <c:v>29.1</c:v>
                </c:pt>
                <c:pt idx="844">
                  <c:v>29.9</c:v>
                </c:pt>
                <c:pt idx="845">
                  <c:v>31.7</c:v>
                </c:pt>
                <c:pt idx="846">
                  <c:v>28.8</c:v>
                </c:pt>
                <c:pt idx="847">
                  <c:v>18.2</c:v>
                </c:pt>
                <c:pt idx="848">
                  <c:v>10.1</c:v>
                </c:pt>
                <c:pt idx="849">
                  <c:v>13.4</c:v>
                </c:pt>
                <c:pt idx="850">
                  <c:v>14.3</c:v>
                </c:pt>
                <c:pt idx="851">
                  <c:v>12.5</c:v>
                </c:pt>
                <c:pt idx="852">
                  <c:v>17</c:v>
                </c:pt>
                <c:pt idx="853">
                  <c:v>12.7</c:v>
                </c:pt>
                <c:pt idx="854">
                  <c:v>5.8</c:v>
                </c:pt>
                <c:pt idx="855">
                  <c:v>3.2</c:v>
                </c:pt>
                <c:pt idx="856">
                  <c:v>7.4</c:v>
                </c:pt>
                <c:pt idx="857">
                  <c:v>4.3</c:v>
                </c:pt>
                <c:pt idx="858">
                  <c:v>6.9</c:v>
                </c:pt>
                <c:pt idx="859">
                  <c:v>7.7</c:v>
                </c:pt>
                <c:pt idx="860">
                  <c:v>5.2</c:v>
                </c:pt>
                <c:pt idx="861">
                  <c:v>3.2</c:v>
                </c:pt>
                <c:pt idx="862">
                  <c:v>4.2</c:v>
                </c:pt>
                <c:pt idx="863">
                  <c:v>5.6</c:v>
                </c:pt>
                <c:pt idx="864">
                  <c:v>3</c:v>
                </c:pt>
                <c:pt idx="865">
                  <c:v>1.9</c:v>
                </c:pt>
                <c:pt idx="866">
                  <c:v>1.9</c:v>
                </c:pt>
                <c:pt idx="867">
                  <c:v>2.6</c:v>
                </c:pt>
                <c:pt idx="868">
                  <c:v>2.7</c:v>
                </c:pt>
                <c:pt idx="869">
                  <c:v>2.2999999999999998</c:v>
                </c:pt>
                <c:pt idx="870">
                  <c:v>2.2000000000000002</c:v>
                </c:pt>
                <c:pt idx="871">
                  <c:v>2.6</c:v>
                </c:pt>
                <c:pt idx="872">
                  <c:v>2.6</c:v>
                </c:pt>
                <c:pt idx="873">
                  <c:v>2</c:v>
                </c:pt>
                <c:pt idx="874">
                  <c:v>2.6</c:v>
                </c:pt>
                <c:pt idx="875">
                  <c:v>2.1</c:v>
                </c:pt>
                <c:pt idx="876">
                  <c:v>7.3</c:v>
                </c:pt>
                <c:pt idx="877">
                  <c:v>6.6</c:v>
                </c:pt>
                <c:pt idx="878">
                  <c:v>4</c:v>
                </c:pt>
                <c:pt idx="879">
                  <c:v>5.5</c:v>
                </c:pt>
                <c:pt idx="880">
                  <c:v>19.899999999999999</c:v>
                </c:pt>
                <c:pt idx="881">
                  <c:v>18.100000000000001</c:v>
                </c:pt>
                <c:pt idx="882">
                  <c:v>12.1</c:v>
                </c:pt>
                <c:pt idx="883">
                  <c:v>16.399999999999999</c:v>
                </c:pt>
                <c:pt idx="884">
                  <c:v>14.2</c:v>
                </c:pt>
                <c:pt idx="885">
                  <c:v>14.1</c:v>
                </c:pt>
                <c:pt idx="886">
                  <c:v>17.899999999999999</c:v>
                </c:pt>
                <c:pt idx="887">
                  <c:v>20.399999999999999</c:v>
                </c:pt>
                <c:pt idx="888">
                  <c:v>25.4</c:v>
                </c:pt>
                <c:pt idx="889">
                  <c:v>19.100000000000001</c:v>
                </c:pt>
                <c:pt idx="890">
                  <c:v>20</c:v>
                </c:pt>
                <c:pt idx="891">
                  <c:v>20.100000000000001</c:v>
                </c:pt>
                <c:pt idx="892">
                  <c:v>29.9</c:v>
                </c:pt>
                <c:pt idx="893">
                  <c:v>20.8</c:v>
                </c:pt>
                <c:pt idx="894">
                  <c:v>27.8</c:v>
                </c:pt>
                <c:pt idx="895">
                  <c:v>27.1</c:v>
                </c:pt>
                <c:pt idx="896">
                  <c:v>13.8</c:v>
                </c:pt>
                <c:pt idx="897">
                  <c:v>18.8</c:v>
                </c:pt>
                <c:pt idx="898">
                  <c:v>12.8</c:v>
                </c:pt>
                <c:pt idx="899">
                  <c:v>18.3</c:v>
                </c:pt>
                <c:pt idx="900">
                  <c:v>13.3</c:v>
                </c:pt>
                <c:pt idx="901">
                  <c:v>10.6</c:v>
                </c:pt>
                <c:pt idx="902">
                  <c:v>7.8</c:v>
                </c:pt>
                <c:pt idx="903">
                  <c:v>5.8</c:v>
                </c:pt>
                <c:pt idx="904">
                  <c:v>4.0999999999999996</c:v>
                </c:pt>
                <c:pt idx="905">
                  <c:v>8</c:v>
                </c:pt>
                <c:pt idx="906">
                  <c:v>7.3</c:v>
                </c:pt>
                <c:pt idx="907">
                  <c:v>6.2</c:v>
                </c:pt>
                <c:pt idx="908">
                  <c:v>7.8</c:v>
                </c:pt>
                <c:pt idx="909">
                  <c:v>4.5999999999999996</c:v>
                </c:pt>
                <c:pt idx="910">
                  <c:v>3.8</c:v>
                </c:pt>
                <c:pt idx="911">
                  <c:v>6.4</c:v>
                </c:pt>
                <c:pt idx="912">
                  <c:v>2.4</c:v>
                </c:pt>
                <c:pt idx="913">
                  <c:v>2.6</c:v>
                </c:pt>
                <c:pt idx="914">
                  <c:v>3</c:v>
                </c:pt>
                <c:pt idx="915">
                  <c:v>3</c:v>
                </c:pt>
                <c:pt idx="916">
                  <c:v>2.2000000000000002</c:v>
                </c:pt>
                <c:pt idx="917">
                  <c:v>1.9</c:v>
                </c:pt>
                <c:pt idx="918">
                  <c:v>2.8</c:v>
                </c:pt>
                <c:pt idx="919">
                  <c:v>2.6</c:v>
                </c:pt>
                <c:pt idx="920">
                  <c:v>2.2999999999999998</c:v>
                </c:pt>
                <c:pt idx="921">
                  <c:v>2.7</c:v>
                </c:pt>
                <c:pt idx="922">
                  <c:v>2.7</c:v>
                </c:pt>
                <c:pt idx="923">
                  <c:v>2.1</c:v>
                </c:pt>
                <c:pt idx="924">
                  <c:v>4</c:v>
                </c:pt>
                <c:pt idx="925">
                  <c:v>5.7</c:v>
                </c:pt>
                <c:pt idx="926">
                  <c:v>6.5</c:v>
                </c:pt>
                <c:pt idx="927">
                  <c:v>7.1</c:v>
                </c:pt>
                <c:pt idx="928">
                  <c:v>15.9</c:v>
                </c:pt>
                <c:pt idx="929">
                  <c:v>19.5</c:v>
                </c:pt>
                <c:pt idx="930">
                  <c:v>12.9</c:v>
                </c:pt>
                <c:pt idx="931">
                  <c:v>13.4</c:v>
                </c:pt>
                <c:pt idx="932">
                  <c:v>17.7</c:v>
                </c:pt>
                <c:pt idx="933">
                  <c:v>13.4</c:v>
                </c:pt>
                <c:pt idx="934">
                  <c:v>16.8</c:v>
                </c:pt>
                <c:pt idx="935">
                  <c:v>21.9</c:v>
                </c:pt>
                <c:pt idx="936">
                  <c:v>21.5</c:v>
                </c:pt>
                <c:pt idx="937">
                  <c:v>27.7</c:v>
                </c:pt>
                <c:pt idx="938">
                  <c:v>33.9</c:v>
                </c:pt>
                <c:pt idx="939">
                  <c:v>21.8</c:v>
                </c:pt>
                <c:pt idx="940">
                  <c:v>28.8</c:v>
                </c:pt>
                <c:pt idx="941">
                  <c:v>24</c:v>
                </c:pt>
                <c:pt idx="942">
                  <c:v>33.4</c:v>
                </c:pt>
                <c:pt idx="943">
                  <c:v>21.1</c:v>
                </c:pt>
                <c:pt idx="944">
                  <c:v>15.5</c:v>
                </c:pt>
                <c:pt idx="945">
                  <c:v>19.899999999999999</c:v>
                </c:pt>
                <c:pt idx="946">
                  <c:v>16.899999999999999</c:v>
                </c:pt>
                <c:pt idx="947">
                  <c:v>15</c:v>
                </c:pt>
                <c:pt idx="948">
                  <c:v>11.1</c:v>
                </c:pt>
                <c:pt idx="949">
                  <c:v>10.1</c:v>
                </c:pt>
                <c:pt idx="950">
                  <c:v>3</c:v>
                </c:pt>
                <c:pt idx="951">
                  <c:v>7.4</c:v>
                </c:pt>
                <c:pt idx="952">
                  <c:v>7.8</c:v>
                </c:pt>
                <c:pt idx="953">
                  <c:v>3</c:v>
                </c:pt>
                <c:pt idx="954">
                  <c:v>4.9000000000000004</c:v>
                </c:pt>
                <c:pt idx="955">
                  <c:v>7.5</c:v>
                </c:pt>
                <c:pt idx="956">
                  <c:v>5.4</c:v>
                </c:pt>
                <c:pt idx="957">
                  <c:v>7.7</c:v>
                </c:pt>
                <c:pt idx="958">
                  <c:v>4.7</c:v>
                </c:pt>
                <c:pt idx="959">
                  <c:v>6.6</c:v>
                </c:pt>
                <c:pt idx="960">
                  <c:v>2.2999999999999998</c:v>
                </c:pt>
                <c:pt idx="961">
                  <c:v>2.2999999999999998</c:v>
                </c:pt>
                <c:pt idx="962">
                  <c:v>3</c:v>
                </c:pt>
                <c:pt idx="963">
                  <c:v>2.4</c:v>
                </c:pt>
                <c:pt idx="964">
                  <c:v>2.2000000000000002</c:v>
                </c:pt>
                <c:pt idx="965">
                  <c:v>2.8</c:v>
                </c:pt>
                <c:pt idx="966">
                  <c:v>2.5</c:v>
                </c:pt>
                <c:pt idx="967">
                  <c:v>2.6</c:v>
                </c:pt>
                <c:pt idx="968">
                  <c:v>2.9</c:v>
                </c:pt>
                <c:pt idx="969">
                  <c:v>2.2000000000000002</c:v>
                </c:pt>
                <c:pt idx="970">
                  <c:v>2</c:v>
                </c:pt>
                <c:pt idx="971">
                  <c:v>2.8</c:v>
                </c:pt>
                <c:pt idx="972">
                  <c:v>6.7</c:v>
                </c:pt>
                <c:pt idx="973">
                  <c:v>7.7</c:v>
                </c:pt>
                <c:pt idx="974">
                  <c:v>5.8</c:v>
                </c:pt>
                <c:pt idx="975">
                  <c:v>7.3</c:v>
                </c:pt>
                <c:pt idx="976">
                  <c:v>15.2</c:v>
                </c:pt>
                <c:pt idx="977">
                  <c:v>19.5</c:v>
                </c:pt>
                <c:pt idx="978">
                  <c:v>13</c:v>
                </c:pt>
                <c:pt idx="979">
                  <c:v>16.3</c:v>
                </c:pt>
                <c:pt idx="980">
                  <c:v>16.2</c:v>
                </c:pt>
                <c:pt idx="981">
                  <c:v>17.3</c:v>
                </c:pt>
                <c:pt idx="982">
                  <c:v>14.3</c:v>
                </c:pt>
                <c:pt idx="983">
                  <c:v>13.5</c:v>
                </c:pt>
                <c:pt idx="984">
                  <c:v>32.200000000000003</c:v>
                </c:pt>
                <c:pt idx="985">
                  <c:v>19.2</c:v>
                </c:pt>
                <c:pt idx="986">
                  <c:v>26.5</c:v>
                </c:pt>
                <c:pt idx="987">
                  <c:v>21.3</c:v>
                </c:pt>
                <c:pt idx="988">
                  <c:v>18.100000000000001</c:v>
                </c:pt>
                <c:pt idx="989">
                  <c:v>27.6</c:v>
                </c:pt>
                <c:pt idx="990">
                  <c:v>26.7</c:v>
                </c:pt>
                <c:pt idx="991">
                  <c:v>22</c:v>
                </c:pt>
                <c:pt idx="992">
                  <c:v>10.199999999999999</c:v>
                </c:pt>
                <c:pt idx="993">
                  <c:v>12.2</c:v>
                </c:pt>
                <c:pt idx="994">
                  <c:v>13.4</c:v>
                </c:pt>
                <c:pt idx="995">
                  <c:v>16.399999999999999</c:v>
                </c:pt>
                <c:pt idx="996">
                  <c:v>13.6</c:v>
                </c:pt>
                <c:pt idx="997">
                  <c:v>19.3</c:v>
                </c:pt>
                <c:pt idx="998">
                  <c:v>7.1</c:v>
                </c:pt>
                <c:pt idx="999">
                  <c:v>5.8</c:v>
                </c:pt>
                <c:pt idx="1000">
                  <c:v>7.6</c:v>
                </c:pt>
                <c:pt idx="1001">
                  <c:v>5.3</c:v>
                </c:pt>
                <c:pt idx="1002">
                  <c:v>4.9000000000000004</c:v>
                </c:pt>
                <c:pt idx="1003">
                  <c:v>5.4</c:v>
                </c:pt>
                <c:pt idx="1004">
                  <c:v>6.5</c:v>
                </c:pt>
                <c:pt idx="1005">
                  <c:v>7</c:v>
                </c:pt>
                <c:pt idx="1006">
                  <c:v>7.7</c:v>
                </c:pt>
                <c:pt idx="1007">
                  <c:v>7.5</c:v>
                </c:pt>
                <c:pt idx="1008">
                  <c:v>2.2999999999999998</c:v>
                </c:pt>
                <c:pt idx="1009">
                  <c:v>1.9</c:v>
                </c:pt>
                <c:pt idx="1010">
                  <c:v>2.6</c:v>
                </c:pt>
                <c:pt idx="1011">
                  <c:v>2.9</c:v>
                </c:pt>
                <c:pt idx="1012">
                  <c:v>2.8</c:v>
                </c:pt>
                <c:pt idx="1013">
                  <c:v>2.2000000000000002</c:v>
                </c:pt>
                <c:pt idx="1014">
                  <c:v>2.5</c:v>
                </c:pt>
                <c:pt idx="1015">
                  <c:v>2.2000000000000002</c:v>
                </c:pt>
                <c:pt idx="1016">
                  <c:v>3</c:v>
                </c:pt>
                <c:pt idx="1017">
                  <c:v>2.6</c:v>
                </c:pt>
                <c:pt idx="1018">
                  <c:v>2.2999999999999998</c:v>
                </c:pt>
                <c:pt idx="1019">
                  <c:v>2.8</c:v>
                </c:pt>
                <c:pt idx="1020">
                  <c:v>6.4</c:v>
                </c:pt>
                <c:pt idx="1021">
                  <c:v>5.3</c:v>
                </c:pt>
                <c:pt idx="1022">
                  <c:v>8</c:v>
                </c:pt>
                <c:pt idx="1023">
                  <c:v>7.5</c:v>
                </c:pt>
                <c:pt idx="1024">
                  <c:v>12.7</c:v>
                </c:pt>
                <c:pt idx="1025">
                  <c:v>21.9</c:v>
                </c:pt>
                <c:pt idx="1026">
                  <c:v>13.5</c:v>
                </c:pt>
                <c:pt idx="1027">
                  <c:v>17.7</c:v>
                </c:pt>
                <c:pt idx="1028">
                  <c:v>17.600000000000001</c:v>
                </c:pt>
                <c:pt idx="1029">
                  <c:v>21.9</c:v>
                </c:pt>
                <c:pt idx="1030">
                  <c:v>21.3</c:v>
                </c:pt>
                <c:pt idx="1031">
                  <c:v>16.399999999999999</c:v>
                </c:pt>
                <c:pt idx="1032">
                  <c:v>19.399999999999999</c:v>
                </c:pt>
                <c:pt idx="1033">
                  <c:v>23.8</c:v>
                </c:pt>
                <c:pt idx="1034">
                  <c:v>25.3</c:v>
                </c:pt>
                <c:pt idx="1035">
                  <c:v>20.399999999999999</c:v>
                </c:pt>
                <c:pt idx="1036">
                  <c:v>31.6</c:v>
                </c:pt>
                <c:pt idx="1037">
                  <c:v>22.2</c:v>
                </c:pt>
                <c:pt idx="1038">
                  <c:v>26.4</c:v>
                </c:pt>
                <c:pt idx="1039">
                  <c:v>20.6</c:v>
                </c:pt>
                <c:pt idx="1040">
                  <c:v>15</c:v>
                </c:pt>
                <c:pt idx="1041">
                  <c:v>14.2</c:v>
                </c:pt>
                <c:pt idx="1042">
                  <c:v>10.8</c:v>
                </c:pt>
                <c:pt idx="1043">
                  <c:v>11.3</c:v>
                </c:pt>
                <c:pt idx="1044">
                  <c:v>11.1</c:v>
                </c:pt>
                <c:pt idx="1045">
                  <c:v>14.2</c:v>
                </c:pt>
                <c:pt idx="1046">
                  <c:v>7.4</c:v>
                </c:pt>
                <c:pt idx="1047">
                  <c:v>4.9000000000000004</c:v>
                </c:pt>
                <c:pt idx="1048">
                  <c:v>4.2</c:v>
                </c:pt>
                <c:pt idx="1049">
                  <c:v>3.6</c:v>
                </c:pt>
                <c:pt idx="1050">
                  <c:v>3.6</c:v>
                </c:pt>
                <c:pt idx="1051">
                  <c:v>4.8</c:v>
                </c:pt>
                <c:pt idx="1052">
                  <c:v>8</c:v>
                </c:pt>
                <c:pt idx="1053">
                  <c:v>5.2</c:v>
                </c:pt>
                <c:pt idx="1054">
                  <c:v>3.6</c:v>
                </c:pt>
                <c:pt idx="1055">
                  <c:v>5.3</c:v>
                </c:pt>
                <c:pt idx="1056">
                  <c:v>2.2999999999999998</c:v>
                </c:pt>
                <c:pt idx="1057">
                  <c:v>3</c:v>
                </c:pt>
                <c:pt idx="1058">
                  <c:v>1.9</c:v>
                </c:pt>
                <c:pt idx="1059">
                  <c:v>2.2999999999999998</c:v>
                </c:pt>
                <c:pt idx="1060">
                  <c:v>2.2000000000000002</c:v>
                </c:pt>
                <c:pt idx="1061">
                  <c:v>1.8</c:v>
                </c:pt>
                <c:pt idx="1062">
                  <c:v>3</c:v>
                </c:pt>
                <c:pt idx="1063">
                  <c:v>2.6</c:v>
                </c:pt>
                <c:pt idx="1064">
                  <c:v>2.4</c:v>
                </c:pt>
                <c:pt idx="1065">
                  <c:v>2.4</c:v>
                </c:pt>
                <c:pt idx="1066">
                  <c:v>2.1</c:v>
                </c:pt>
                <c:pt idx="1067">
                  <c:v>2.2000000000000002</c:v>
                </c:pt>
                <c:pt idx="1068">
                  <c:v>7</c:v>
                </c:pt>
                <c:pt idx="1069">
                  <c:v>7.5</c:v>
                </c:pt>
                <c:pt idx="1070">
                  <c:v>7.4</c:v>
                </c:pt>
                <c:pt idx="1071">
                  <c:v>6.6</c:v>
                </c:pt>
                <c:pt idx="1072">
                  <c:v>13.5</c:v>
                </c:pt>
                <c:pt idx="1073">
                  <c:v>18.5</c:v>
                </c:pt>
                <c:pt idx="1074">
                  <c:v>14.3</c:v>
                </c:pt>
                <c:pt idx="1075">
                  <c:v>19.5</c:v>
                </c:pt>
                <c:pt idx="1076">
                  <c:v>17.7</c:v>
                </c:pt>
                <c:pt idx="1077">
                  <c:v>14.7</c:v>
                </c:pt>
                <c:pt idx="1078">
                  <c:v>22</c:v>
                </c:pt>
                <c:pt idx="1079">
                  <c:v>13.9</c:v>
                </c:pt>
                <c:pt idx="1080">
                  <c:v>22</c:v>
                </c:pt>
                <c:pt idx="1081">
                  <c:v>30.7</c:v>
                </c:pt>
                <c:pt idx="1082">
                  <c:v>20.7</c:v>
                </c:pt>
                <c:pt idx="1083">
                  <c:v>21.3</c:v>
                </c:pt>
                <c:pt idx="1084">
                  <c:v>33.200000000000003</c:v>
                </c:pt>
                <c:pt idx="1085">
                  <c:v>29.3</c:v>
                </c:pt>
                <c:pt idx="1086">
                  <c:v>30</c:v>
                </c:pt>
                <c:pt idx="1087">
                  <c:v>31.1</c:v>
                </c:pt>
                <c:pt idx="1088">
                  <c:v>19.3</c:v>
                </c:pt>
                <c:pt idx="1089">
                  <c:v>17.399999999999999</c:v>
                </c:pt>
                <c:pt idx="1090">
                  <c:v>18.399999999999999</c:v>
                </c:pt>
                <c:pt idx="1091">
                  <c:v>16.8</c:v>
                </c:pt>
                <c:pt idx="1092">
                  <c:v>13.2</c:v>
                </c:pt>
                <c:pt idx="1093">
                  <c:v>19.899999999999999</c:v>
                </c:pt>
                <c:pt idx="1094">
                  <c:v>7.4</c:v>
                </c:pt>
                <c:pt idx="1095">
                  <c:v>7.6</c:v>
                </c:pt>
                <c:pt idx="1096">
                  <c:v>3.9</c:v>
                </c:pt>
                <c:pt idx="1097">
                  <c:v>5.6</c:v>
                </c:pt>
                <c:pt idx="1098">
                  <c:v>5.9</c:v>
                </c:pt>
                <c:pt idx="1099">
                  <c:v>5.8</c:v>
                </c:pt>
                <c:pt idx="1100">
                  <c:v>4.5999999999999996</c:v>
                </c:pt>
                <c:pt idx="1101">
                  <c:v>4.0999999999999996</c:v>
                </c:pt>
                <c:pt idx="1102">
                  <c:v>6.5</c:v>
                </c:pt>
                <c:pt idx="1103">
                  <c:v>5.0999999999999996</c:v>
                </c:pt>
                <c:pt idx="1104">
                  <c:v>2.9</c:v>
                </c:pt>
                <c:pt idx="1105">
                  <c:v>2.4</c:v>
                </c:pt>
                <c:pt idx="1106">
                  <c:v>2.5</c:v>
                </c:pt>
                <c:pt idx="1107">
                  <c:v>2.8</c:v>
                </c:pt>
                <c:pt idx="1108">
                  <c:v>1.8</c:v>
                </c:pt>
                <c:pt idx="1109">
                  <c:v>2.7</c:v>
                </c:pt>
                <c:pt idx="1110">
                  <c:v>2.9</c:v>
                </c:pt>
                <c:pt idx="1111">
                  <c:v>2.2000000000000002</c:v>
                </c:pt>
                <c:pt idx="1112">
                  <c:v>1.9</c:v>
                </c:pt>
                <c:pt idx="1113">
                  <c:v>2.2000000000000002</c:v>
                </c:pt>
                <c:pt idx="1114">
                  <c:v>2.6</c:v>
                </c:pt>
                <c:pt idx="1115">
                  <c:v>2.4</c:v>
                </c:pt>
                <c:pt idx="1116">
                  <c:v>6.7</c:v>
                </c:pt>
                <c:pt idx="1117">
                  <c:v>5.3</c:v>
                </c:pt>
                <c:pt idx="1118">
                  <c:v>4.2</c:v>
                </c:pt>
                <c:pt idx="1119">
                  <c:v>6</c:v>
                </c:pt>
                <c:pt idx="1120">
                  <c:v>14.6</c:v>
                </c:pt>
                <c:pt idx="1121">
                  <c:v>22</c:v>
                </c:pt>
                <c:pt idx="1122">
                  <c:v>17.3</c:v>
                </c:pt>
                <c:pt idx="1123">
                  <c:v>16.600000000000001</c:v>
                </c:pt>
                <c:pt idx="1124">
                  <c:v>19.2</c:v>
                </c:pt>
                <c:pt idx="1125">
                  <c:v>21.9</c:v>
                </c:pt>
                <c:pt idx="1126">
                  <c:v>18.600000000000001</c:v>
                </c:pt>
                <c:pt idx="1127">
                  <c:v>14.4</c:v>
                </c:pt>
                <c:pt idx="1128">
                  <c:v>23.2</c:v>
                </c:pt>
                <c:pt idx="1129">
                  <c:v>21.9</c:v>
                </c:pt>
                <c:pt idx="1130">
                  <c:v>23.7</c:v>
                </c:pt>
                <c:pt idx="1131">
                  <c:v>29</c:v>
                </c:pt>
                <c:pt idx="1132">
                  <c:v>28.2</c:v>
                </c:pt>
                <c:pt idx="1133">
                  <c:v>28.5</c:v>
                </c:pt>
                <c:pt idx="1134">
                  <c:v>34.200000000000003</c:v>
                </c:pt>
                <c:pt idx="1135">
                  <c:v>23.7</c:v>
                </c:pt>
                <c:pt idx="1136">
                  <c:v>18</c:v>
                </c:pt>
                <c:pt idx="1137">
                  <c:v>10.8</c:v>
                </c:pt>
                <c:pt idx="1138">
                  <c:v>10.9</c:v>
                </c:pt>
                <c:pt idx="1139">
                  <c:v>10.8</c:v>
                </c:pt>
                <c:pt idx="1140">
                  <c:v>12.7</c:v>
                </c:pt>
                <c:pt idx="1141">
                  <c:v>12.2</c:v>
                </c:pt>
                <c:pt idx="1142">
                  <c:v>6.7</c:v>
                </c:pt>
                <c:pt idx="1143">
                  <c:v>3.2</c:v>
                </c:pt>
                <c:pt idx="1144">
                  <c:v>3.3</c:v>
                </c:pt>
                <c:pt idx="1145">
                  <c:v>7.2</c:v>
                </c:pt>
                <c:pt idx="1146">
                  <c:v>4.9000000000000004</c:v>
                </c:pt>
                <c:pt idx="1147">
                  <c:v>4.9000000000000004</c:v>
                </c:pt>
                <c:pt idx="1148">
                  <c:v>5.3</c:v>
                </c:pt>
                <c:pt idx="1149">
                  <c:v>7</c:v>
                </c:pt>
                <c:pt idx="1150">
                  <c:v>8</c:v>
                </c:pt>
                <c:pt idx="1151">
                  <c:v>3.2</c:v>
                </c:pt>
                <c:pt idx="1152">
                  <c:v>2.7</c:v>
                </c:pt>
                <c:pt idx="1153">
                  <c:v>2.1</c:v>
                </c:pt>
                <c:pt idx="1154">
                  <c:v>2.5</c:v>
                </c:pt>
                <c:pt idx="1155">
                  <c:v>2</c:v>
                </c:pt>
                <c:pt idx="1156">
                  <c:v>2.2000000000000002</c:v>
                </c:pt>
                <c:pt idx="1157">
                  <c:v>2.7</c:v>
                </c:pt>
                <c:pt idx="1158">
                  <c:v>2.7</c:v>
                </c:pt>
                <c:pt idx="1159">
                  <c:v>2.5</c:v>
                </c:pt>
                <c:pt idx="1160">
                  <c:v>2.5</c:v>
                </c:pt>
                <c:pt idx="1161">
                  <c:v>2.1</c:v>
                </c:pt>
                <c:pt idx="1162">
                  <c:v>2</c:v>
                </c:pt>
                <c:pt idx="1163">
                  <c:v>2.7</c:v>
                </c:pt>
                <c:pt idx="1164">
                  <c:v>4.2</c:v>
                </c:pt>
                <c:pt idx="1165">
                  <c:v>4.8</c:v>
                </c:pt>
                <c:pt idx="1166">
                  <c:v>6.7</c:v>
                </c:pt>
                <c:pt idx="1167">
                  <c:v>7.4</c:v>
                </c:pt>
                <c:pt idx="1168">
                  <c:v>19</c:v>
                </c:pt>
                <c:pt idx="1169">
                  <c:v>19.899999999999999</c:v>
                </c:pt>
                <c:pt idx="1170">
                  <c:v>13.8</c:v>
                </c:pt>
                <c:pt idx="1171">
                  <c:v>15.8</c:v>
                </c:pt>
                <c:pt idx="1172">
                  <c:v>18.600000000000001</c:v>
                </c:pt>
                <c:pt idx="1173">
                  <c:v>14.8</c:v>
                </c:pt>
                <c:pt idx="1174">
                  <c:v>14.2</c:v>
                </c:pt>
                <c:pt idx="1175">
                  <c:v>18.899999999999999</c:v>
                </c:pt>
                <c:pt idx="1176">
                  <c:v>33.1</c:v>
                </c:pt>
                <c:pt idx="1177">
                  <c:v>25.3</c:v>
                </c:pt>
                <c:pt idx="1178">
                  <c:v>23.1</c:v>
                </c:pt>
                <c:pt idx="1179">
                  <c:v>21.8</c:v>
                </c:pt>
                <c:pt idx="1180">
                  <c:v>31.1</c:v>
                </c:pt>
                <c:pt idx="1181">
                  <c:v>24.5</c:v>
                </c:pt>
                <c:pt idx="1182">
                  <c:v>33.700000000000003</c:v>
                </c:pt>
                <c:pt idx="1183">
                  <c:v>20.9</c:v>
                </c:pt>
                <c:pt idx="1184">
                  <c:v>13.2</c:v>
                </c:pt>
                <c:pt idx="1185">
                  <c:v>11.8</c:v>
                </c:pt>
                <c:pt idx="1186">
                  <c:v>11.2</c:v>
                </c:pt>
                <c:pt idx="1187">
                  <c:v>10.1</c:v>
                </c:pt>
                <c:pt idx="1188">
                  <c:v>17.7</c:v>
                </c:pt>
                <c:pt idx="1189">
                  <c:v>11.7</c:v>
                </c:pt>
                <c:pt idx="1190">
                  <c:v>5.3</c:v>
                </c:pt>
                <c:pt idx="1191">
                  <c:v>4.7</c:v>
                </c:pt>
                <c:pt idx="1192">
                  <c:v>3.7</c:v>
                </c:pt>
                <c:pt idx="1193">
                  <c:v>5.7</c:v>
                </c:pt>
                <c:pt idx="1194">
                  <c:v>5.9</c:v>
                </c:pt>
                <c:pt idx="1195">
                  <c:v>7.8</c:v>
                </c:pt>
                <c:pt idx="1196">
                  <c:v>4.5</c:v>
                </c:pt>
                <c:pt idx="1197">
                  <c:v>3.8</c:v>
                </c:pt>
                <c:pt idx="1198">
                  <c:v>4.7</c:v>
                </c:pt>
                <c:pt idx="1199">
                  <c:v>6.2</c:v>
                </c:pt>
                <c:pt idx="1200">
                  <c:v>2.8</c:v>
                </c:pt>
                <c:pt idx="1201">
                  <c:v>2.9</c:v>
                </c:pt>
                <c:pt idx="1202">
                  <c:v>2.6</c:v>
                </c:pt>
                <c:pt idx="1203">
                  <c:v>1.8</c:v>
                </c:pt>
                <c:pt idx="1204">
                  <c:v>2.7</c:v>
                </c:pt>
                <c:pt idx="1205">
                  <c:v>2.4</c:v>
                </c:pt>
                <c:pt idx="1206">
                  <c:v>1.8</c:v>
                </c:pt>
                <c:pt idx="1207">
                  <c:v>2.1</c:v>
                </c:pt>
                <c:pt idx="1208">
                  <c:v>2</c:v>
                </c:pt>
                <c:pt idx="1209">
                  <c:v>2.1</c:v>
                </c:pt>
                <c:pt idx="1210">
                  <c:v>2.7</c:v>
                </c:pt>
                <c:pt idx="1211">
                  <c:v>2</c:v>
                </c:pt>
                <c:pt idx="1212">
                  <c:v>7.6</c:v>
                </c:pt>
                <c:pt idx="1213">
                  <c:v>5.2</c:v>
                </c:pt>
                <c:pt idx="1214">
                  <c:v>4.7</c:v>
                </c:pt>
                <c:pt idx="1215">
                  <c:v>5.0999999999999996</c:v>
                </c:pt>
                <c:pt idx="1216">
                  <c:v>21.9</c:v>
                </c:pt>
                <c:pt idx="1217">
                  <c:v>21.4</c:v>
                </c:pt>
                <c:pt idx="1218">
                  <c:v>20.399999999999999</c:v>
                </c:pt>
                <c:pt idx="1219">
                  <c:v>13.7</c:v>
                </c:pt>
                <c:pt idx="1220">
                  <c:v>13.8</c:v>
                </c:pt>
                <c:pt idx="1221">
                  <c:v>18.899999999999999</c:v>
                </c:pt>
                <c:pt idx="1222">
                  <c:v>21.1</c:v>
                </c:pt>
                <c:pt idx="1223">
                  <c:v>15.8</c:v>
                </c:pt>
                <c:pt idx="1224">
                  <c:v>26.7</c:v>
                </c:pt>
                <c:pt idx="1225">
                  <c:v>31.5</c:v>
                </c:pt>
                <c:pt idx="1226">
                  <c:v>29.1</c:v>
                </c:pt>
                <c:pt idx="1227">
                  <c:v>32.9</c:v>
                </c:pt>
                <c:pt idx="1228">
                  <c:v>33.200000000000003</c:v>
                </c:pt>
                <c:pt idx="1229">
                  <c:v>32</c:v>
                </c:pt>
                <c:pt idx="1230">
                  <c:v>32.299999999999997</c:v>
                </c:pt>
                <c:pt idx="1231">
                  <c:v>22.1</c:v>
                </c:pt>
                <c:pt idx="1232">
                  <c:v>13</c:v>
                </c:pt>
                <c:pt idx="1233">
                  <c:v>19.100000000000001</c:v>
                </c:pt>
                <c:pt idx="1234">
                  <c:v>10.6</c:v>
                </c:pt>
                <c:pt idx="1235">
                  <c:v>15.3</c:v>
                </c:pt>
                <c:pt idx="1236">
                  <c:v>12.4</c:v>
                </c:pt>
                <c:pt idx="1237">
                  <c:v>16.8</c:v>
                </c:pt>
                <c:pt idx="1238">
                  <c:v>3</c:v>
                </c:pt>
                <c:pt idx="1239">
                  <c:v>6.5</c:v>
                </c:pt>
                <c:pt idx="1240">
                  <c:v>7.3</c:v>
                </c:pt>
                <c:pt idx="1241">
                  <c:v>3</c:v>
                </c:pt>
                <c:pt idx="1242">
                  <c:v>4.4000000000000004</c:v>
                </c:pt>
                <c:pt idx="1243">
                  <c:v>6.4</c:v>
                </c:pt>
                <c:pt idx="1244">
                  <c:v>5.7</c:v>
                </c:pt>
                <c:pt idx="1245">
                  <c:v>5.3</c:v>
                </c:pt>
                <c:pt idx="1246">
                  <c:v>4.7</c:v>
                </c:pt>
                <c:pt idx="1247">
                  <c:v>4.5999999999999996</c:v>
                </c:pt>
                <c:pt idx="1248">
                  <c:v>1.8</c:v>
                </c:pt>
                <c:pt idx="1249">
                  <c:v>1.8</c:v>
                </c:pt>
                <c:pt idx="1250">
                  <c:v>2.8</c:v>
                </c:pt>
                <c:pt idx="1251">
                  <c:v>2.6</c:v>
                </c:pt>
                <c:pt idx="1252">
                  <c:v>2.7</c:v>
                </c:pt>
                <c:pt idx="1253">
                  <c:v>1.8</c:v>
                </c:pt>
                <c:pt idx="1254">
                  <c:v>2.6</c:v>
                </c:pt>
                <c:pt idx="1255">
                  <c:v>1.8</c:v>
                </c:pt>
                <c:pt idx="1256">
                  <c:v>2.7</c:v>
                </c:pt>
                <c:pt idx="1257">
                  <c:v>1.8</c:v>
                </c:pt>
                <c:pt idx="1258">
                  <c:v>2.2000000000000002</c:v>
                </c:pt>
                <c:pt idx="1259">
                  <c:v>2.4</c:v>
                </c:pt>
                <c:pt idx="1260">
                  <c:v>5.9</c:v>
                </c:pt>
                <c:pt idx="1261">
                  <c:v>5.4</c:v>
                </c:pt>
                <c:pt idx="1262">
                  <c:v>7.2</c:v>
                </c:pt>
                <c:pt idx="1263">
                  <c:v>7.5</c:v>
                </c:pt>
                <c:pt idx="1264">
                  <c:v>17.2</c:v>
                </c:pt>
                <c:pt idx="1265">
                  <c:v>15.2</c:v>
                </c:pt>
                <c:pt idx="1266">
                  <c:v>17.5</c:v>
                </c:pt>
                <c:pt idx="1267">
                  <c:v>18.7</c:v>
                </c:pt>
                <c:pt idx="1268">
                  <c:v>21.7</c:v>
                </c:pt>
                <c:pt idx="1269">
                  <c:v>18.2</c:v>
                </c:pt>
                <c:pt idx="1270">
                  <c:v>12.3</c:v>
                </c:pt>
                <c:pt idx="1271">
                  <c:v>14.1</c:v>
                </c:pt>
                <c:pt idx="1272">
                  <c:v>24.1</c:v>
                </c:pt>
                <c:pt idx="1273">
                  <c:v>29.1</c:v>
                </c:pt>
                <c:pt idx="1274">
                  <c:v>18</c:v>
                </c:pt>
                <c:pt idx="1275">
                  <c:v>27.6</c:v>
                </c:pt>
                <c:pt idx="1276">
                  <c:v>20.9</c:v>
                </c:pt>
                <c:pt idx="1277">
                  <c:v>20.399999999999999</c:v>
                </c:pt>
                <c:pt idx="1278">
                  <c:v>32.799999999999997</c:v>
                </c:pt>
                <c:pt idx="1279">
                  <c:v>27.9</c:v>
                </c:pt>
                <c:pt idx="1280">
                  <c:v>14.3</c:v>
                </c:pt>
                <c:pt idx="1281">
                  <c:v>17.7</c:v>
                </c:pt>
                <c:pt idx="1282">
                  <c:v>10.6</c:v>
                </c:pt>
                <c:pt idx="1283">
                  <c:v>19.3</c:v>
                </c:pt>
                <c:pt idx="1284">
                  <c:v>16.100000000000001</c:v>
                </c:pt>
                <c:pt idx="1285">
                  <c:v>17.3</c:v>
                </c:pt>
                <c:pt idx="1286">
                  <c:v>3.8</c:v>
                </c:pt>
                <c:pt idx="1287">
                  <c:v>4.2</c:v>
                </c:pt>
                <c:pt idx="1288">
                  <c:v>7.9</c:v>
                </c:pt>
                <c:pt idx="1289">
                  <c:v>3.7</c:v>
                </c:pt>
                <c:pt idx="1290">
                  <c:v>3.9</c:v>
                </c:pt>
                <c:pt idx="1291">
                  <c:v>3.5</c:v>
                </c:pt>
                <c:pt idx="1292">
                  <c:v>3.6</c:v>
                </c:pt>
                <c:pt idx="1293">
                  <c:v>4.5</c:v>
                </c:pt>
                <c:pt idx="1294">
                  <c:v>5.8</c:v>
                </c:pt>
                <c:pt idx="1295">
                  <c:v>3.6</c:v>
                </c:pt>
                <c:pt idx="1296">
                  <c:v>2.4</c:v>
                </c:pt>
                <c:pt idx="1297">
                  <c:v>2.4</c:v>
                </c:pt>
                <c:pt idx="1298">
                  <c:v>2.7</c:v>
                </c:pt>
                <c:pt idx="1299">
                  <c:v>2.9</c:v>
                </c:pt>
                <c:pt idx="1300">
                  <c:v>2</c:v>
                </c:pt>
                <c:pt idx="1301">
                  <c:v>2.7</c:v>
                </c:pt>
                <c:pt idx="1302">
                  <c:v>2.9</c:v>
                </c:pt>
                <c:pt idx="1303">
                  <c:v>2.6</c:v>
                </c:pt>
                <c:pt idx="1304">
                  <c:v>2.2000000000000002</c:v>
                </c:pt>
                <c:pt idx="1305">
                  <c:v>2.2999999999999998</c:v>
                </c:pt>
                <c:pt idx="1306">
                  <c:v>1.9</c:v>
                </c:pt>
                <c:pt idx="1307">
                  <c:v>2</c:v>
                </c:pt>
                <c:pt idx="1308">
                  <c:v>6.3</c:v>
                </c:pt>
                <c:pt idx="1309">
                  <c:v>5.8</c:v>
                </c:pt>
                <c:pt idx="1310">
                  <c:v>6.2</c:v>
                </c:pt>
                <c:pt idx="1311">
                  <c:v>6.9</c:v>
                </c:pt>
                <c:pt idx="1312">
                  <c:v>15.8</c:v>
                </c:pt>
                <c:pt idx="1313">
                  <c:v>20.2</c:v>
                </c:pt>
                <c:pt idx="1314">
                  <c:v>18.100000000000001</c:v>
                </c:pt>
                <c:pt idx="1315">
                  <c:v>12.9</c:v>
                </c:pt>
                <c:pt idx="1316">
                  <c:v>16</c:v>
                </c:pt>
                <c:pt idx="1317">
                  <c:v>19.100000000000001</c:v>
                </c:pt>
                <c:pt idx="1318">
                  <c:v>13.5</c:v>
                </c:pt>
                <c:pt idx="1319">
                  <c:v>19.600000000000001</c:v>
                </c:pt>
                <c:pt idx="1320">
                  <c:v>24.4</c:v>
                </c:pt>
                <c:pt idx="1321">
                  <c:v>34.700000000000003</c:v>
                </c:pt>
                <c:pt idx="1322">
                  <c:v>26.8</c:v>
                </c:pt>
                <c:pt idx="1323">
                  <c:v>30.6</c:v>
                </c:pt>
                <c:pt idx="1324">
                  <c:v>26</c:v>
                </c:pt>
                <c:pt idx="1325">
                  <c:v>22.3</c:v>
                </c:pt>
                <c:pt idx="1326">
                  <c:v>34.200000000000003</c:v>
                </c:pt>
                <c:pt idx="1327">
                  <c:v>21</c:v>
                </c:pt>
                <c:pt idx="1328">
                  <c:v>16</c:v>
                </c:pt>
                <c:pt idx="1329">
                  <c:v>19.600000000000001</c:v>
                </c:pt>
                <c:pt idx="1330">
                  <c:v>13.3</c:v>
                </c:pt>
                <c:pt idx="1331">
                  <c:v>11.1</c:v>
                </c:pt>
                <c:pt idx="1332">
                  <c:v>18</c:v>
                </c:pt>
                <c:pt idx="1333">
                  <c:v>14</c:v>
                </c:pt>
                <c:pt idx="1334">
                  <c:v>4.8</c:v>
                </c:pt>
                <c:pt idx="1335">
                  <c:v>4.5</c:v>
                </c:pt>
                <c:pt idx="1336">
                  <c:v>5.8</c:v>
                </c:pt>
                <c:pt idx="1337">
                  <c:v>7.6</c:v>
                </c:pt>
                <c:pt idx="1338">
                  <c:v>7</c:v>
                </c:pt>
                <c:pt idx="1339">
                  <c:v>3.7</c:v>
                </c:pt>
                <c:pt idx="1340">
                  <c:v>3.2</c:v>
                </c:pt>
                <c:pt idx="1341">
                  <c:v>4.5999999999999996</c:v>
                </c:pt>
                <c:pt idx="1342">
                  <c:v>5.9</c:v>
                </c:pt>
                <c:pt idx="1343">
                  <c:v>6.2</c:v>
                </c:pt>
                <c:pt idx="1344">
                  <c:v>1.9</c:v>
                </c:pt>
                <c:pt idx="1345">
                  <c:v>2.9</c:v>
                </c:pt>
                <c:pt idx="1346">
                  <c:v>2.8</c:v>
                </c:pt>
                <c:pt idx="1347">
                  <c:v>2.6</c:v>
                </c:pt>
                <c:pt idx="1348">
                  <c:v>2.2999999999999998</c:v>
                </c:pt>
                <c:pt idx="1349">
                  <c:v>2.7</c:v>
                </c:pt>
                <c:pt idx="1350">
                  <c:v>2.4</c:v>
                </c:pt>
                <c:pt idx="1351">
                  <c:v>2.5</c:v>
                </c:pt>
                <c:pt idx="1352">
                  <c:v>3</c:v>
                </c:pt>
                <c:pt idx="1353">
                  <c:v>2.8</c:v>
                </c:pt>
                <c:pt idx="1354">
                  <c:v>2</c:v>
                </c:pt>
                <c:pt idx="1355">
                  <c:v>3</c:v>
                </c:pt>
                <c:pt idx="1356">
                  <c:v>4.5999999999999996</c:v>
                </c:pt>
                <c:pt idx="1357">
                  <c:v>5.6</c:v>
                </c:pt>
                <c:pt idx="1358">
                  <c:v>5.4</c:v>
                </c:pt>
                <c:pt idx="1359">
                  <c:v>6.1</c:v>
                </c:pt>
                <c:pt idx="1360">
                  <c:v>21.7</c:v>
                </c:pt>
                <c:pt idx="1361">
                  <c:v>18.3</c:v>
                </c:pt>
                <c:pt idx="1362">
                  <c:v>13.3</c:v>
                </c:pt>
                <c:pt idx="1363">
                  <c:v>20.2</c:v>
                </c:pt>
                <c:pt idx="1364">
                  <c:v>14</c:v>
                </c:pt>
                <c:pt idx="1365">
                  <c:v>21.4</c:v>
                </c:pt>
                <c:pt idx="1366">
                  <c:v>16.8</c:v>
                </c:pt>
                <c:pt idx="1367">
                  <c:v>21.6</c:v>
                </c:pt>
                <c:pt idx="1368">
                  <c:v>20.399999999999999</c:v>
                </c:pt>
                <c:pt idx="1369">
                  <c:v>30.7</c:v>
                </c:pt>
                <c:pt idx="1370">
                  <c:v>31</c:v>
                </c:pt>
                <c:pt idx="1371">
                  <c:v>33.1</c:v>
                </c:pt>
                <c:pt idx="1372">
                  <c:v>19.2</c:v>
                </c:pt>
                <c:pt idx="1373">
                  <c:v>18</c:v>
                </c:pt>
                <c:pt idx="1374">
                  <c:v>24.2</c:v>
                </c:pt>
                <c:pt idx="1375">
                  <c:v>25.3</c:v>
                </c:pt>
                <c:pt idx="1376">
                  <c:v>19.8</c:v>
                </c:pt>
                <c:pt idx="1377">
                  <c:v>19.600000000000001</c:v>
                </c:pt>
                <c:pt idx="1378">
                  <c:v>13.6</c:v>
                </c:pt>
                <c:pt idx="1379">
                  <c:v>18.100000000000001</c:v>
                </c:pt>
                <c:pt idx="1380">
                  <c:v>17.7</c:v>
                </c:pt>
                <c:pt idx="1381">
                  <c:v>13.8</c:v>
                </c:pt>
                <c:pt idx="1382">
                  <c:v>7.8</c:v>
                </c:pt>
                <c:pt idx="1383">
                  <c:v>3</c:v>
                </c:pt>
                <c:pt idx="1384">
                  <c:v>7.5</c:v>
                </c:pt>
                <c:pt idx="1385">
                  <c:v>3.9</c:v>
                </c:pt>
                <c:pt idx="1386">
                  <c:v>6.1</c:v>
                </c:pt>
                <c:pt idx="1387">
                  <c:v>5.4</c:v>
                </c:pt>
                <c:pt idx="1388">
                  <c:v>4.2</c:v>
                </c:pt>
                <c:pt idx="1389">
                  <c:v>3.1</c:v>
                </c:pt>
                <c:pt idx="1390">
                  <c:v>7</c:v>
                </c:pt>
                <c:pt idx="1391">
                  <c:v>4</c:v>
                </c:pt>
                <c:pt idx="1392">
                  <c:v>2.5</c:v>
                </c:pt>
                <c:pt idx="1393">
                  <c:v>1.9</c:v>
                </c:pt>
                <c:pt idx="1394">
                  <c:v>2</c:v>
                </c:pt>
                <c:pt idx="1395">
                  <c:v>2.5</c:v>
                </c:pt>
                <c:pt idx="1396">
                  <c:v>3</c:v>
                </c:pt>
                <c:pt idx="1397">
                  <c:v>2.2000000000000002</c:v>
                </c:pt>
                <c:pt idx="1398">
                  <c:v>1.8</c:v>
                </c:pt>
                <c:pt idx="1399">
                  <c:v>2.8</c:v>
                </c:pt>
                <c:pt idx="1400">
                  <c:v>2.1</c:v>
                </c:pt>
                <c:pt idx="1401">
                  <c:v>2.2000000000000002</c:v>
                </c:pt>
                <c:pt idx="1402">
                  <c:v>2.6</c:v>
                </c:pt>
                <c:pt idx="1403">
                  <c:v>2.7</c:v>
                </c:pt>
                <c:pt idx="1404">
                  <c:v>6.8</c:v>
                </c:pt>
                <c:pt idx="1405">
                  <c:v>5.7</c:v>
                </c:pt>
                <c:pt idx="1406">
                  <c:v>7.5</c:v>
                </c:pt>
                <c:pt idx="1407">
                  <c:v>4</c:v>
                </c:pt>
                <c:pt idx="1408">
                  <c:v>19.5</c:v>
                </c:pt>
                <c:pt idx="1409">
                  <c:v>14.1</c:v>
                </c:pt>
                <c:pt idx="1410">
                  <c:v>16.5</c:v>
                </c:pt>
                <c:pt idx="1411">
                  <c:v>17.100000000000001</c:v>
                </c:pt>
                <c:pt idx="1412">
                  <c:v>21.4</c:v>
                </c:pt>
                <c:pt idx="1413">
                  <c:v>16.899999999999999</c:v>
                </c:pt>
                <c:pt idx="1414">
                  <c:v>13.1</c:v>
                </c:pt>
                <c:pt idx="1415">
                  <c:v>17.2</c:v>
                </c:pt>
                <c:pt idx="1416">
                  <c:v>19.7</c:v>
                </c:pt>
                <c:pt idx="1417">
                  <c:v>33.5</c:v>
                </c:pt>
                <c:pt idx="1418">
                  <c:v>31.3</c:v>
                </c:pt>
                <c:pt idx="1419">
                  <c:v>33.700000000000003</c:v>
                </c:pt>
                <c:pt idx="1420">
                  <c:v>19.3</c:v>
                </c:pt>
                <c:pt idx="1421">
                  <c:v>26.5</c:v>
                </c:pt>
                <c:pt idx="1422">
                  <c:v>19.8</c:v>
                </c:pt>
                <c:pt idx="1423">
                  <c:v>28.2</c:v>
                </c:pt>
                <c:pt idx="1424">
                  <c:v>12.4</c:v>
                </c:pt>
                <c:pt idx="1425">
                  <c:v>17.600000000000001</c:v>
                </c:pt>
                <c:pt idx="1426">
                  <c:v>12.7</c:v>
                </c:pt>
                <c:pt idx="1427">
                  <c:v>18</c:v>
                </c:pt>
                <c:pt idx="1428">
                  <c:v>10.5</c:v>
                </c:pt>
                <c:pt idx="1429">
                  <c:v>14.6</c:v>
                </c:pt>
                <c:pt idx="1430">
                  <c:v>4.2</c:v>
                </c:pt>
                <c:pt idx="1431">
                  <c:v>3.5</c:v>
                </c:pt>
                <c:pt idx="1432">
                  <c:v>6.7</c:v>
                </c:pt>
                <c:pt idx="1433">
                  <c:v>3.2</c:v>
                </c:pt>
                <c:pt idx="1434">
                  <c:v>3.4</c:v>
                </c:pt>
                <c:pt idx="1435">
                  <c:v>4.5</c:v>
                </c:pt>
                <c:pt idx="1436">
                  <c:v>5.6</c:v>
                </c:pt>
                <c:pt idx="1437">
                  <c:v>3</c:v>
                </c:pt>
                <c:pt idx="1438">
                  <c:v>6</c:v>
                </c:pt>
                <c:pt idx="1439">
                  <c:v>3.6</c:v>
                </c:pt>
              </c:numCache>
            </c:numRef>
          </c:val>
          <c:smooth val="0"/>
          <c:extLst>
            <c:ext xmlns:c16="http://schemas.microsoft.com/office/drawing/2014/chart" uri="{C3380CC4-5D6E-409C-BE32-E72D297353CC}">
              <c16:uniqueId val="{00000000-BFB9-44B9-A338-C0412DB7122A}"/>
            </c:ext>
          </c:extLst>
        </c:ser>
        <c:ser>
          <c:idx val="1"/>
          <c:order val="1"/>
          <c:tx>
            <c:strRef>
              <c:f>Solar_Analysis!$C$1</c:f>
              <c:strCache>
                <c:ptCount val="1"/>
                <c:pt idx="0">
                  <c:v>Solar_Generation_Kw</c:v>
                </c:pt>
              </c:strCache>
            </c:strRef>
          </c:tx>
          <c:spPr>
            <a:ln w="28575" cap="rnd">
              <a:solidFill>
                <a:schemeClr val="accent2"/>
              </a:solidFill>
              <a:round/>
            </a:ln>
            <a:effectLst/>
          </c:spPr>
          <c:marker>
            <c:symbol val="none"/>
          </c:marker>
          <c:val>
            <c:numRef>
              <c:f>Solar_Analysis!$C$2:$C$1441</c:f>
              <c:numCache>
                <c:formatCode>General</c:formatCode>
                <c:ptCount val="1440"/>
                <c:pt idx="0">
                  <c:v>0</c:v>
                </c:pt>
                <c:pt idx="1">
                  <c:v>0</c:v>
                </c:pt>
                <c:pt idx="2">
                  <c:v>0</c:v>
                </c:pt>
                <c:pt idx="3">
                  <c:v>0</c:v>
                </c:pt>
                <c:pt idx="4">
                  <c:v>0</c:v>
                </c:pt>
                <c:pt idx="5">
                  <c:v>0</c:v>
                </c:pt>
                <c:pt idx="6">
                  <c:v>0</c:v>
                </c:pt>
                <c:pt idx="7">
                  <c:v>0</c:v>
                </c:pt>
                <c:pt idx="8">
                  <c:v>0</c:v>
                </c:pt>
                <c:pt idx="9">
                  <c:v>0</c:v>
                </c:pt>
                <c:pt idx="10">
                  <c:v>0</c:v>
                </c:pt>
                <c:pt idx="11">
                  <c:v>0</c:v>
                </c:pt>
                <c:pt idx="12">
                  <c:v>0</c:v>
                </c:pt>
                <c:pt idx="13">
                  <c:v>3.9157857666015472</c:v>
                </c:pt>
                <c:pt idx="14">
                  <c:v>7.7645713530756222</c:v>
                </c:pt>
                <c:pt idx="15">
                  <c:v>11.480502970952694</c:v>
                </c:pt>
                <c:pt idx="16">
                  <c:v>14.999999999999998</c:v>
                </c:pt>
                <c:pt idx="17">
                  <c:v>18.262842870261618</c:v>
                </c:pt>
                <c:pt idx="18">
                  <c:v>21.213203435596423</c:v>
                </c:pt>
                <c:pt idx="19">
                  <c:v>23.800600208737055</c:v>
                </c:pt>
                <c:pt idx="20">
                  <c:v>25.980762113533157</c:v>
                </c:pt>
                <c:pt idx="21">
                  <c:v>27.716385975338603</c:v>
                </c:pt>
                <c:pt idx="22">
                  <c:v>28.97777478867205</c:v>
                </c:pt>
                <c:pt idx="23">
                  <c:v>29.74334584121431</c:v>
                </c:pt>
                <c:pt idx="24">
                  <c:v>30</c:v>
                </c:pt>
                <c:pt idx="25">
                  <c:v>29.74334584121431</c:v>
                </c:pt>
                <c:pt idx="26">
                  <c:v>28.97777478867205</c:v>
                </c:pt>
                <c:pt idx="27">
                  <c:v>27.716385975338607</c:v>
                </c:pt>
                <c:pt idx="28">
                  <c:v>25.98076211353316</c:v>
                </c:pt>
                <c:pt idx="29">
                  <c:v>23.800600208737055</c:v>
                </c:pt>
                <c:pt idx="30">
                  <c:v>21.213203435596427</c:v>
                </c:pt>
                <c:pt idx="31">
                  <c:v>18.262842870261625</c:v>
                </c:pt>
                <c:pt idx="32">
                  <c:v>14.999999999999998</c:v>
                </c:pt>
                <c:pt idx="33">
                  <c:v>11.480502970952697</c:v>
                </c:pt>
                <c:pt idx="34">
                  <c:v>7.7645713530756302</c:v>
                </c:pt>
                <c:pt idx="35">
                  <c:v>3.9157857666015596</c:v>
                </c:pt>
                <c:pt idx="36">
                  <c:v>3.67544536472586E-15</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3.9157857666015472</c:v>
                </c:pt>
                <c:pt idx="62">
                  <c:v>7.7645713530756222</c:v>
                </c:pt>
                <c:pt idx="63">
                  <c:v>11.480502970952694</c:v>
                </c:pt>
                <c:pt idx="64">
                  <c:v>14.999999999999998</c:v>
                </c:pt>
                <c:pt idx="65">
                  <c:v>18.262842870261618</c:v>
                </c:pt>
                <c:pt idx="66">
                  <c:v>21.213203435596423</c:v>
                </c:pt>
                <c:pt idx="67">
                  <c:v>23.800600208737055</c:v>
                </c:pt>
                <c:pt idx="68">
                  <c:v>25.980762113533157</c:v>
                </c:pt>
                <c:pt idx="69">
                  <c:v>27.716385975338603</c:v>
                </c:pt>
                <c:pt idx="70">
                  <c:v>28.97777478867205</c:v>
                </c:pt>
                <c:pt idx="71">
                  <c:v>29.74334584121431</c:v>
                </c:pt>
                <c:pt idx="72">
                  <c:v>30</c:v>
                </c:pt>
                <c:pt idx="73">
                  <c:v>29.74334584121431</c:v>
                </c:pt>
                <c:pt idx="74">
                  <c:v>28.97777478867205</c:v>
                </c:pt>
                <c:pt idx="75">
                  <c:v>27.716385975338607</c:v>
                </c:pt>
                <c:pt idx="76">
                  <c:v>25.98076211353316</c:v>
                </c:pt>
                <c:pt idx="77">
                  <c:v>23.800600208737055</c:v>
                </c:pt>
                <c:pt idx="78">
                  <c:v>21.213203435596427</c:v>
                </c:pt>
                <c:pt idx="79">
                  <c:v>18.262842870261625</c:v>
                </c:pt>
                <c:pt idx="80">
                  <c:v>14.999999999999998</c:v>
                </c:pt>
                <c:pt idx="81">
                  <c:v>11.480502970952697</c:v>
                </c:pt>
                <c:pt idx="82">
                  <c:v>7.7645713530756302</c:v>
                </c:pt>
                <c:pt idx="83">
                  <c:v>3.9157857666015596</c:v>
                </c:pt>
                <c:pt idx="84">
                  <c:v>3.67544536472586E-15</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3.9157857666015472</c:v>
                </c:pt>
                <c:pt idx="110">
                  <c:v>7.7645713530756222</c:v>
                </c:pt>
                <c:pt idx="111">
                  <c:v>11.480502970952694</c:v>
                </c:pt>
                <c:pt idx="112">
                  <c:v>14.999999999999998</c:v>
                </c:pt>
                <c:pt idx="113">
                  <c:v>18.262842870261618</c:v>
                </c:pt>
                <c:pt idx="114">
                  <c:v>21.213203435596423</c:v>
                </c:pt>
                <c:pt idx="115">
                  <c:v>23.800600208737055</c:v>
                </c:pt>
                <c:pt idx="116">
                  <c:v>25.980762113533157</c:v>
                </c:pt>
                <c:pt idx="117">
                  <c:v>27.716385975338603</c:v>
                </c:pt>
                <c:pt idx="118">
                  <c:v>28.97777478867205</c:v>
                </c:pt>
                <c:pt idx="119">
                  <c:v>29.74334584121431</c:v>
                </c:pt>
                <c:pt idx="120">
                  <c:v>30</c:v>
                </c:pt>
                <c:pt idx="121">
                  <c:v>29.74334584121431</c:v>
                </c:pt>
                <c:pt idx="122">
                  <c:v>28.97777478867205</c:v>
                </c:pt>
                <c:pt idx="123">
                  <c:v>27.716385975338607</c:v>
                </c:pt>
                <c:pt idx="124">
                  <c:v>25.98076211353316</c:v>
                </c:pt>
                <c:pt idx="125">
                  <c:v>23.800600208737055</c:v>
                </c:pt>
                <c:pt idx="126">
                  <c:v>21.213203435596427</c:v>
                </c:pt>
                <c:pt idx="127">
                  <c:v>18.262842870261625</c:v>
                </c:pt>
                <c:pt idx="128">
                  <c:v>14.999999999999998</c:v>
                </c:pt>
                <c:pt idx="129">
                  <c:v>11.480502970952697</c:v>
                </c:pt>
                <c:pt idx="130">
                  <c:v>7.7645713530756302</c:v>
                </c:pt>
                <c:pt idx="131">
                  <c:v>3.9157857666015596</c:v>
                </c:pt>
                <c:pt idx="132">
                  <c:v>3.67544536472586E-15</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3.9157857666015472</c:v>
                </c:pt>
                <c:pt idx="158">
                  <c:v>7.7645713530756222</c:v>
                </c:pt>
                <c:pt idx="159">
                  <c:v>11.480502970952694</c:v>
                </c:pt>
                <c:pt idx="160">
                  <c:v>14.999999999999998</c:v>
                </c:pt>
                <c:pt idx="161">
                  <c:v>18.262842870261618</c:v>
                </c:pt>
                <c:pt idx="162">
                  <c:v>21.213203435596423</c:v>
                </c:pt>
                <c:pt idx="163">
                  <c:v>23.800600208737055</c:v>
                </c:pt>
                <c:pt idx="164">
                  <c:v>25.980762113533157</c:v>
                </c:pt>
                <c:pt idx="165">
                  <c:v>27.716385975338603</c:v>
                </c:pt>
                <c:pt idx="166">
                  <c:v>28.97777478867205</c:v>
                </c:pt>
                <c:pt idx="167">
                  <c:v>29.74334584121431</c:v>
                </c:pt>
                <c:pt idx="168">
                  <c:v>30</c:v>
                </c:pt>
                <c:pt idx="169">
                  <c:v>29.74334584121431</c:v>
                </c:pt>
                <c:pt idx="170">
                  <c:v>28.97777478867205</c:v>
                </c:pt>
                <c:pt idx="171">
                  <c:v>27.716385975338607</c:v>
                </c:pt>
                <c:pt idx="172">
                  <c:v>25.98076211353316</c:v>
                </c:pt>
                <c:pt idx="173">
                  <c:v>23.800600208737055</c:v>
                </c:pt>
                <c:pt idx="174">
                  <c:v>21.213203435596427</c:v>
                </c:pt>
                <c:pt idx="175">
                  <c:v>18.262842870261625</c:v>
                </c:pt>
                <c:pt idx="176">
                  <c:v>14.999999999999998</c:v>
                </c:pt>
                <c:pt idx="177">
                  <c:v>11.480502970952697</c:v>
                </c:pt>
                <c:pt idx="178">
                  <c:v>7.7645713530756302</c:v>
                </c:pt>
                <c:pt idx="179">
                  <c:v>3.9157857666015596</c:v>
                </c:pt>
                <c:pt idx="180">
                  <c:v>3.67544536472586E-15</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3.9157857666015472</c:v>
                </c:pt>
                <c:pt idx="206">
                  <c:v>7.7645713530756222</c:v>
                </c:pt>
                <c:pt idx="207">
                  <c:v>11.480502970952694</c:v>
                </c:pt>
                <c:pt idx="208">
                  <c:v>14.999999999999998</c:v>
                </c:pt>
                <c:pt idx="209">
                  <c:v>18.262842870261618</c:v>
                </c:pt>
                <c:pt idx="210">
                  <c:v>21.213203435596423</c:v>
                </c:pt>
                <c:pt idx="211">
                  <c:v>23.800600208737055</c:v>
                </c:pt>
                <c:pt idx="212">
                  <c:v>25.980762113533157</c:v>
                </c:pt>
                <c:pt idx="213">
                  <c:v>27.716385975338603</c:v>
                </c:pt>
                <c:pt idx="214">
                  <c:v>28.97777478867205</c:v>
                </c:pt>
                <c:pt idx="215">
                  <c:v>29.74334584121431</c:v>
                </c:pt>
                <c:pt idx="216">
                  <c:v>30</c:v>
                </c:pt>
                <c:pt idx="217">
                  <c:v>29.74334584121431</c:v>
                </c:pt>
                <c:pt idx="218">
                  <c:v>28.97777478867205</c:v>
                </c:pt>
                <c:pt idx="219">
                  <c:v>27.716385975338607</c:v>
                </c:pt>
                <c:pt idx="220">
                  <c:v>25.98076211353316</c:v>
                </c:pt>
                <c:pt idx="221">
                  <c:v>23.800600208737055</c:v>
                </c:pt>
                <c:pt idx="222">
                  <c:v>21.213203435596427</c:v>
                </c:pt>
                <c:pt idx="223">
                  <c:v>18.262842870261625</c:v>
                </c:pt>
                <c:pt idx="224">
                  <c:v>14.999999999999998</c:v>
                </c:pt>
                <c:pt idx="225">
                  <c:v>11.480502970952697</c:v>
                </c:pt>
                <c:pt idx="226">
                  <c:v>7.7645713530756302</c:v>
                </c:pt>
                <c:pt idx="227">
                  <c:v>3.9157857666015596</c:v>
                </c:pt>
                <c:pt idx="228">
                  <c:v>3.67544536472586E-15</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3.9157857666015472</c:v>
                </c:pt>
                <c:pt idx="254">
                  <c:v>7.7645713530756222</c:v>
                </c:pt>
                <c:pt idx="255">
                  <c:v>11.480502970952694</c:v>
                </c:pt>
                <c:pt idx="256">
                  <c:v>14.999999999999998</c:v>
                </c:pt>
                <c:pt idx="257">
                  <c:v>18.262842870261618</c:v>
                </c:pt>
                <c:pt idx="258">
                  <c:v>21.213203435596423</c:v>
                </c:pt>
                <c:pt idx="259">
                  <c:v>23.800600208737055</c:v>
                </c:pt>
                <c:pt idx="260">
                  <c:v>25.980762113533157</c:v>
                </c:pt>
                <c:pt idx="261">
                  <c:v>27.716385975338603</c:v>
                </c:pt>
                <c:pt idx="262">
                  <c:v>28.97777478867205</c:v>
                </c:pt>
                <c:pt idx="263">
                  <c:v>29.74334584121431</c:v>
                </c:pt>
                <c:pt idx="264">
                  <c:v>30</c:v>
                </c:pt>
                <c:pt idx="265">
                  <c:v>29.74334584121431</c:v>
                </c:pt>
                <c:pt idx="266">
                  <c:v>28.97777478867205</c:v>
                </c:pt>
                <c:pt idx="267">
                  <c:v>27.716385975338607</c:v>
                </c:pt>
                <c:pt idx="268">
                  <c:v>25.98076211353316</c:v>
                </c:pt>
                <c:pt idx="269">
                  <c:v>23.800600208737055</c:v>
                </c:pt>
                <c:pt idx="270">
                  <c:v>21.213203435596427</c:v>
                </c:pt>
                <c:pt idx="271">
                  <c:v>18.262842870261625</c:v>
                </c:pt>
                <c:pt idx="272">
                  <c:v>14.999999999999998</c:v>
                </c:pt>
                <c:pt idx="273">
                  <c:v>11.480502970952697</c:v>
                </c:pt>
                <c:pt idx="274">
                  <c:v>7.7645713530756302</c:v>
                </c:pt>
                <c:pt idx="275">
                  <c:v>3.9157857666015596</c:v>
                </c:pt>
                <c:pt idx="276">
                  <c:v>3.67544536472586E-15</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3.9157857666015472</c:v>
                </c:pt>
                <c:pt idx="302">
                  <c:v>7.7645713530756222</c:v>
                </c:pt>
                <c:pt idx="303">
                  <c:v>11.480502970952694</c:v>
                </c:pt>
                <c:pt idx="304">
                  <c:v>14.999999999999998</c:v>
                </c:pt>
                <c:pt idx="305">
                  <c:v>18.262842870261618</c:v>
                </c:pt>
                <c:pt idx="306">
                  <c:v>21.213203435596423</c:v>
                </c:pt>
                <c:pt idx="307">
                  <c:v>23.800600208737055</c:v>
                </c:pt>
                <c:pt idx="308">
                  <c:v>25.980762113533157</c:v>
                </c:pt>
                <c:pt idx="309">
                  <c:v>27.716385975338603</c:v>
                </c:pt>
                <c:pt idx="310">
                  <c:v>28.97777478867205</c:v>
                </c:pt>
                <c:pt idx="311">
                  <c:v>29.74334584121431</c:v>
                </c:pt>
                <c:pt idx="312">
                  <c:v>30</c:v>
                </c:pt>
                <c:pt idx="313">
                  <c:v>29.74334584121431</c:v>
                </c:pt>
                <c:pt idx="314">
                  <c:v>28.97777478867205</c:v>
                </c:pt>
                <c:pt idx="315">
                  <c:v>27.716385975338607</c:v>
                </c:pt>
                <c:pt idx="316">
                  <c:v>25.98076211353316</c:v>
                </c:pt>
                <c:pt idx="317">
                  <c:v>23.800600208737055</c:v>
                </c:pt>
                <c:pt idx="318">
                  <c:v>21.213203435596427</c:v>
                </c:pt>
                <c:pt idx="319">
                  <c:v>18.262842870261625</c:v>
                </c:pt>
                <c:pt idx="320">
                  <c:v>14.999999999999998</c:v>
                </c:pt>
                <c:pt idx="321">
                  <c:v>11.480502970952697</c:v>
                </c:pt>
                <c:pt idx="322">
                  <c:v>7.7645713530756302</c:v>
                </c:pt>
                <c:pt idx="323">
                  <c:v>3.9157857666015596</c:v>
                </c:pt>
                <c:pt idx="324">
                  <c:v>3.67544536472586E-15</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3.9157857666015472</c:v>
                </c:pt>
                <c:pt idx="350">
                  <c:v>7.7645713530756222</c:v>
                </c:pt>
                <c:pt idx="351">
                  <c:v>11.480502970952694</c:v>
                </c:pt>
                <c:pt idx="352">
                  <c:v>14.999999999999998</c:v>
                </c:pt>
                <c:pt idx="353">
                  <c:v>18.262842870261618</c:v>
                </c:pt>
                <c:pt idx="354">
                  <c:v>21.213203435596423</c:v>
                </c:pt>
                <c:pt idx="355">
                  <c:v>23.800600208737055</c:v>
                </c:pt>
                <c:pt idx="356">
                  <c:v>25.980762113533157</c:v>
                </c:pt>
                <c:pt idx="357">
                  <c:v>27.716385975338603</c:v>
                </c:pt>
                <c:pt idx="358">
                  <c:v>28.97777478867205</c:v>
                </c:pt>
                <c:pt idx="359">
                  <c:v>29.74334584121431</c:v>
                </c:pt>
                <c:pt idx="360">
                  <c:v>30</c:v>
                </c:pt>
                <c:pt idx="361">
                  <c:v>29.74334584121431</c:v>
                </c:pt>
                <c:pt idx="362">
                  <c:v>28.97777478867205</c:v>
                </c:pt>
                <c:pt idx="363">
                  <c:v>27.716385975338607</c:v>
                </c:pt>
                <c:pt idx="364">
                  <c:v>25.98076211353316</c:v>
                </c:pt>
                <c:pt idx="365">
                  <c:v>23.800600208737055</c:v>
                </c:pt>
                <c:pt idx="366">
                  <c:v>21.213203435596427</c:v>
                </c:pt>
                <c:pt idx="367">
                  <c:v>18.262842870261625</c:v>
                </c:pt>
                <c:pt idx="368">
                  <c:v>14.999999999999998</c:v>
                </c:pt>
                <c:pt idx="369">
                  <c:v>11.480502970952697</c:v>
                </c:pt>
                <c:pt idx="370">
                  <c:v>7.7645713530756302</c:v>
                </c:pt>
                <c:pt idx="371">
                  <c:v>3.9157857666015596</c:v>
                </c:pt>
                <c:pt idx="372">
                  <c:v>3.67544536472586E-15</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3.9157857666015472</c:v>
                </c:pt>
                <c:pt idx="398">
                  <c:v>7.7645713530756222</c:v>
                </c:pt>
                <c:pt idx="399">
                  <c:v>11.480502970952694</c:v>
                </c:pt>
                <c:pt idx="400">
                  <c:v>14.999999999999998</c:v>
                </c:pt>
                <c:pt idx="401">
                  <c:v>18.262842870261618</c:v>
                </c:pt>
                <c:pt idx="402">
                  <c:v>21.213203435596423</c:v>
                </c:pt>
                <c:pt idx="403">
                  <c:v>23.800600208737055</c:v>
                </c:pt>
                <c:pt idx="404">
                  <c:v>25.980762113533157</c:v>
                </c:pt>
                <c:pt idx="405">
                  <c:v>27.716385975338603</c:v>
                </c:pt>
                <c:pt idx="406">
                  <c:v>28.97777478867205</c:v>
                </c:pt>
                <c:pt idx="407">
                  <c:v>29.74334584121431</c:v>
                </c:pt>
                <c:pt idx="408">
                  <c:v>30</c:v>
                </c:pt>
                <c:pt idx="409">
                  <c:v>29.74334584121431</c:v>
                </c:pt>
                <c:pt idx="410">
                  <c:v>28.97777478867205</c:v>
                </c:pt>
                <c:pt idx="411">
                  <c:v>27.716385975338607</c:v>
                </c:pt>
                <c:pt idx="412">
                  <c:v>25.98076211353316</c:v>
                </c:pt>
                <c:pt idx="413">
                  <c:v>23.800600208737055</c:v>
                </c:pt>
                <c:pt idx="414">
                  <c:v>21.213203435596427</c:v>
                </c:pt>
                <c:pt idx="415">
                  <c:v>18.262842870261625</c:v>
                </c:pt>
                <c:pt idx="416">
                  <c:v>14.999999999999998</c:v>
                </c:pt>
                <c:pt idx="417">
                  <c:v>11.480502970952697</c:v>
                </c:pt>
                <c:pt idx="418">
                  <c:v>7.7645713530756302</c:v>
                </c:pt>
                <c:pt idx="419">
                  <c:v>3.9157857666015596</c:v>
                </c:pt>
                <c:pt idx="420">
                  <c:v>3.67544536472586E-15</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3.9157857666015472</c:v>
                </c:pt>
                <c:pt idx="446">
                  <c:v>7.7645713530756222</c:v>
                </c:pt>
                <c:pt idx="447">
                  <c:v>11.480502970952694</c:v>
                </c:pt>
                <c:pt idx="448">
                  <c:v>14.999999999999998</c:v>
                </c:pt>
                <c:pt idx="449">
                  <c:v>18.262842870261618</c:v>
                </c:pt>
                <c:pt idx="450">
                  <c:v>21.213203435596423</c:v>
                </c:pt>
                <c:pt idx="451">
                  <c:v>23.800600208737055</c:v>
                </c:pt>
                <c:pt idx="452">
                  <c:v>25.980762113533157</c:v>
                </c:pt>
                <c:pt idx="453">
                  <c:v>27.716385975338603</c:v>
                </c:pt>
                <c:pt idx="454">
                  <c:v>28.97777478867205</c:v>
                </c:pt>
                <c:pt idx="455">
                  <c:v>29.74334584121431</c:v>
                </c:pt>
                <c:pt idx="456">
                  <c:v>30</c:v>
                </c:pt>
                <c:pt idx="457">
                  <c:v>29.74334584121431</c:v>
                </c:pt>
                <c:pt idx="458">
                  <c:v>28.97777478867205</c:v>
                </c:pt>
                <c:pt idx="459">
                  <c:v>27.716385975338607</c:v>
                </c:pt>
                <c:pt idx="460">
                  <c:v>25.98076211353316</c:v>
                </c:pt>
                <c:pt idx="461">
                  <c:v>23.800600208737055</c:v>
                </c:pt>
                <c:pt idx="462">
                  <c:v>21.213203435596427</c:v>
                </c:pt>
                <c:pt idx="463">
                  <c:v>18.262842870261625</c:v>
                </c:pt>
                <c:pt idx="464">
                  <c:v>14.999999999999998</c:v>
                </c:pt>
                <c:pt idx="465">
                  <c:v>11.480502970952697</c:v>
                </c:pt>
                <c:pt idx="466">
                  <c:v>7.7645713530756302</c:v>
                </c:pt>
                <c:pt idx="467">
                  <c:v>3.9157857666015596</c:v>
                </c:pt>
                <c:pt idx="468">
                  <c:v>3.67544536472586E-15</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3.9157857666015472</c:v>
                </c:pt>
                <c:pt idx="494">
                  <c:v>7.7645713530756222</c:v>
                </c:pt>
                <c:pt idx="495">
                  <c:v>11.480502970952694</c:v>
                </c:pt>
                <c:pt idx="496">
                  <c:v>14.999999999999998</c:v>
                </c:pt>
                <c:pt idx="497">
                  <c:v>18.262842870261618</c:v>
                </c:pt>
                <c:pt idx="498">
                  <c:v>21.213203435596423</c:v>
                </c:pt>
                <c:pt idx="499">
                  <c:v>23.800600208737055</c:v>
                </c:pt>
                <c:pt idx="500">
                  <c:v>25.980762113533157</c:v>
                </c:pt>
                <c:pt idx="501">
                  <c:v>27.716385975338603</c:v>
                </c:pt>
                <c:pt idx="502">
                  <c:v>28.97777478867205</c:v>
                </c:pt>
                <c:pt idx="503">
                  <c:v>29.74334584121431</c:v>
                </c:pt>
                <c:pt idx="504">
                  <c:v>30</c:v>
                </c:pt>
                <c:pt idx="505">
                  <c:v>29.74334584121431</c:v>
                </c:pt>
                <c:pt idx="506">
                  <c:v>28.97777478867205</c:v>
                </c:pt>
                <c:pt idx="507">
                  <c:v>27.716385975338607</c:v>
                </c:pt>
                <c:pt idx="508">
                  <c:v>25.98076211353316</c:v>
                </c:pt>
                <c:pt idx="509">
                  <c:v>23.800600208737055</c:v>
                </c:pt>
                <c:pt idx="510">
                  <c:v>21.213203435596427</c:v>
                </c:pt>
                <c:pt idx="511">
                  <c:v>18.262842870261625</c:v>
                </c:pt>
                <c:pt idx="512">
                  <c:v>14.999999999999998</c:v>
                </c:pt>
                <c:pt idx="513">
                  <c:v>11.480502970952697</c:v>
                </c:pt>
                <c:pt idx="514">
                  <c:v>7.7645713530756302</c:v>
                </c:pt>
                <c:pt idx="515">
                  <c:v>3.9157857666015596</c:v>
                </c:pt>
                <c:pt idx="516">
                  <c:v>3.67544536472586E-15</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3.9157857666015472</c:v>
                </c:pt>
                <c:pt idx="542">
                  <c:v>7.7645713530756222</c:v>
                </c:pt>
                <c:pt idx="543">
                  <c:v>11.480502970952694</c:v>
                </c:pt>
                <c:pt idx="544">
                  <c:v>14.999999999999998</c:v>
                </c:pt>
                <c:pt idx="545">
                  <c:v>18.262842870261618</c:v>
                </c:pt>
                <c:pt idx="546">
                  <c:v>21.213203435596423</c:v>
                </c:pt>
                <c:pt idx="547">
                  <c:v>23.800600208737055</c:v>
                </c:pt>
                <c:pt idx="548">
                  <c:v>25.980762113533157</c:v>
                </c:pt>
                <c:pt idx="549">
                  <c:v>27.716385975338603</c:v>
                </c:pt>
                <c:pt idx="550">
                  <c:v>28.97777478867205</c:v>
                </c:pt>
                <c:pt idx="551">
                  <c:v>29.74334584121431</c:v>
                </c:pt>
                <c:pt idx="552">
                  <c:v>30</c:v>
                </c:pt>
                <c:pt idx="553">
                  <c:v>29.74334584121431</c:v>
                </c:pt>
                <c:pt idx="554">
                  <c:v>28.97777478867205</c:v>
                </c:pt>
                <c:pt idx="555">
                  <c:v>27.716385975338607</c:v>
                </c:pt>
                <c:pt idx="556">
                  <c:v>25.98076211353316</c:v>
                </c:pt>
                <c:pt idx="557">
                  <c:v>23.800600208737055</c:v>
                </c:pt>
                <c:pt idx="558">
                  <c:v>21.213203435596427</c:v>
                </c:pt>
                <c:pt idx="559">
                  <c:v>18.262842870261625</c:v>
                </c:pt>
                <c:pt idx="560">
                  <c:v>14.999999999999998</c:v>
                </c:pt>
                <c:pt idx="561">
                  <c:v>11.480502970952697</c:v>
                </c:pt>
                <c:pt idx="562">
                  <c:v>7.7645713530756302</c:v>
                </c:pt>
                <c:pt idx="563">
                  <c:v>3.9157857666015596</c:v>
                </c:pt>
                <c:pt idx="564">
                  <c:v>3.67544536472586E-15</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3.9157857666015472</c:v>
                </c:pt>
                <c:pt idx="590">
                  <c:v>7.7645713530756222</c:v>
                </c:pt>
                <c:pt idx="591">
                  <c:v>11.480502970952694</c:v>
                </c:pt>
                <c:pt idx="592">
                  <c:v>14.999999999999998</c:v>
                </c:pt>
                <c:pt idx="593">
                  <c:v>18.262842870261618</c:v>
                </c:pt>
                <c:pt idx="594">
                  <c:v>21.213203435596423</c:v>
                </c:pt>
                <c:pt idx="595">
                  <c:v>23.800600208737055</c:v>
                </c:pt>
                <c:pt idx="596">
                  <c:v>25.980762113533157</c:v>
                </c:pt>
                <c:pt idx="597">
                  <c:v>27.716385975338603</c:v>
                </c:pt>
                <c:pt idx="598">
                  <c:v>28.97777478867205</c:v>
                </c:pt>
                <c:pt idx="599">
                  <c:v>29.74334584121431</c:v>
                </c:pt>
                <c:pt idx="600">
                  <c:v>30</c:v>
                </c:pt>
                <c:pt idx="601">
                  <c:v>29.74334584121431</c:v>
                </c:pt>
                <c:pt idx="602">
                  <c:v>28.97777478867205</c:v>
                </c:pt>
                <c:pt idx="603">
                  <c:v>27.716385975338607</c:v>
                </c:pt>
                <c:pt idx="604">
                  <c:v>25.98076211353316</c:v>
                </c:pt>
                <c:pt idx="605">
                  <c:v>23.800600208737055</c:v>
                </c:pt>
                <c:pt idx="606">
                  <c:v>21.213203435596427</c:v>
                </c:pt>
                <c:pt idx="607">
                  <c:v>18.262842870261625</c:v>
                </c:pt>
                <c:pt idx="608">
                  <c:v>14.999999999999998</c:v>
                </c:pt>
                <c:pt idx="609">
                  <c:v>11.480502970952697</c:v>
                </c:pt>
                <c:pt idx="610">
                  <c:v>7.7645713530756302</c:v>
                </c:pt>
                <c:pt idx="611">
                  <c:v>3.9157857666015596</c:v>
                </c:pt>
                <c:pt idx="612">
                  <c:v>3.67544536472586E-15</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3.9157857666015472</c:v>
                </c:pt>
                <c:pt idx="638">
                  <c:v>7.7645713530756222</c:v>
                </c:pt>
                <c:pt idx="639">
                  <c:v>11.480502970952694</c:v>
                </c:pt>
                <c:pt idx="640">
                  <c:v>14.999999999999998</c:v>
                </c:pt>
                <c:pt idx="641">
                  <c:v>18.262842870261618</c:v>
                </c:pt>
                <c:pt idx="642">
                  <c:v>21.213203435596423</c:v>
                </c:pt>
                <c:pt idx="643">
                  <c:v>23.800600208737055</c:v>
                </c:pt>
                <c:pt idx="644">
                  <c:v>25.980762113533157</c:v>
                </c:pt>
                <c:pt idx="645">
                  <c:v>27.716385975338603</c:v>
                </c:pt>
                <c:pt idx="646">
                  <c:v>28.97777478867205</c:v>
                </c:pt>
                <c:pt idx="647">
                  <c:v>29.74334584121431</c:v>
                </c:pt>
                <c:pt idx="648">
                  <c:v>30</c:v>
                </c:pt>
                <c:pt idx="649">
                  <c:v>29.74334584121431</c:v>
                </c:pt>
                <c:pt idx="650">
                  <c:v>28.97777478867205</c:v>
                </c:pt>
                <c:pt idx="651">
                  <c:v>27.716385975338607</c:v>
                </c:pt>
                <c:pt idx="652">
                  <c:v>25.98076211353316</c:v>
                </c:pt>
                <c:pt idx="653">
                  <c:v>23.800600208737055</c:v>
                </c:pt>
                <c:pt idx="654">
                  <c:v>21.213203435596427</c:v>
                </c:pt>
                <c:pt idx="655">
                  <c:v>18.262842870261625</c:v>
                </c:pt>
                <c:pt idx="656">
                  <c:v>14.999999999999998</c:v>
                </c:pt>
                <c:pt idx="657">
                  <c:v>11.480502970952697</c:v>
                </c:pt>
                <c:pt idx="658">
                  <c:v>7.7645713530756302</c:v>
                </c:pt>
                <c:pt idx="659">
                  <c:v>3.9157857666015596</c:v>
                </c:pt>
                <c:pt idx="660">
                  <c:v>3.67544536472586E-15</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3.9157857666015472</c:v>
                </c:pt>
                <c:pt idx="686">
                  <c:v>7.7645713530756222</c:v>
                </c:pt>
                <c:pt idx="687">
                  <c:v>11.480502970952694</c:v>
                </c:pt>
                <c:pt idx="688">
                  <c:v>14.999999999999998</c:v>
                </c:pt>
                <c:pt idx="689">
                  <c:v>18.262842870261618</c:v>
                </c:pt>
                <c:pt idx="690">
                  <c:v>21.213203435596423</c:v>
                </c:pt>
                <c:pt idx="691">
                  <c:v>23.800600208737055</c:v>
                </c:pt>
                <c:pt idx="692">
                  <c:v>25.980762113533157</c:v>
                </c:pt>
                <c:pt idx="693">
                  <c:v>27.716385975338603</c:v>
                </c:pt>
                <c:pt idx="694">
                  <c:v>28.97777478867205</c:v>
                </c:pt>
                <c:pt idx="695">
                  <c:v>29.74334584121431</c:v>
                </c:pt>
                <c:pt idx="696">
                  <c:v>30</c:v>
                </c:pt>
                <c:pt idx="697">
                  <c:v>29.74334584121431</c:v>
                </c:pt>
                <c:pt idx="698">
                  <c:v>28.97777478867205</c:v>
                </c:pt>
                <c:pt idx="699">
                  <c:v>27.716385975338607</c:v>
                </c:pt>
                <c:pt idx="700">
                  <c:v>25.98076211353316</c:v>
                </c:pt>
                <c:pt idx="701">
                  <c:v>23.800600208737055</c:v>
                </c:pt>
                <c:pt idx="702">
                  <c:v>21.213203435596427</c:v>
                </c:pt>
                <c:pt idx="703">
                  <c:v>18.262842870261625</c:v>
                </c:pt>
                <c:pt idx="704">
                  <c:v>14.999999999999998</c:v>
                </c:pt>
                <c:pt idx="705">
                  <c:v>11.480502970952697</c:v>
                </c:pt>
                <c:pt idx="706">
                  <c:v>7.7645713530756302</c:v>
                </c:pt>
                <c:pt idx="707">
                  <c:v>3.9157857666015596</c:v>
                </c:pt>
                <c:pt idx="708">
                  <c:v>3.67544536472586E-15</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3.9157857666015472</c:v>
                </c:pt>
                <c:pt idx="734">
                  <c:v>7.7645713530756222</c:v>
                </c:pt>
                <c:pt idx="735">
                  <c:v>11.480502970952694</c:v>
                </c:pt>
                <c:pt idx="736">
                  <c:v>14.999999999999998</c:v>
                </c:pt>
                <c:pt idx="737">
                  <c:v>18.262842870261618</c:v>
                </c:pt>
                <c:pt idx="738">
                  <c:v>21.213203435596423</c:v>
                </c:pt>
                <c:pt idx="739">
                  <c:v>23.800600208737055</c:v>
                </c:pt>
                <c:pt idx="740">
                  <c:v>25.980762113533157</c:v>
                </c:pt>
                <c:pt idx="741">
                  <c:v>27.716385975338603</c:v>
                </c:pt>
                <c:pt idx="742">
                  <c:v>28.97777478867205</c:v>
                </c:pt>
                <c:pt idx="743">
                  <c:v>29.74334584121431</c:v>
                </c:pt>
                <c:pt idx="744">
                  <c:v>30</c:v>
                </c:pt>
                <c:pt idx="745">
                  <c:v>29.74334584121431</c:v>
                </c:pt>
                <c:pt idx="746">
                  <c:v>28.97777478867205</c:v>
                </c:pt>
                <c:pt idx="747">
                  <c:v>27.716385975338607</c:v>
                </c:pt>
                <c:pt idx="748">
                  <c:v>25.98076211353316</c:v>
                </c:pt>
                <c:pt idx="749">
                  <c:v>23.800600208737055</c:v>
                </c:pt>
                <c:pt idx="750">
                  <c:v>21.213203435596427</c:v>
                </c:pt>
                <c:pt idx="751">
                  <c:v>18.262842870261625</c:v>
                </c:pt>
                <c:pt idx="752">
                  <c:v>14.999999999999998</c:v>
                </c:pt>
                <c:pt idx="753">
                  <c:v>11.480502970952697</c:v>
                </c:pt>
                <c:pt idx="754">
                  <c:v>7.7645713530756302</c:v>
                </c:pt>
                <c:pt idx="755">
                  <c:v>3.9157857666015596</c:v>
                </c:pt>
                <c:pt idx="756">
                  <c:v>3.67544536472586E-15</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3.9157857666015472</c:v>
                </c:pt>
                <c:pt idx="782">
                  <c:v>7.7645713530756222</c:v>
                </c:pt>
                <c:pt idx="783">
                  <c:v>11.480502970952694</c:v>
                </c:pt>
                <c:pt idx="784">
                  <c:v>14.999999999999998</c:v>
                </c:pt>
                <c:pt idx="785">
                  <c:v>18.262842870261618</c:v>
                </c:pt>
                <c:pt idx="786">
                  <c:v>21.213203435596423</c:v>
                </c:pt>
                <c:pt idx="787">
                  <c:v>23.800600208737055</c:v>
                </c:pt>
                <c:pt idx="788">
                  <c:v>25.980762113533157</c:v>
                </c:pt>
                <c:pt idx="789">
                  <c:v>27.716385975338603</c:v>
                </c:pt>
                <c:pt idx="790">
                  <c:v>28.97777478867205</c:v>
                </c:pt>
                <c:pt idx="791">
                  <c:v>29.74334584121431</c:v>
                </c:pt>
                <c:pt idx="792">
                  <c:v>30</c:v>
                </c:pt>
                <c:pt idx="793">
                  <c:v>29.74334584121431</c:v>
                </c:pt>
                <c:pt idx="794">
                  <c:v>28.97777478867205</c:v>
                </c:pt>
                <c:pt idx="795">
                  <c:v>27.716385975338607</c:v>
                </c:pt>
                <c:pt idx="796">
                  <c:v>25.98076211353316</c:v>
                </c:pt>
                <c:pt idx="797">
                  <c:v>23.800600208737055</c:v>
                </c:pt>
                <c:pt idx="798">
                  <c:v>21.213203435596427</c:v>
                </c:pt>
                <c:pt idx="799">
                  <c:v>18.262842870261625</c:v>
                </c:pt>
                <c:pt idx="800">
                  <c:v>14.999999999999998</c:v>
                </c:pt>
                <c:pt idx="801">
                  <c:v>11.480502970952697</c:v>
                </c:pt>
                <c:pt idx="802">
                  <c:v>7.7645713530756302</c:v>
                </c:pt>
                <c:pt idx="803">
                  <c:v>3.9157857666015596</c:v>
                </c:pt>
                <c:pt idx="804">
                  <c:v>3.67544536472586E-15</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3.9157857666015472</c:v>
                </c:pt>
                <c:pt idx="830">
                  <c:v>7.7645713530756222</c:v>
                </c:pt>
                <c:pt idx="831">
                  <c:v>11.480502970952694</c:v>
                </c:pt>
                <c:pt idx="832">
                  <c:v>14.999999999999998</c:v>
                </c:pt>
                <c:pt idx="833">
                  <c:v>18.262842870261618</c:v>
                </c:pt>
                <c:pt idx="834">
                  <c:v>21.213203435596423</c:v>
                </c:pt>
                <c:pt idx="835">
                  <c:v>23.800600208737055</c:v>
                </c:pt>
                <c:pt idx="836">
                  <c:v>25.980762113533157</c:v>
                </c:pt>
                <c:pt idx="837">
                  <c:v>27.716385975338603</c:v>
                </c:pt>
                <c:pt idx="838">
                  <c:v>28.97777478867205</c:v>
                </c:pt>
                <c:pt idx="839">
                  <c:v>29.74334584121431</c:v>
                </c:pt>
                <c:pt idx="840">
                  <c:v>30</c:v>
                </c:pt>
                <c:pt idx="841">
                  <c:v>29.74334584121431</c:v>
                </c:pt>
                <c:pt idx="842">
                  <c:v>28.97777478867205</c:v>
                </c:pt>
                <c:pt idx="843">
                  <c:v>27.716385975338607</c:v>
                </c:pt>
                <c:pt idx="844">
                  <c:v>25.98076211353316</c:v>
                </c:pt>
                <c:pt idx="845">
                  <c:v>23.800600208737055</c:v>
                </c:pt>
                <c:pt idx="846">
                  <c:v>21.213203435596427</c:v>
                </c:pt>
                <c:pt idx="847">
                  <c:v>18.262842870261625</c:v>
                </c:pt>
                <c:pt idx="848">
                  <c:v>14.999999999999998</c:v>
                </c:pt>
                <c:pt idx="849">
                  <c:v>11.480502970952697</c:v>
                </c:pt>
                <c:pt idx="850">
                  <c:v>7.7645713530756302</c:v>
                </c:pt>
                <c:pt idx="851">
                  <c:v>3.9157857666015596</c:v>
                </c:pt>
                <c:pt idx="852">
                  <c:v>3.67544536472586E-15</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3.9157857666015472</c:v>
                </c:pt>
                <c:pt idx="878">
                  <c:v>7.7645713530756222</c:v>
                </c:pt>
                <c:pt idx="879">
                  <c:v>11.480502970952694</c:v>
                </c:pt>
                <c:pt idx="880">
                  <c:v>14.999999999999998</c:v>
                </c:pt>
                <c:pt idx="881">
                  <c:v>18.262842870261618</c:v>
                </c:pt>
                <c:pt idx="882">
                  <c:v>21.213203435596423</c:v>
                </c:pt>
                <c:pt idx="883">
                  <c:v>23.800600208737055</c:v>
                </c:pt>
                <c:pt idx="884">
                  <c:v>25.980762113533157</c:v>
                </c:pt>
                <c:pt idx="885">
                  <c:v>27.716385975338603</c:v>
                </c:pt>
                <c:pt idx="886">
                  <c:v>28.97777478867205</c:v>
                </c:pt>
                <c:pt idx="887">
                  <c:v>29.74334584121431</c:v>
                </c:pt>
                <c:pt idx="888">
                  <c:v>30</c:v>
                </c:pt>
                <c:pt idx="889">
                  <c:v>29.74334584121431</c:v>
                </c:pt>
                <c:pt idx="890">
                  <c:v>28.97777478867205</c:v>
                </c:pt>
                <c:pt idx="891">
                  <c:v>27.716385975338607</c:v>
                </c:pt>
                <c:pt idx="892">
                  <c:v>25.98076211353316</c:v>
                </c:pt>
                <c:pt idx="893">
                  <c:v>23.800600208737055</c:v>
                </c:pt>
                <c:pt idx="894">
                  <c:v>21.213203435596427</c:v>
                </c:pt>
                <c:pt idx="895">
                  <c:v>18.262842870261625</c:v>
                </c:pt>
                <c:pt idx="896">
                  <c:v>14.999999999999998</c:v>
                </c:pt>
                <c:pt idx="897">
                  <c:v>11.480502970952697</c:v>
                </c:pt>
                <c:pt idx="898">
                  <c:v>7.7645713530756302</c:v>
                </c:pt>
                <c:pt idx="899">
                  <c:v>3.9157857666015596</c:v>
                </c:pt>
                <c:pt idx="900">
                  <c:v>3.67544536472586E-15</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3.9157857666015472</c:v>
                </c:pt>
                <c:pt idx="926">
                  <c:v>7.7645713530756222</c:v>
                </c:pt>
                <c:pt idx="927">
                  <c:v>11.480502970952694</c:v>
                </c:pt>
                <c:pt idx="928">
                  <c:v>14.999999999999998</c:v>
                </c:pt>
                <c:pt idx="929">
                  <c:v>18.262842870261618</c:v>
                </c:pt>
                <c:pt idx="930">
                  <c:v>21.213203435596423</c:v>
                </c:pt>
                <c:pt idx="931">
                  <c:v>23.800600208737055</c:v>
                </c:pt>
                <c:pt idx="932">
                  <c:v>25.980762113533157</c:v>
                </c:pt>
                <c:pt idx="933">
                  <c:v>27.716385975338603</c:v>
                </c:pt>
                <c:pt idx="934">
                  <c:v>28.97777478867205</c:v>
                </c:pt>
                <c:pt idx="935">
                  <c:v>29.74334584121431</c:v>
                </c:pt>
                <c:pt idx="936">
                  <c:v>30</c:v>
                </c:pt>
                <c:pt idx="937">
                  <c:v>29.74334584121431</c:v>
                </c:pt>
                <c:pt idx="938">
                  <c:v>28.97777478867205</c:v>
                </c:pt>
                <c:pt idx="939">
                  <c:v>27.716385975338607</c:v>
                </c:pt>
                <c:pt idx="940">
                  <c:v>25.98076211353316</c:v>
                </c:pt>
                <c:pt idx="941">
                  <c:v>23.800600208737055</c:v>
                </c:pt>
                <c:pt idx="942">
                  <c:v>21.213203435596427</c:v>
                </c:pt>
                <c:pt idx="943">
                  <c:v>18.262842870261625</c:v>
                </c:pt>
                <c:pt idx="944">
                  <c:v>14.999999999999998</c:v>
                </c:pt>
                <c:pt idx="945">
                  <c:v>11.480502970952697</c:v>
                </c:pt>
                <c:pt idx="946">
                  <c:v>7.7645713530756302</c:v>
                </c:pt>
                <c:pt idx="947">
                  <c:v>3.9157857666015596</c:v>
                </c:pt>
                <c:pt idx="948">
                  <c:v>3.67544536472586E-15</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3.9157857666015472</c:v>
                </c:pt>
                <c:pt idx="974">
                  <c:v>7.7645713530756222</c:v>
                </c:pt>
                <c:pt idx="975">
                  <c:v>11.480502970952694</c:v>
                </c:pt>
                <c:pt idx="976">
                  <c:v>14.999999999999998</c:v>
                </c:pt>
                <c:pt idx="977">
                  <c:v>18.262842870261618</c:v>
                </c:pt>
                <c:pt idx="978">
                  <c:v>21.213203435596423</c:v>
                </c:pt>
                <c:pt idx="979">
                  <c:v>23.800600208737055</c:v>
                </c:pt>
                <c:pt idx="980">
                  <c:v>25.980762113533157</c:v>
                </c:pt>
                <c:pt idx="981">
                  <c:v>27.716385975338603</c:v>
                </c:pt>
                <c:pt idx="982">
                  <c:v>28.97777478867205</c:v>
                </c:pt>
                <c:pt idx="983">
                  <c:v>29.74334584121431</c:v>
                </c:pt>
                <c:pt idx="984">
                  <c:v>30</c:v>
                </c:pt>
                <c:pt idx="985">
                  <c:v>29.74334584121431</c:v>
                </c:pt>
                <c:pt idx="986">
                  <c:v>28.97777478867205</c:v>
                </c:pt>
                <c:pt idx="987">
                  <c:v>27.716385975338607</c:v>
                </c:pt>
                <c:pt idx="988">
                  <c:v>25.98076211353316</c:v>
                </c:pt>
                <c:pt idx="989">
                  <c:v>23.800600208737055</c:v>
                </c:pt>
                <c:pt idx="990">
                  <c:v>21.213203435596427</c:v>
                </c:pt>
                <c:pt idx="991">
                  <c:v>18.262842870261625</c:v>
                </c:pt>
                <c:pt idx="992">
                  <c:v>14.999999999999998</c:v>
                </c:pt>
                <c:pt idx="993">
                  <c:v>11.480502970952697</c:v>
                </c:pt>
                <c:pt idx="994">
                  <c:v>7.7645713530756302</c:v>
                </c:pt>
                <c:pt idx="995">
                  <c:v>3.9157857666015596</c:v>
                </c:pt>
                <c:pt idx="996">
                  <c:v>3.67544536472586E-15</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3.9157857666015472</c:v>
                </c:pt>
                <c:pt idx="1022">
                  <c:v>7.7645713530756222</c:v>
                </c:pt>
                <c:pt idx="1023">
                  <c:v>11.480502970952694</c:v>
                </c:pt>
                <c:pt idx="1024">
                  <c:v>14.999999999999998</c:v>
                </c:pt>
                <c:pt idx="1025">
                  <c:v>18.262842870261618</c:v>
                </c:pt>
                <c:pt idx="1026">
                  <c:v>21.213203435596423</c:v>
                </c:pt>
                <c:pt idx="1027">
                  <c:v>23.800600208737055</c:v>
                </c:pt>
                <c:pt idx="1028">
                  <c:v>25.980762113533157</c:v>
                </c:pt>
                <c:pt idx="1029">
                  <c:v>27.716385975338603</c:v>
                </c:pt>
                <c:pt idx="1030">
                  <c:v>28.97777478867205</c:v>
                </c:pt>
                <c:pt idx="1031">
                  <c:v>29.74334584121431</c:v>
                </c:pt>
                <c:pt idx="1032">
                  <c:v>30</c:v>
                </c:pt>
                <c:pt idx="1033">
                  <c:v>29.74334584121431</c:v>
                </c:pt>
                <c:pt idx="1034">
                  <c:v>28.97777478867205</c:v>
                </c:pt>
                <c:pt idx="1035">
                  <c:v>27.716385975338607</c:v>
                </c:pt>
                <c:pt idx="1036">
                  <c:v>25.98076211353316</c:v>
                </c:pt>
                <c:pt idx="1037">
                  <c:v>23.800600208737055</c:v>
                </c:pt>
                <c:pt idx="1038">
                  <c:v>21.213203435596427</c:v>
                </c:pt>
                <c:pt idx="1039">
                  <c:v>18.262842870261625</c:v>
                </c:pt>
                <c:pt idx="1040">
                  <c:v>14.999999999999998</c:v>
                </c:pt>
                <c:pt idx="1041">
                  <c:v>11.480502970952697</c:v>
                </c:pt>
                <c:pt idx="1042">
                  <c:v>7.7645713530756302</c:v>
                </c:pt>
                <c:pt idx="1043">
                  <c:v>3.9157857666015596</c:v>
                </c:pt>
                <c:pt idx="1044">
                  <c:v>3.67544536472586E-15</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3.9157857666015472</c:v>
                </c:pt>
                <c:pt idx="1070">
                  <c:v>7.7645713530756222</c:v>
                </c:pt>
                <c:pt idx="1071">
                  <c:v>11.480502970952694</c:v>
                </c:pt>
                <c:pt idx="1072">
                  <c:v>14.999999999999998</c:v>
                </c:pt>
                <c:pt idx="1073">
                  <c:v>18.262842870261618</c:v>
                </c:pt>
                <c:pt idx="1074">
                  <c:v>21.213203435596423</c:v>
                </c:pt>
                <c:pt idx="1075">
                  <c:v>23.800600208737055</c:v>
                </c:pt>
                <c:pt idx="1076">
                  <c:v>25.980762113533157</c:v>
                </c:pt>
                <c:pt idx="1077">
                  <c:v>27.716385975338603</c:v>
                </c:pt>
                <c:pt idx="1078">
                  <c:v>28.97777478867205</c:v>
                </c:pt>
                <c:pt idx="1079">
                  <c:v>29.74334584121431</c:v>
                </c:pt>
                <c:pt idx="1080">
                  <c:v>30</c:v>
                </c:pt>
                <c:pt idx="1081">
                  <c:v>29.74334584121431</c:v>
                </c:pt>
                <c:pt idx="1082">
                  <c:v>28.97777478867205</c:v>
                </c:pt>
                <c:pt idx="1083">
                  <c:v>27.716385975338607</c:v>
                </c:pt>
                <c:pt idx="1084">
                  <c:v>25.98076211353316</c:v>
                </c:pt>
                <c:pt idx="1085">
                  <c:v>23.800600208737055</c:v>
                </c:pt>
                <c:pt idx="1086">
                  <c:v>21.213203435596427</c:v>
                </c:pt>
                <c:pt idx="1087">
                  <c:v>18.262842870261625</c:v>
                </c:pt>
                <c:pt idx="1088">
                  <c:v>14.999999999999998</c:v>
                </c:pt>
                <c:pt idx="1089">
                  <c:v>11.480502970952697</c:v>
                </c:pt>
                <c:pt idx="1090">
                  <c:v>7.7645713530756302</c:v>
                </c:pt>
                <c:pt idx="1091">
                  <c:v>3.9157857666015596</c:v>
                </c:pt>
                <c:pt idx="1092">
                  <c:v>3.67544536472586E-15</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3.9157857666015472</c:v>
                </c:pt>
                <c:pt idx="1118">
                  <c:v>7.7645713530756222</c:v>
                </c:pt>
                <c:pt idx="1119">
                  <c:v>11.480502970952694</c:v>
                </c:pt>
                <c:pt idx="1120">
                  <c:v>14.999999999999998</c:v>
                </c:pt>
                <c:pt idx="1121">
                  <c:v>18.262842870261618</c:v>
                </c:pt>
                <c:pt idx="1122">
                  <c:v>21.213203435596423</c:v>
                </c:pt>
                <c:pt idx="1123">
                  <c:v>23.800600208737055</c:v>
                </c:pt>
                <c:pt idx="1124">
                  <c:v>25.980762113533157</c:v>
                </c:pt>
                <c:pt idx="1125">
                  <c:v>27.716385975338603</c:v>
                </c:pt>
                <c:pt idx="1126">
                  <c:v>28.97777478867205</c:v>
                </c:pt>
                <c:pt idx="1127">
                  <c:v>29.74334584121431</c:v>
                </c:pt>
                <c:pt idx="1128">
                  <c:v>30</c:v>
                </c:pt>
                <c:pt idx="1129">
                  <c:v>29.74334584121431</c:v>
                </c:pt>
                <c:pt idx="1130">
                  <c:v>28.97777478867205</c:v>
                </c:pt>
                <c:pt idx="1131">
                  <c:v>27.716385975338607</c:v>
                </c:pt>
                <c:pt idx="1132">
                  <c:v>25.98076211353316</c:v>
                </c:pt>
                <c:pt idx="1133">
                  <c:v>23.800600208737055</c:v>
                </c:pt>
                <c:pt idx="1134">
                  <c:v>21.213203435596427</c:v>
                </c:pt>
                <c:pt idx="1135">
                  <c:v>18.262842870261625</c:v>
                </c:pt>
                <c:pt idx="1136">
                  <c:v>14.999999999999998</c:v>
                </c:pt>
                <c:pt idx="1137">
                  <c:v>11.480502970952697</c:v>
                </c:pt>
                <c:pt idx="1138">
                  <c:v>7.7645713530756302</c:v>
                </c:pt>
                <c:pt idx="1139">
                  <c:v>3.9157857666015596</c:v>
                </c:pt>
                <c:pt idx="1140">
                  <c:v>3.67544536472586E-15</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3.9157857666015472</c:v>
                </c:pt>
                <c:pt idx="1166">
                  <c:v>7.7645713530756222</c:v>
                </c:pt>
                <c:pt idx="1167">
                  <c:v>11.480502970952694</c:v>
                </c:pt>
                <c:pt idx="1168">
                  <c:v>14.999999999999998</c:v>
                </c:pt>
                <c:pt idx="1169">
                  <c:v>18.262842870261618</c:v>
                </c:pt>
                <c:pt idx="1170">
                  <c:v>21.213203435596423</c:v>
                </c:pt>
                <c:pt idx="1171">
                  <c:v>23.800600208737055</c:v>
                </c:pt>
                <c:pt idx="1172">
                  <c:v>25.980762113533157</c:v>
                </c:pt>
                <c:pt idx="1173">
                  <c:v>27.716385975338603</c:v>
                </c:pt>
                <c:pt idx="1174">
                  <c:v>28.97777478867205</c:v>
                </c:pt>
                <c:pt idx="1175">
                  <c:v>29.74334584121431</c:v>
                </c:pt>
                <c:pt idx="1176">
                  <c:v>30</c:v>
                </c:pt>
                <c:pt idx="1177">
                  <c:v>29.74334584121431</c:v>
                </c:pt>
                <c:pt idx="1178">
                  <c:v>28.97777478867205</c:v>
                </c:pt>
                <c:pt idx="1179">
                  <c:v>27.716385975338607</c:v>
                </c:pt>
                <c:pt idx="1180">
                  <c:v>25.98076211353316</c:v>
                </c:pt>
                <c:pt idx="1181">
                  <c:v>23.800600208737055</c:v>
                </c:pt>
                <c:pt idx="1182">
                  <c:v>21.213203435596427</c:v>
                </c:pt>
                <c:pt idx="1183">
                  <c:v>18.262842870261625</c:v>
                </c:pt>
                <c:pt idx="1184">
                  <c:v>14.999999999999998</c:v>
                </c:pt>
                <c:pt idx="1185">
                  <c:v>11.480502970952697</c:v>
                </c:pt>
                <c:pt idx="1186">
                  <c:v>7.7645713530756302</c:v>
                </c:pt>
                <c:pt idx="1187">
                  <c:v>3.9157857666015596</c:v>
                </c:pt>
                <c:pt idx="1188">
                  <c:v>3.67544536472586E-15</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3.9157857666015472</c:v>
                </c:pt>
                <c:pt idx="1214">
                  <c:v>7.7645713530756222</c:v>
                </c:pt>
                <c:pt idx="1215">
                  <c:v>11.480502970952694</c:v>
                </c:pt>
                <c:pt idx="1216">
                  <c:v>14.999999999999998</c:v>
                </c:pt>
                <c:pt idx="1217">
                  <c:v>18.262842870261618</c:v>
                </c:pt>
                <c:pt idx="1218">
                  <c:v>21.213203435596423</c:v>
                </c:pt>
                <c:pt idx="1219">
                  <c:v>23.800600208737055</c:v>
                </c:pt>
                <c:pt idx="1220">
                  <c:v>25.980762113533157</c:v>
                </c:pt>
                <c:pt idx="1221">
                  <c:v>27.716385975338603</c:v>
                </c:pt>
                <c:pt idx="1222">
                  <c:v>28.97777478867205</c:v>
                </c:pt>
                <c:pt idx="1223">
                  <c:v>29.74334584121431</c:v>
                </c:pt>
                <c:pt idx="1224">
                  <c:v>30</c:v>
                </c:pt>
                <c:pt idx="1225">
                  <c:v>29.74334584121431</c:v>
                </c:pt>
                <c:pt idx="1226">
                  <c:v>28.97777478867205</c:v>
                </c:pt>
                <c:pt idx="1227">
                  <c:v>27.716385975338607</c:v>
                </c:pt>
                <c:pt idx="1228">
                  <c:v>25.98076211353316</c:v>
                </c:pt>
                <c:pt idx="1229">
                  <c:v>23.800600208737055</c:v>
                </c:pt>
                <c:pt idx="1230">
                  <c:v>21.213203435596427</c:v>
                </c:pt>
                <c:pt idx="1231">
                  <c:v>18.262842870261625</c:v>
                </c:pt>
                <c:pt idx="1232">
                  <c:v>14.999999999999998</c:v>
                </c:pt>
                <c:pt idx="1233">
                  <c:v>11.480502970952697</c:v>
                </c:pt>
                <c:pt idx="1234">
                  <c:v>7.7645713530756302</c:v>
                </c:pt>
                <c:pt idx="1235">
                  <c:v>3.9157857666015596</c:v>
                </c:pt>
                <c:pt idx="1236">
                  <c:v>3.67544536472586E-15</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3.9157857666015472</c:v>
                </c:pt>
                <c:pt idx="1262">
                  <c:v>7.7645713530756222</c:v>
                </c:pt>
                <c:pt idx="1263">
                  <c:v>11.480502970952694</c:v>
                </c:pt>
                <c:pt idx="1264">
                  <c:v>14.999999999999998</c:v>
                </c:pt>
                <c:pt idx="1265">
                  <c:v>18.262842870261618</c:v>
                </c:pt>
                <c:pt idx="1266">
                  <c:v>21.213203435596423</c:v>
                </c:pt>
                <c:pt idx="1267">
                  <c:v>23.800600208737055</c:v>
                </c:pt>
                <c:pt idx="1268">
                  <c:v>25.980762113533157</c:v>
                </c:pt>
                <c:pt idx="1269">
                  <c:v>27.716385975338603</c:v>
                </c:pt>
                <c:pt idx="1270">
                  <c:v>28.97777478867205</c:v>
                </c:pt>
                <c:pt idx="1271">
                  <c:v>29.74334584121431</c:v>
                </c:pt>
                <c:pt idx="1272">
                  <c:v>30</c:v>
                </c:pt>
                <c:pt idx="1273">
                  <c:v>29.74334584121431</c:v>
                </c:pt>
                <c:pt idx="1274">
                  <c:v>28.97777478867205</c:v>
                </c:pt>
                <c:pt idx="1275">
                  <c:v>27.716385975338607</c:v>
                </c:pt>
                <c:pt idx="1276">
                  <c:v>25.98076211353316</c:v>
                </c:pt>
                <c:pt idx="1277">
                  <c:v>23.800600208737055</c:v>
                </c:pt>
                <c:pt idx="1278">
                  <c:v>21.213203435596427</c:v>
                </c:pt>
                <c:pt idx="1279">
                  <c:v>18.262842870261625</c:v>
                </c:pt>
                <c:pt idx="1280">
                  <c:v>14.999999999999998</c:v>
                </c:pt>
                <c:pt idx="1281">
                  <c:v>11.480502970952697</c:v>
                </c:pt>
                <c:pt idx="1282">
                  <c:v>7.7645713530756302</c:v>
                </c:pt>
                <c:pt idx="1283">
                  <c:v>3.9157857666015596</c:v>
                </c:pt>
                <c:pt idx="1284">
                  <c:v>3.67544536472586E-15</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3.9157857666015472</c:v>
                </c:pt>
                <c:pt idx="1310">
                  <c:v>7.7645713530756222</c:v>
                </c:pt>
                <c:pt idx="1311">
                  <c:v>11.480502970952694</c:v>
                </c:pt>
                <c:pt idx="1312">
                  <c:v>14.999999999999998</c:v>
                </c:pt>
                <c:pt idx="1313">
                  <c:v>18.262842870261618</c:v>
                </c:pt>
                <c:pt idx="1314">
                  <c:v>21.213203435596423</c:v>
                </c:pt>
                <c:pt idx="1315">
                  <c:v>23.800600208737055</c:v>
                </c:pt>
                <c:pt idx="1316">
                  <c:v>25.980762113533157</c:v>
                </c:pt>
                <c:pt idx="1317">
                  <c:v>27.716385975338603</c:v>
                </c:pt>
                <c:pt idx="1318">
                  <c:v>28.97777478867205</c:v>
                </c:pt>
                <c:pt idx="1319">
                  <c:v>29.74334584121431</c:v>
                </c:pt>
                <c:pt idx="1320">
                  <c:v>30</c:v>
                </c:pt>
                <c:pt idx="1321">
                  <c:v>29.74334584121431</c:v>
                </c:pt>
                <c:pt idx="1322">
                  <c:v>28.97777478867205</c:v>
                </c:pt>
                <c:pt idx="1323">
                  <c:v>27.716385975338607</c:v>
                </c:pt>
                <c:pt idx="1324">
                  <c:v>25.98076211353316</c:v>
                </c:pt>
                <c:pt idx="1325">
                  <c:v>23.800600208737055</c:v>
                </c:pt>
                <c:pt idx="1326">
                  <c:v>21.213203435596427</c:v>
                </c:pt>
                <c:pt idx="1327">
                  <c:v>18.262842870261625</c:v>
                </c:pt>
                <c:pt idx="1328">
                  <c:v>14.999999999999998</c:v>
                </c:pt>
                <c:pt idx="1329">
                  <c:v>11.480502970952697</c:v>
                </c:pt>
                <c:pt idx="1330">
                  <c:v>7.7645713530756302</c:v>
                </c:pt>
                <c:pt idx="1331">
                  <c:v>3.9157857666015596</c:v>
                </c:pt>
                <c:pt idx="1332">
                  <c:v>3.67544536472586E-15</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3.9157857666015472</c:v>
                </c:pt>
                <c:pt idx="1358">
                  <c:v>7.7645713530756222</c:v>
                </c:pt>
                <c:pt idx="1359">
                  <c:v>11.480502970952694</c:v>
                </c:pt>
                <c:pt idx="1360">
                  <c:v>14.999999999999998</c:v>
                </c:pt>
                <c:pt idx="1361">
                  <c:v>18.262842870261618</c:v>
                </c:pt>
                <c:pt idx="1362">
                  <c:v>21.213203435596423</c:v>
                </c:pt>
                <c:pt idx="1363">
                  <c:v>23.800600208737055</c:v>
                </c:pt>
                <c:pt idx="1364">
                  <c:v>25.980762113533157</c:v>
                </c:pt>
                <c:pt idx="1365">
                  <c:v>27.716385975338603</c:v>
                </c:pt>
                <c:pt idx="1366">
                  <c:v>28.97777478867205</c:v>
                </c:pt>
                <c:pt idx="1367">
                  <c:v>29.74334584121431</c:v>
                </c:pt>
                <c:pt idx="1368">
                  <c:v>30</c:v>
                </c:pt>
                <c:pt idx="1369">
                  <c:v>29.74334584121431</c:v>
                </c:pt>
                <c:pt idx="1370">
                  <c:v>28.97777478867205</c:v>
                </c:pt>
                <c:pt idx="1371">
                  <c:v>27.716385975338607</c:v>
                </c:pt>
                <c:pt idx="1372">
                  <c:v>25.98076211353316</c:v>
                </c:pt>
                <c:pt idx="1373">
                  <c:v>23.800600208737055</c:v>
                </c:pt>
                <c:pt idx="1374">
                  <c:v>21.213203435596427</c:v>
                </c:pt>
                <c:pt idx="1375">
                  <c:v>18.262842870261625</c:v>
                </c:pt>
                <c:pt idx="1376">
                  <c:v>14.999999999999998</c:v>
                </c:pt>
                <c:pt idx="1377">
                  <c:v>11.480502970952697</c:v>
                </c:pt>
                <c:pt idx="1378">
                  <c:v>7.7645713530756302</c:v>
                </c:pt>
                <c:pt idx="1379">
                  <c:v>3.9157857666015596</c:v>
                </c:pt>
                <c:pt idx="1380">
                  <c:v>3.67544536472586E-15</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3.9157857666015472</c:v>
                </c:pt>
                <c:pt idx="1406">
                  <c:v>7.7645713530756222</c:v>
                </c:pt>
                <c:pt idx="1407">
                  <c:v>11.480502970952694</c:v>
                </c:pt>
                <c:pt idx="1408">
                  <c:v>14.999999999999998</c:v>
                </c:pt>
                <c:pt idx="1409">
                  <c:v>18.262842870261618</c:v>
                </c:pt>
                <c:pt idx="1410">
                  <c:v>21.213203435596423</c:v>
                </c:pt>
                <c:pt idx="1411">
                  <c:v>23.800600208737055</c:v>
                </c:pt>
                <c:pt idx="1412">
                  <c:v>25.980762113533157</c:v>
                </c:pt>
                <c:pt idx="1413">
                  <c:v>27.716385975338603</c:v>
                </c:pt>
                <c:pt idx="1414">
                  <c:v>28.97777478867205</c:v>
                </c:pt>
                <c:pt idx="1415">
                  <c:v>29.74334584121431</c:v>
                </c:pt>
                <c:pt idx="1416">
                  <c:v>30</c:v>
                </c:pt>
                <c:pt idx="1417">
                  <c:v>29.74334584121431</c:v>
                </c:pt>
                <c:pt idx="1418">
                  <c:v>28.97777478867205</c:v>
                </c:pt>
                <c:pt idx="1419">
                  <c:v>27.716385975338607</c:v>
                </c:pt>
                <c:pt idx="1420">
                  <c:v>25.98076211353316</c:v>
                </c:pt>
                <c:pt idx="1421">
                  <c:v>23.800600208737055</c:v>
                </c:pt>
                <c:pt idx="1422">
                  <c:v>21.213203435596427</c:v>
                </c:pt>
                <c:pt idx="1423">
                  <c:v>18.262842870261625</c:v>
                </c:pt>
                <c:pt idx="1424">
                  <c:v>14.999999999999998</c:v>
                </c:pt>
                <c:pt idx="1425">
                  <c:v>11.480502970952697</c:v>
                </c:pt>
                <c:pt idx="1426">
                  <c:v>7.7645713530756302</c:v>
                </c:pt>
                <c:pt idx="1427">
                  <c:v>3.9157857666015596</c:v>
                </c:pt>
                <c:pt idx="1428">
                  <c:v>3.67544536472586E-15</c:v>
                </c:pt>
                <c:pt idx="1429">
                  <c:v>0</c:v>
                </c:pt>
                <c:pt idx="1430">
                  <c:v>0</c:v>
                </c:pt>
                <c:pt idx="1431">
                  <c:v>0</c:v>
                </c:pt>
                <c:pt idx="1432">
                  <c:v>0</c:v>
                </c:pt>
                <c:pt idx="1433">
                  <c:v>0</c:v>
                </c:pt>
                <c:pt idx="1434">
                  <c:v>0</c:v>
                </c:pt>
                <c:pt idx="1435">
                  <c:v>0</c:v>
                </c:pt>
                <c:pt idx="1436">
                  <c:v>0</c:v>
                </c:pt>
                <c:pt idx="1437">
                  <c:v>0</c:v>
                </c:pt>
                <c:pt idx="1438">
                  <c:v>0</c:v>
                </c:pt>
                <c:pt idx="1439">
                  <c:v>0</c:v>
                </c:pt>
              </c:numCache>
            </c:numRef>
          </c:val>
          <c:smooth val="0"/>
          <c:extLst>
            <c:ext xmlns:c16="http://schemas.microsoft.com/office/drawing/2014/chart" uri="{C3380CC4-5D6E-409C-BE32-E72D297353CC}">
              <c16:uniqueId val="{00000001-BFB9-44B9-A338-C0412DB7122A}"/>
            </c:ext>
          </c:extLst>
        </c:ser>
        <c:dLbls>
          <c:showLegendKey val="0"/>
          <c:showVal val="0"/>
          <c:showCatName val="0"/>
          <c:showSerName val="0"/>
          <c:showPercent val="0"/>
          <c:showBubbleSize val="0"/>
        </c:dLbls>
        <c:smooth val="0"/>
        <c:axId val="143081823"/>
        <c:axId val="143082303"/>
      </c:lineChart>
      <c:catAx>
        <c:axId val="143081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30-minute</a:t>
                </a:r>
                <a:r>
                  <a:rPr lang="en-US" baseline="0"/>
                  <a:t> interval over 30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82303"/>
        <c:crosses val="autoZero"/>
        <c:auto val="1"/>
        <c:lblAlgn val="ctr"/>
        <c:lblOffset val="100"/>
        <c:noMultiLvlLbl val="0"/>
      </c:catAx>
      <c:valAx>
        <c:axId val="143082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Power (KW)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8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Energy Before vs After Solar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Solar_Analysis!$N$5</c:f>
              <c:strCache>
                <c:ptCount val="1"/>
                <c:pt idx="0">
                  <c:v>Energy (kWh)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Solar_Analysis!$M$6:$M$7</c:f>
              <c:strCache>
                <c:ptCount val="2"/>
                <c:pt idx="0">
                  <c:v>Original Building Demand</c:v>
                </c:pt>
                <c:pt idx="1">
                  <c:v>Grid Import After Solar</c:v>
                </c:pt>
              </c:strCache>
            </c:strRef>
          </c:cat>
          <c:val>
            <c:numRef>
              <c:f>Solar_Analysis!$N$6:$N$7</c:f>
              <c:numCache>
                <c:formatCode>General</c:formatCode>
                <c:ptCount val="2"/>
                <c:pt idx="0">
                  <c:v>8130.0000000000009</c:v>
                </c:pt>
                <c:pt idx="1">
                  <c:v>2548.650858315581</c:v>
                </c:pt>
              </c:numCache>
            </c:numRef>
          </c:val>
          <c:extLst>
            <c:ext xmlns:c16="http://schemas.microsoft.com/office/drawing/2014/chart" uri="{C3380CC4-5D6E-409C-BE32-E72D297353CC}">
              <c16:uniqueId val="{00000000-34DA-4DE3-85D2-4F9404868125}"/>
            </c:ext>
          </c:extLst>
        </c:ser>
        <c:dLbls>
          <c:dLblPos val="outEnd"/>
          <c:showLegendKey val="0"/>
          <c:showVal val="1"/>
          <c:showCatName val="0"/>
          <c:showSerName val="0"/>
          <c:showPercent val="0"/>
          <c:showBubbleSize val="0"/>
        </c:dLbls>
        <c:gapWidth val="100"/>
        <c:overlap val="-24"/>
        <c:axId val="268056559"/>
        <c:axId val="268054639"/>
      </c:barChart>
      <c:catAx>
        <c:axId val="268056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4639"/>
        <c:crosses val="autoZero"/>
        <c:auto val="1"/>
        <c:lblAlgn val="ctr"/>
        <c:lblOffset val="100"/>
        <c:noMultiLvlLbl val="0"/>
      </c:catAx>
      <c:valAx>
        <c:axId val="268054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Energy (kWh)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Solar Energy Use Split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Solar_Analysis!$N$1</c:f>
              <c:strCache>
                <c:ptCount val="1"/>
                <c:pt idx="0">
                  <c:v>kWh</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497-4072-91E5-6C2649070D3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497-4072-91E5-6C2649070D3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0497-4072-91E5-6C2649070D3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0497-4072-91E5-6C2649070D37}"/>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Solar_Analysis!$M$2:$M$3</c:f>
              <c:strCache>
                <c:ptCount val="2"/>
                <c:pt idx="0">
                  <c:v>Self-consumed</c:v>
                </c:pt>
                <c:pt idx="1">
                  <c:v>Exported</c:v>
                </c:pt>
              </c:strCache>
            </c:strRef>
          </c:cat>
          <c:val>
            <c:numRef>
              <c:f>Solar_Analysis!$N$2:$N$3</c:f>
              <c:numCache>
                <c:formatCode>General</c:formatCode>
                <c:ptCount val="2"/>
                <c:pt idx="0">
                  <c:v>5581.3491416844163</c:v>
                </c:pt>
                <c:pt idx="1">
                  <c:v>1284.3241180350738</c:v>
                </c:pt>
              </c:numCache>
            </c:numRef>
          </c:val>
          <c:extLst>
            <c:ext xmlns:c16="http://schemas.microsoft.com/office/drawing/2014/chart" uri="{C3380CC4-5D6E-409C-BE32-E72D297353CC}">
              <c16:uniqueId val="{00000004-0497-4072-91E5-6C2649070D37}"/>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556260</xdr:colOff>
      <xdr:row>6</xdr:row>
      <xdr:rowOff>26670</xdr:rowOff>
    </xdr:from>
    <xdr:to>
      <xdr:col>16</xdr:col>
      <xdr:colOff>441960</xdr:colOff>
      <xdr:row>21</xdr:row>
      <xdr:rowOff>26670</xdr:rowOff>
    </xdr:to>
    <xdr:graphicFrame macro="">
      <xdr:nvGraphicFramePr>
        <xdr:cNvPr id="2" name="Chart 1">
          <a:extLst>
            <a:ext uri="{FF2B5EF4-FFF2-40B4-BE49-F238E27FC236}">
              <a16:creationId xmlns:a16="http://schemas.microsoft.com/office/drawing/2014/main" id="{FA7BB4DF-0B3A-D778-772E-28009F7D3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541020</xdr:colOff>
      <xdr:row>22</xdr:row>
      <xdr:rowOff>163830</xdr:rowOff>
    </xdr:from>
    <xdr:to>
      <xdr:col>20</xdr:col>
      <xdr:colOff>525780</xdr:colOff>
      <xdr:row>37</xdr:row>
      <xdr:rowOff>163830</xdr:rowOff>
    </xdr:to>
    <xdr:graphicFrame macro="">
      <xdr:nvGraphicFramePr>
        <xdr:cNvPr id="3" name="Chart 2">
          <a:extLst>
            <a:ext uri="{FF2B5EF4-FFF2-40B4-BE49-F238E27FC236}">
              <a16:creationId xmlns:a16="http://schemas.microsoft.com/office/drawing/2014/main" id="{E407599D-1E27-465A-426B-0F01D7C36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98257</xdr:colOff>
      <xdr:row>36</xdr:row>
      <xdr:rowOff>119666</xdr:rowOff>
    </xdr:from>
    <xdr:to>
      <xdr:col>10</xdr:col>
      <xdr:colOff>578637</xdr:colOff>
      <xdr:row>51</xdr:row>
      <xdr:rowOff>119667</xdr:rowOff>
    </xdr:to>
    <xdr:graphicFrame macro="">
      <xdr:nvGraphicFramePr>
        <xdr:cNvPr id="4" name="Chart 3">
          <a:extLst>
            <a:ext uri="{FF2B5EF4-FFF2-40B4-BE49-F238E27FC236}">
              <a16:creationId xmlns:a16="http://schemas.microsoft.com/office/drawing/2014/main" id="{16328F36-F99A-14AA-F621-3D1E9E276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185561</xdr:colOff>
      <xdr:row>53</xdr:row>
      <xdr:rowOff>52124</xdr:rowOff>
    </xdr:from>
    <xdr:to>
      <xdr:col>18</xdr:col>
      <xdr:colOff>633969</xdr:colOff>
      <xdr:row>70</xdr:row>
      <xdr:rowOff>110534</xdr:rowOff>
    </xdr:to>
    <xdr:graphicFrame macro="">
      <xdr:nvGraphicFramePr>
        <xdr:cNvPr id="2" name="Chart 1">
          <a:extLst>
            <a:ext uri="{FF2B5EF4-FFF2-40B4-BE49-F238E27FC236}">
              <a16:creationId xmlns:a16="http://schemas.microsoft.com/office/drawing/2014/main" id="{051ACE26-01AC-71E0-CCDD-74E607AE8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511783</xdr:colOff>
      <xdr:row>16</xdr:row>
      <xdr:rowOff>101963</xdr:rowOff>
    </xdr:from>
    <xdr:to>
      <xdr:col>28</xdr:col>
      <xdr:colOff>213133</xdr:colOff>
      <xdr:row>31</xdr:row>
      <xdr:rowOff>134956</xdr:rowOff>
    </xdr:to>
    <xdr:graphicFrame macro="">
      <xdr:nvGraphicFramePr>
        <xdr:cNvPr id="4" name="Chart 3">
          <a:extLst>
            <a:ext uri="{FF2B5EF4-FFF2-40B4-BE49-F238E27FC236}">
              <a16:creationId xmlns:a16="http://schemas.microsoft.com/office/drawing/2014/main" id="{2BDD298A-2376-A4A7-D825-9D5C8686D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1474305</xdr:colOff>
      <xdr:row>11</xdr:row>
      <xdr:rowOff>28162</xdr:rowOff>
    </xdr:from>
    <xdr:to>
      <xdr:col>15</xdr:col>
      <xdr:colOff>215348</xdr:colOff>
      <xdr:row>26</xdr:row>
      <xdr:rowOff>38101</xdr:rowOff>
    </xdr:to>
    <xdr:graphicFrame macro="">
      <xdr:nvGraphicFramePr>
        <xdr:cNvPr id="12" name="Chart 11">
          <a:extLst>
            <a:ext uri="{FF2B5EF4-FFF2-40B4-BE49-F238E27FC236}">
              <a16:creationId xmlns:a16="http://schemas.microsoft.com/office/drawing/2014/main" id="{210ECB69-457D-804F-CA79-CA9E4DE8D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81993</xdr:colOff>
      <xdr:row>23</xdr:row>
      <xdr:rowOff>69572</xdr:rowOff>
    </xdr:from>
    <xdr:to>
      <xdr:col>2</xdr:col>
      <xdr:colOff>578508</xdr:colOff>
      <xdr:row>40</xdr:row>
      <xdr:rowOff>174347</xdr:rowOff>
    </xdr:to>
    <xdr:graphicFrame macro="">
      <xdr:nvGraphicFramePr>
        <xdr:cNvPr id="3" name="Chart 2">
          <a:extLst>
            <a:ext uri="{FF2B5EF4-FFF2-40B4-BE49-F238E27FC236}">
              <a16:creationId xmlns:a16="http://schemas.microsoft.com/office/drawing/2014/main" id="{FF8D8126-59FC-4485-992E-4737E7445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xdr:colOff>
      <xdr:row>23</xdr:row>
      <xdr:rowOff>86780</xdr:rowOff>
    </xdr:from>
    <xdr:to>
      <xdr:col>11</xdr:col>
      <xdr:colOff>279721</xdr:colOff>
      <xdr:row>40</xdr:row>
      <xdr:rowOff>173620</xdr:rowOff>
    </xdr:to>
    <xdr:graphicFrame macro="">
      <xdr:nvGraphicFramePr>
        <xdr:cNvPr id="4" name="Chart 3">
          <a:extLst>
            <a:ext uri="{FF2B5EF4-FFF2-40B4-BE49-F238E27FC236}">
              <a16:creationId xmlns:a16="http://schemas.microsoft.com/office/drawing/2014/main" id="{E86807FF-70BA-44B9-8C5F-81CAC6725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234215</xdr:colOff>
      <xdr:row>47</xdr:row>
      <xdr:rowOff>152849</xdr:rowOff>
    </xdr:from>
    <xdr:to>
      <xdr:col>10</xdr:col>
      <xdr:colOff>327536</xdr:colOff>
      <xdr:row>64</xdr:row>
      <xdr:rowOff>152749</xdr:rowOff>
    </xdr:to>
    <xdr:graphicFrame macro="">
      <xdr:nvGraphicFramePr>
        <xdr:cNvPr id="5" name="Chart 4">
          <a:extLst>
            <a:ext uri="{FF2B5EF4-FFF2-40B4-BE49-F238E27FC236}">
              <a16:creationId xmlns:a16="http://schemas.microsoft.com/office/drawing/2014/main" id="{0E8541F8-FE3F-466C-9401-53B9B83D8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235334</xdr:colOff>
      <xdr:row>71</xdr:row>
      <xdr:rowOff>122344</xdr:rowOff>
    </xdr:from>
    <xdr:to>
      <xdr:col>3</xdr:col>
      <xdr:colOff>106101</xdr:colOff>
      <xdr:row>87</xdr:row>
      <xdr:rowOff>173620</xdr:rowOff>
    </xdr:to>
    <xdr:graphicFrame macro="">
      <xdr:nvGraphicFramePr>
        <xdr:cNvPr id="6" name="Chart 5">
          <a:extLst>
            <a:ext uri="{FF2B5EF4-FFF2-40B4-BE49-F238E27FC236}">
              <a16:creationId xmlns:a16="http://schemas.microsoft.com/office/drawing/2014/main" id="{B032AAFE-35C4-477C-93F2-1284CE6AA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33293</xdr:colOff>
      <xdr:row>71</xdr:row>
      <xdr:rowOff>52189</xdr:rowOff>
    </xdr:from>
    <xdr:to>
      <xdr:col>15</xdr:col>
      <xdr:colOff>424405</xdr:colOff>
      <xdr:row>88</xdr:row>
      <xdr:rowOff>38582</xdr:rowOff>
    </xdr:to>
    <xdr:graphicFrame macro="">
      <xdr:nvGraphicFramePr>
        <xdr:cNvPr id="7" name="Chart 6">
          <a:extLst>
            <a:ext uri="{FF2B5EF4-FFF2-40B4-BE49-F238E27FC236}">
              <a16:creationId xmlns:a16="http://schemas.microsoft.com/office/drawing/2014/main" id="{9986DFB1-01D5-4D1C-BF09-7D7C86376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389424-77B1-497C-8AEF-39D6CED6821C}" name="Table1" displayName="Table1" ref="A1:C9" totalsRowShown="0">
  <autoFilter ref="A1:C9" xr:uid="{F0389424-77B1-497C-8AEF-39D6CED6821C}"/>
  <tableColumns count="3">
    <tableColumn id="1" xr3:uid="{E460EB77-61F3-4761-BCEE-3C8634411E7B}" name="A"/>
    <tableColumn id="2" xr3:uid="{3521F903-0FB0-484E-BA1C-3C0CEE260ABC}" name="B" dataDxfId="5"/>
    <tableColumn id="3" xr3:uid="{548D4CFD-E0EB-48DD-888C-1ECE8C88AF5B}" name="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FB2D05-C922-44E0-B7BE-455E6918FCFA}" name="LoadData" displayName="LoadData" ref="A1:G1441" totalsRowShown="0">
  <autoFilter ref="A1:G1441" xr:uid="{1BFB2D05-C922-44E0-B7BE-455E6918FCFA}"/>
  <tableColumns count="7">
    <tableColumn id="1" xr3:uid="{32A08E4F-BF0E-467C-83AB-889A57960CE2}" name="Date/Time" dataDxfId="4">
      <calculatedColumnFormula>A1+TIME(0,30,0)</calculatedColumnFormula>
    </tableColumn>
    <tableColumn id="2" xr3:uid="{CC6CF38E-8057-455B-AF5B-79EADF8D5CF6}" name="Demand_kW"/>
    <tableColumn id="3" xr3:uid="{857B4EF7-23E0-4771-B1A0-01004910EA7A}" name="Date" dataDxfId="3">
      <calculatedColumnFormula>INT(A2)</calculatedColumnFormula>
    </tableColumn>
    <tableColumn id="4" xr3:uid="{9CDB6ABB-F675-41B5-A944-853DDF0A9666}" name="Hour" dataDxfId="2">
      <calculatedColumnFormula>HOUR(A2)+MINUTE(A2)/60</calculatedColumnFormula>
    </tableColumn>
    <tableColumn id="5" xr3:uid="{53760075-B7F6-4881-AAFA-5E8EA1415BDA}" name="Day">
      <calculatedColumnFormula>TEXT(A2,"dddd")</calculatedColumnFormula>
    </tableColumn>
    <tableColumn id="6" xr3:uid="{B499DD75-F6FA-4326-A9AC-7BFA2F49E5BD}" name="Interval_h">
      <calculatedColumnFormula>Assumptions!$B$2</calculatedColumnFormula>
    </tableColumn>
    <tableColumn id="7" xr3:uid="{889F29D5-C4F8-4CBC-8D1E-97F09E922C2D}" name="Energy_kWh">
      <calculatedColumnFormula>B2*F2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1E8010-DE25-44F2-A747-AA41857F7321}" name="Table6" displayName="Table6" ref="A1:G31" totalsRowShown="0">
  <autoFilter ref="A1:G31" xr:uid="{4C1E8010-DE25-44F2-A747-AA41857F7321}"/>
  <tableColumns count="7">
    <tableColumn id="1" xr3:uid="{A0CE001A-6CA7-42AC-AA1B-F707F99DC904}" name="Date" dataDxfId="1"/>
    <tableColumn id="2" xr3:uid="{AAFB2378-75F0-45B1-86AA-A0852D23E438}" name="Daily_Energy_kWh">
      <calculatedColumnFormula>SUMIFS(Raw_Load_Data!$G:$G,Raw_Load_Data!$C:$C,$A2)</calculatedColumnFormula>
    </tableColumn>
    <tableColumn id="3" xr3:uid="{E100AE66-84D8-4469-B0D1-79FEE3AB5A72}" name="Peak_Demand_kW">
      <calculatedColumnFormula>_xlfn.MAXIFS(Raw_Load_Data!$B:$B,Raw_Load_Data!C:$C,A2)</calculatedColumnFormula>
    </tableColumn>
    <tableColumn id="4" xr3:uid="{92BAB827-CC31-42C1-A348-33320FA6870E}" name="Average_Demand_kW">
      <calculatedColumnFormula>AVERAGEIFS(Raw_Load_Data!$B:$B,Raw_Load_Data!$C:$C,$A2)</calculatedColumnFormula>
    </tableColumn>
    <tableColumn id="5" xr3:uid="{0F556235-B808-455F-A4DE-16EB91AAAF1C}" name="Min_Demand_kW">
      <calculatedColumnFormula>_xlfn.MINIFS(Raw_Load_Data!$B:$B,Raw_Load_Data!$C:$C,$A2)</calculatedColumnFormula>
    </tableColumn>
    <tableColumn id="6" xr3:uid="{72589DF1-70EA-46B6-8EF7-FB374B7DA1AF}" name="Load_Factor">
      <calculatedColumnFormula>D2/C2</calculatedColumnFormula>
    </tableColumn>
    <tableColumn id="7" xr3:uid="{EFB783D3-BB49-4D24-80AA-0ABBBCEEE577}" name="Daily_Cost">
      <calculatedColumnFormula>B2*Assumptions!$B$3+Assumptions!$B$4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93F31E-195B-453D-89D5-7DE2C781D502}" name="SolarAnalysis" displayName="SolarAnalysis" ref="A1:G1441" totalsRowShown="0">
  <autoFilter ref="A1:G1441" xr:uid="{1C93F31E-195B-453D-89D5-7DE2C781D502}"/>
  <tableColumns count="7">
    <tableColumn id="1" xr3:uid="{C86BD310-8833-4E97-B31C-8D25EDF92807}" name="Date/Time" dataDxfId="0">
      <calculatedColumnFormula>Raw_Load_Data!A2</calculatedColumnFormula>
    </tableColumn>
    <tableColumn id="2" xr3:uid="{51E2FBE7-CF89-4AF9-AC75-D25941FBB6B9}" name="Building_Demand_Kw">
      <calculatedColumnFormula>Raw_Load_Data!B2</calculatedColumnFormula>
    </tableColumn>
    <tableColumn id="3" xr3:uid="{593FC711-99DA-4221-8959-F2477B0D60D8}" name="Solar_Generation_Kw">
      <calculatedColumnFormula>MAX(0,IF(AND(HOUR(A2)&gt;=6,HOUR(A2)&lt;=18),Assumptions!$B$8*SIN(PI()*(HOUR(A2)+MINUTE(A2)/60-6)/12),0))</calculatedColumnFormula>
    </tableColumn>
    <tableColumn id="4" xr3:uid="{526A08DB-8E94-4689-8160-688EADC7F032}" name="Net_Grid_Demand_kW">
      <calculatedColumnFormula>B2-C2</calculatedColumnFormula>
    </tableColumn>
    <tableColumn id="5" xr3:uid="{5F189709-F42F-4365-944C-0D1B9CC4D652}" name="Solar_Self_Consumed_kWh">
      <calculatedColumnFormula>MIN(B2,C2)*Assumptions!$B$2</calculatedColumnFormula>
    </tableColumn>
    <tableColumn id="6" xr3:uid="{A43F2CF3-2E14-4295-A167-F3A183E773E6}" name="Export_kWh">
      <calculatedColumnFormula>MAX(C2-B2,0)*Assumptions!$B$2</calculatedColumnFormula>
    </tableColumn>
    <tableColumn id="7" xr3:uid="{2C6D1B98-42B2-4A5F-96AF-F8AC06BBF7F5}" name="Grid_Import_kWh">
      <calculatedColumnFormula>MAX(B2-C2,0)*Assumptions!$B$2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10C4B-03C5-4070-880D-0309A0093E8B}">
  <dimension ref="A1:C9"/>
  <sheetViews>
    <sheetView workbookViewId="0">
      <selection activeCell="D14" sqref="D14"/>
    </sheetView>
  </sheetViews>
  <sheetFormatPr defaultRowHeight="14.4" x14ac:dyDescent="0.3"/>
  <cols>
    <col min="1" max="1" width="17.6640625" customWidth="1"/>
    <col min="2" max="2" width="8.21875" customWidth="1"/>
    <col min="3" max="3" width="11.44140625" customWidth="1"/>
  </cols>
  <sheetData>
    <row r="1" spans="1:3" x14ac:dyDescent="0.3">
      <c r="A1" t="s">
        <v>0</v>
      </c>
      <c r="B1" t="s">
        <v>1</v>
      </c>
      <c r="C1" t="s">
        <v>2</v>
      </c>
    </row>
    <row r="2" spans="1:3" x14ac:dyDescent="0.3">
      <c r="A2" t="s">
        <v>3</v>
      </c>
      <c r="B2" s="1">
        <v>0.5</v>
      </c>
      <c r="C2" t="s">
        <v>11</v>
      </c>
    </row>
    <row r="3" spans="1:3" x14ac:dyDescent="0.3">
      <c r="A3" t="s">
        <v>4</v>
      </c>
      <c r="B3" s="1">
        <v>0.28000000000000003</v>
      </c>
      <c r="C3" t="s">
        <v>12</v>
      </c>
    </row>
    <row r="4" spans="1:3" x14ac:dyDescent="0.3">
      <c r="A4" t="s">
        <v>5</v>
      </c>
      <c r="B4" s="1">
        <v>1.2</v>
      </c>
      <c r="C4" t="s">
        <v>13</v>
      </c>
    </row>
    <row r="5" spans="1:3" x14ac:dyDescent="0.3">
      <c r="A5" t="s">
        <v>6</v>
      </c>
      <c r="B5" s="1">
        <v>12</v>
      </c>
      <c r="C5" t="s">
        <v>14</v>
      </c>
    </row>
    <row r="6" spans="1:3" x14ac:dyDescent="0.3">
      <c r="A6" t="s">
        <v>7</v>
      </c>
      <c r="B6" s="1">
        <v>0.05</v>
      </c>
      <c r="C6" t="s">
        <v>12</v>
      </c>
    </row>
    <row r="7" spans="1:3" x14ac:dyDescent="0.3">
      <c r="A7" t="s">
        <v>8</v>
      </c>
      <c r="B7" s="1">
        <v>0.7</v>
      </c>
      <c r="C7" t="s">
        <v>15</v>
      </c>
    </row>
    <row r="8" spans="1:3" x14ac:dyDescent="0.3">
      <c r="A8" t="s">
        <v>9</v>
      </c>
      <c r="B8" s="1">
        <v>30</v>
      </c>
      <c r="C8" t="s">
        <v>16</v>
      </c>
    </row>
    <row r="9" spans="1:3" x14ac:dyDescent="0.3">
      <c r="A9" t="s">
        <v>10</v>
      </c>
      <c r="B9" s="1">
        <v>1200</v>
      </c>
      <c r="C9"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2387-B41E-439B-B341-6068689131E6}">
  <dimension ref="A1:G1441"/>
  <sheetViews>
    <sheetView workbookViewId="0">
      <pane xSplit="1" topLeftCell="B1" activePane="topRight" state="frozen"/>
      <selection activeCell="A1416" sqref="A1416"/>
      <selection pane="topRight" activeCell="I20" sqref="I20"/>
    </sheetView>
  </sheetViews>
  <sheetFormatPr defaultRowHeight="14.4" x14ac:dyDescent="0.3"/>
  <cols>
    <col min="1" max="1" width="15.109375" style="2" customWidth="1"/>
    <col min="2" max="2" width="13.33203125" customWidth="1"/>
    <col min="3" max="3" width="13.33203125" bestFit="1" customWidth="1"/>
    <col min="5" max="5" width="11.21875" customWidth="1"/>
    <col min="6" max="6" width="11" customWidth="1"/>
    <col min="7" max="7" width="12.77734375" customWidth="1"/>
  </cols>
  <sheetData>
    <row r="1" spans="1:7" x14ac:dyDescent="0.3">
      <c r="A1" s="2" t="s">
        <v>18</v>
      </c>
      <c r="B1" t="s">
        <v>19</v>
      </c>
      <c r="C1" t="s">
        <v>20</v>
      </c>
      <c r="D1" t="s">
        <v>21</v>
      </c>
      <c r="E1" t="s">
        <v>22</v>
      </c>
      <c r="F1" t="s">
        <v>23</v>
      </c>
      <c r="G1" t="s">
        <v>24</v>
      </c>
    </row>
    <row r="2" spans="1:7" x14ac:dyDescent="0.3">
      <c r="A2" s="2">
        <f>DATE(2026,7,1)+TIME(0,0,0)</f>
        <v>46204</v>
      </c>
      <c r="B2">
        <v>2.2000000000000002</v>
      </c>
      <c r="C2" s="2">
        <f>INT(A2)</f>
        <v>46204</v>
      </c>
      <c r="D2" s="1">
        <f>HOUR(A2)+MINUTE(A2)/60</f>
        <v>0</v>
      </c>
      <c r="E2" t="str">
        <f>TEXT(A2,"dddd")</f>
        <v>Wednesday</v>
      </c>
      <c r="F2">
        <f>Assumptions!$B$2</f>
        <v>0.5</v>
      </c>
      <c r="G2">
        <f>B2*F2</f>
        <v>1.1000000000000001</v>
      </c>
    </row>
    <row r="3" spans="1:7" x14ac:dyDescent="0.3">
      <c r="A3" s="2">
        <f>A2+TIME(0,30,0)</f>
        <v>46204.020833333336</v>
      </c>
      <c r="B3">
        <v>2.1</v>
      </c>
      <c r="C3" s="2">
        <f t="shared" ref="C3:C66" si="0">INT(A3)</f>
        <v>46204</v>
      </c>
      <c r="D3" s="1">
        <f t="shared" ref="D3:D66" si="1">HOUR(A3)+MINUTE(A3)/60</f>
        <v>0.5</v>
      </c>
      <c r="E3" t="str">
        <f t="shared" ref="E3:E66" si="2">TEXT(A3,"dddd")</f>
        <v>Wednesday</v>
      </c>
      <c r="F3">
        <f>Assumptions!$B$2</f>
        <v>0.5</v>
      </c>
      <c r="G3">
        <f t="shared" ref="G3:G66" si="3">B3*F3</f>
        <v>1.05</v>
      </c>
    </row>
    <row r="4" spans="1:7" x14ac:dyDescent="0.3">
      <c r="A4" s="2">
        <f t="shared" ref="A4:A67" si="4">A3+TIME(0,30,0)</f>
        <v>46204.041666666672</v>
      </c>
      <c r="B4">
        <v>1.9</v>
      </c>
      <c r="C4" s="2">
        <f t="shared" si="0"/>
        <v>46204</v>
      </c>
      <c r="D4" s="1">
        <f t="shared" si="1"/>
        <v>1</v>
      </c>
      <c r="E4" t="str">
        <f t="shared" si="2"/>
        <v>Wednesday</v>
      </c>
      <c r="F4">
        <f>Assumptions!$B$2</f>
        <v>0.5</v>
      </c>
      <c r="G4">
        <f t="shared" si="3"/>
        <v>0.95</v>
      </c>
    </row>
    <row r="5" spans="1:7" x14ac:dyDescent="0.3">
      <c r="A5" s="2">
        <f t="shared" si="4"/>
        <v>46204.062500000007</v>
      </c>
      <c r="B5">
        <v>2.5</v>
      </c>
      <c r="C5" s="2">
        <f t="shared" si="0"/>
        <v>46204</v>
      </c>
      <c r="D5" s="1">
        <f t="shared" si="1"/>
        <v>1.5</v>
      </c>
      <c r="E5" t="str">
        <f t="shared" si="2"/>
        <v>Wednesday</v>
      </c>
      <c r="F5">
        <f>Assumptions!$B$2</f>
        <v>0.5</v>
      </c>
      <c r="G5">
        <f t="shared" si="3"/>
        <v>1.25</v>
      </c>
    </row>
    <row r="6" spans="1:7" x14ac:dyDescent="0.3">
      <c r="A6" s="2">
        <f t="shared" si="4"/>
        <v>46204.083333333343</v>
      </c>
      <c r="B6">
        <v>2.1</v>
      </c>
      <c r="C6" s="2">
        <f t="shared" si="0"/>
        <v>46204</v>
      </c>
      <c r="D6" s="1">
        <f t="shared" si="1"/>
        <v>2</v>
      </c>
      <c r="E6" t="str">
        <f t="shared" si="2"/>
        <v>Wednesday</v>
      </c>
      <c r="F6">
        <f>Assumptions!$B$2</f>
        <v>0.5</v>
      </c>
      <c r="G6">
        <f t="shared" si="3"/>
        <v>1.05</v>
      </c>
    </row>
    <row r="7" spans="1:7" x14ac:dyDescent="0.3">
      <c r="A7" s="2">
        <f t="shared" si="4"/>
        <v>46204.104166666679</v>
      </c>
      <c r="B7">
        <v>2.9</v>
      </c>
      <c r="C7" s="2">
        <f t="shared" si="0"/>
        <v>46204</v>
      </c>
      <c r="D7" s="1">
        <f t="shared" si="1"/>
        <v>2.5</v>
      </c>
      <c r="E7" t="str">
        <f t="shared" si="2"/>
        <v>Wednesday</v>
      </c>
      <c r="F7">
        <f>Assumptions!$B$2</f>
        <v>0.5</v>
      </c>
      <c r="G7">
        <f t="shared" si="3"/>
        <v>1.45</v>
      </c>
    </row>
    <row r="8" spans="1:7" x14ac:dyDescent="0.3">
      <c r="A8" s="2">
        <f t="shared" si="4"/>
        <v>46204.125000000015</v>
      </c>
      <c r="B8">
        <v>2.6</v>
      </c>
      <c r="C8" s="2">
        <f t="shared" si="0"/>
        <v>46204</v>
      </c>
      <c r="D8" s="1">
        <f t="shared" si="1"/>
        <v>3</v>
      </c>
      <c r="E8" t="str">
        <f t="shared" si="2"/>
        <v>Wednesday</v>
      </c>
      <c r="F8">
        <f>Assumptions!$B$2</f>
        <v>0.5</v>
      </c>
      <c r="G8">
        <f t="shared" si="3"/>
        <v>1.3</v>
      </c>
    </row>
    <row r="9" spans="1:7" x14ac:dyDescent="0.3">
      <c r="A9" s="2">
        <f t="shared" si="4"/>
        <v>46204.14583333335</v>
      </c>
      <c r="B9">
        <v>1.9</v>
      </c>
      <c r="C9" s="2">
        <f t="shared" si="0"/>
        <v>46204</v>
      </c>
      <c r="D9" s="1">
        <f t="shared" si="1"/>
        <v>3.5</v>
      </c>
      <c r="E9" t="str">
        <f t="shared" si="2"/>
        <v>Wednesday</v>
      </c>
      <c r="F9">
        <f>Assumptions!$B$2</f>
        <v>0.5</v>
      </c>
      <c r="G9">
        <f t="shared" si="3"/>
        <v>0.95</v>
      </c>
    </row>
    <row r="10" spans="1:7" x14ac:dyDescent="0.3">
      <c r="A10" s="2">
        <f t="shared" si="4"/>
        <v>46204.166666666686</v>
      </c>
      <c r="B10">
        <v>2.8</v>
      </c>
      <c r="C10" s="2">
        <f t="shared" si="0"/>
        <v>46204</v>
      </c>
      <c r="D10" s="1">
        <f t="shared" si="1"/>
        <v>4</v>
      </c>
      <c r="E10" t="str">
        <f t="shared" si="2"/>
        <v>Wednesday</v>
      </c>
      <c r="F10">
        <f>Assumptions!$B$2</f>
        <v>0.5</v>
      </c>
      <c r="G10">
        <f t="shared" si="3"/>
        <v>1.4</v>
      </c>
    </row>
    <row r="11" spans="1:7" x14ac:dyDescent="0.3">
      <c r="A11" s="2">
        <f t="shared" si="4"/>
        <v>46204.187500000022</v>
      </c>
      <c r="B11">
        <v>1.9</v>
      </c>
      <c r="C11" s="2">
        <f t="shared" si="0"/>
        <v>46204</v>
      </c>
      <c r="D11" s="1">
        <f t="shared" si="1"/>
        <v>4.5</v>
      </c>
      <c r="E11" t="str">
        <f t="shared" si="2"/>
        <v>Wednesday</v>
      </c>
      <c r="F11">
        <f>Assumptions!$B$2</f>
        <v>0.5</v>
      </c>
      <c r="G11">
        <f t="shared" si="3"/>
        <v>0.95</v>
      </c>
    </row>
    <row r="12" spans="1:7" x14ac:dyDescent="0.3">
      <c r="A12" s="2">
        <f t="shared" si="4"/>
        <v>46204.208333333358</v>
      </c>
      <c r="B12">
        <v>2.6</v>
      </c>
      <c r="C12" s="2">
        <f t="shared" si="0"/>
        <v>46204</v>
      </c>
      <c r="D12" s="1">
        <f t="shared" si="1"/>
        <v>5</v>
      </c>
      <c r="E12" t="str">
        <f t="shared" si="2"/>
        <v>Wednesday</v>
      </c>
      <c r="F12">
        <f>Assumptions!$B$2</f>
        <v>0.5</v>
      </c>
      <c r="G12">
        <f t="shared" si="3"/>
        <v>1.3</v>
      </c>
    </row>
    <row r="13" spans="1:7" x14ac:dyDescent="0.3">
      <c r="A13" s="2">
        <f t="shared" si="4"/>
        <v>46204.229166666693</v>
      </c>
      <c r="B13">
        <v>1.8</v>
      </c>
      <c r="C13" s="2">
        <f t="shared" si="0"/>
        <v>46204</v>
      </c>
      <c r="D13" s="1">
        <f t="shared" si="1"/>
        <v>5.5</v>
      </c>
      <c r="E13" t="str">
        <f t="shared" si="2"/>
        <v>Wednesday</v>
      </c>
      <c r="F13">
        <f>Assumptions!$B$2</f>
        <v>0.5</v>
      </c>
      <c r="G13">
        <f t="shared" si="3"/>
        <v>0.9</v>
      </c>
    </row>
    <row r="14" spans="1:7" x14ac:dyDescent="0.3">
      <c r="A14" s="2">
        <f t="shared" si="4"/>
        <v>46204.250000000029</v>
      </c>
      <c r="B14">
        <v>7.7</v>
      </c>
      <c r="C14" s="2">
        <f t="shared" si="0"/>
        <v>46204</v>
      </c>
      <c r="D14" s="1">
        <f t="shared" si="1"/>
        <v>6</v>
      </c>
      <c r="E14" t="str">
        <f t="shared" si="2"/>
        <v>Wednesday</v>
      </c>
      <c r="F14">
        <f>Assumptions!$B$2</f>
        <v>0.5</v>
      </c>
      <c r="G14">
        <f t="shared" si="3"/>
        <v>3.85</v>
      </c>
    </row>
    <row r="15" spans="1:7" x14ac:dyDescent="0.3">
      <c r="A15" s="2">
        <f t="shared" si="4"/>
        <v>46204.270833333365</v>
      </c>
      <c r="B15">
        <v>6</v>
      </c>
      <c r="C15" s="2">
        <f t="shared" si="0"/>
        <v>46204</v>
      </c>
      <c r="D15" s="1">
        <f t="shared" si="1"/>
        <v>6.5</v>
      </c>
      <c r="E15" t="str">
        <f t="shared" si="2"/>
        <v>Wednesday</v>
      </c>
      <c r="F15">
        <f>Assumptions!$B$2</f>
        <v>0.5</v>
      </c>
      <c r="G15">
        <f t="shared" si="3"/>
        <v>3</v>
      </c>
    </row>
    <row r="16" spans="1:7" x14ac:dyDescent="0.3">
      <c r="A16" s="2">
        <f t="shared" si="4"/>
        <v>46204.291666666701</v>
      </c>
      <c r="B16">
        <v>6.5</v>
      </c>
      <c r="C16" s="2">
        <f t="shared" si="0"/>
        <v>46204</v>
      </c>
      <c r="D16" s="1">
        <f t="shared" si="1"/>
        <v>7</v>
      </c>
      <c r="E16" t="str">
        <f t="shared" si="2"/>
        <v>Wednesday</v>
      </c>
      <c r="F16">
        <f>Assumptions!$B$2</f>
        <v>0.5</v>
      </c>
      <c r="G16">
        <f t="shared" si="3"/>
        <v>3.25</v>
      </c>
    </row>
    <row r="17" spans="1:7" x14ac:dyDescent="0.3">
      <c r="A17" s="2">
        <f t="shared" si="4"/>
        <v>46204.312500000036</v>
      </c>
      <c r="B17">
        <v>4.2</v>
      </c>
      <c r="C17" s="2">
        <f t="shared" si="0"/>
        <v>46204</v>
      </c>
      <c r="D17" s="1">
        <f t="shared" si="1"/>
        <v>7.5</v>
      </c>
      <c r="E17" t="str">
        <f t="shared" si="2"/>
        <v>Wednesday</v>
      </c>
      <c r="F17">
        <f>Assumptions!$B$2</f>
        <v>0.5</v>
      </c>
      <c r="G17">
        <f t="shared" si="3"/>
        <v>2.1</v>
      </c>
    </row>
    <row r="18" spans="1:7" x14ac:dyDescent="0.3">
      <c r="A18" s="2">
        <f t="shared" si="4"/>
        <v>46204.333333333372</v>
      </c>
      <c r="B18">
        <v>13.5</v>
      </c>
      <c r="C18" s="2">
        <f t="shared" si="0"/>
        <v>46204</v>
      </c>
      <c r="D18" s="1">
        <f t="shared" si="1"/>
        <v>8</v>
      </c>
      <c r="E18" t="str">
        <f t="shared" si="2"/>
        <v>Wednesday</v>
      </c>
      <c r="F18">
        <f>Assumptions!$B$2</f>
        <v>0.5</v>
      </c>
      <c r="G18">
        <f t="shared" si="3"/>
        <v>6.75</v>
      </c>
    </row>
    <row r="19" spans="1:7" x14ac:dyDescent="0.3">
      <c r="A19" s="2">
        <f t="shared" si="4"/>
        <v>46204.354166666708</v>
      </c>
      <c r="B19">
        <v>13</v>
      </c>
      <c r="C19" s="2">
        <f t="shared" si="0"/>
        <v>46204</v>
      </c>
      <c r="D19" s="1">
        <f t="shared" si="1"/>
        <v>8.5</v>
      </c>
      <c r="E19" t="str">
        <f t="shared" si="2"/>
        <v>Wednesday</v>
      </c>
      <c r="F19">
        <f>Assumptions!$B$2</f>
        <v>0.5</v>
      </c>
      <c r="G19">
        <f t="shared" si="3"/>
        <v>6.5</v>
      </c>
    </row>
    <row r="20" spans="1:7" x14ac:dyDescent="0.3">
      <c r="A20" s="2">
        <f t="shared" si="4"/>
        <v>46204.375000000044</v>
      </c>
      <c r="B20">
        <v>21</v>
      </c>
      <c r="C20" s="2">
        <f t="shared" si="0"/>
        <v>46204</v>
      </c>
      <c r="D20" s="1">
        <f t="shared" si="1"/>
        <v>9</v>
      </c>
      <c r="E20" t="str">
        <f t="shared" si="2"/>
        <v>Wednesday</v>
      </c>
      <c r="F20">
        <f>Assumptions!$B$2</f>
        <v>0.5</v>
      </c>
      <c r="G20">
        <f t="shared" si="3"/>
        <v>10.5</v>
      </c>
    </row>
    <row r="21" spans="1:7" x14ac:dyDescent="0.3">
      <c r="A21" s="2">
        <f t="shared" si="4"/>
        <v>46204.395833333379</v>
      </c>
      <c r="B21">
        <v>14.8</v>
      </c>
      <c r="C21" s="2">
        <f t="shared" si="0"/>
        <v>46204</v>
      </c>
      <c r="D21" s="1">
        <f t="shared" si="1"/>
        <v>9.5</v>
      </c>
      <c r="E21" t="str">
        <f t="shared" si="2"/>
        <v>Wednesday</v>
      </c>
      <c r="F21">
        <f>Assumptions!$B$2</f>
        <v>0.5</v>
      </c>
      <c r="G21">
        <f t="shared" si="3"/>
        <v>7.4</v>
      </c>
    </row>
    <row r="22" spans="1:7" x14ac:dyDescent="0.3">
      <c r="A22" s="2">
        <f t="shared" si="4"/>
        <v>46204.416666666715</v>
      </c>
      <c r="B22">
        <v>14.2</v>
      </c>
      <c r="C22" s="2">
        <f t="shared" si="0"/>
        <v>46204</v>
      </c>
      <c r="D22" s="1">
        <f t="shared" si="1"/>
        <v>10</v>
      </c>
      <c r="E22" t="str">
        <f t="shared" si="2"/>
        <v>Wednesday</v>
      </c>
      <c r="F22">
        <f>Assumptions!$B$2</f>
        <v>0.5</v>
      </c>
      <c r="G22">
        <f t="shared" si="3"/>
        <v>7.1</v>
      </c>
    </row>
    <row r="23" spans="1:7" x14ac:dyDescent="0.3">
      <c r="A23" s="2">
        <f t="shared" si="4"/>
        <v>46204.437500000051</v>
      </c>
      <c r="B23">
        <v>13.5</v>
      </c>
      <c r="C23" s="2">
        <f t="shared" si="0"/>
        <v>46204</v>
      </c>
      <c r="D23" s="1">
        <f t="shared" si="1"/>
        <v>10.5</v>
      </c>
      <c r="E23" t="str">
        <f t="shared" si="2"/>
        <v>Wednesday</v>
      </c>
      <c r="F23">
        <f>Assumptions!$B$2</f>
        <v>0.5</v>
      </c>
      <c r="G23">
        <f t="shared" si="3"/>
        <v>6.75</v>
      </c>
    </row>
    <row r="24" spans="1:7" x14ac:dyDescent="0.3">
      <c r="A24" s="2">
        <f t="shared" si="4"/>
        <v>46204.458333333387</v>
      </c>
      <c r="B24">
        <v>21.9</v>
      </c>
      <c r="C24" s="2">
        <f t="shared" si="0"/>
        <v>46204</v>
      </c>
      <c r="D24" s="1">
        <f t="shared" si="1"/>
        <v>11</v>
      </c>
      <c r="E24" t="str">
        <f t="shared" si="2"/>
        <v>Wednesday</v>
      </c>
      <c r="F24">
        <f>Assumptions!$B$2</f>
        <v>0.5</v>
      </c>
      <c r="G24">
        <f t="shared" si="3"/>
        <v>10.95</v>
      </c>
    </row>
    <row r="25" spans="1:7" x14ac:dyDescent="0.3">
      <c r="A25" s="2">
        <f t="shared" si="4"/>
        <v>46204.479166666722</v>
      </c>
      <c r="B25">
        <v>18.5</v>
      </c>
      <c r="C25" s="2">
        <f t="shared" si="0"/>
        <v>46204</v>
      </c>
      <c r="D25" s="1">
        <f t="shared" si="1"/>
        <v>11.5</v>
      </c>
      <c r="E25" t="str">
        <f t="shared" si="2"/>
        <v>Wednesday</v>
      </c>
      <c r="F25">
        <f>Assumptions!$B$2</f>
        <v>0.5</v>
      </c>
      <c r="G25">
        <f t="shared" si="3"/>
        <v>9.25</v>
      </c>
    </row>
    <row r="26" spans="1:7" x14ac:dyDescent="0.3">
      <c r="A26" s="2">
        <f t="shared" si="4"/>
        <v>46204.500000000058</v>
      </c>
      <c r="B26">
        <v>19.600000000000001</v>
      </c>
      <c r="C26" s="2">
        <f t="shared" si="0"/>
        <v>46204</v>
      </c>
      <c r="D26" s="1">
        <f t="shared" si="1"/>
        <v>12</v>
      </c>
      <c r="E26" t="str">
        <f t="shared" si="2"/>
        <v>Wednesday</v>
      </c>
      <c r="F26">
        <f>Assumptions!$B$2</f>
        <v>0.5</v>
      </c>
      <c r="G26">
        <f t="shared" si="3"/>
        <v>9.8000000000000007</v>
      </c>
    </row>
    <row r="27" spans="1:7" x14ac:dyDescent="0.3">
      <c r="A27" s="2">
        <f t="shared" si="4"/>
        <v>46204.520833333394</v>
      </c>
      <c r="B27">
        <v>29.6</v>
      </c>
      <c r="C27" s="2">
        <f t="shared" si="0"/>
        <v>46204</v>
      </c>
      <c r="D27" s="1">
        <f t="shared" si="1"/>
        <v>12.5</v>
      </c>
      <c r="E27" t="str">
        <f t="shared" si="2"/>
        <v>Wednesday</v>
      </c>
      <c r="F27">
        <f>Assumptions!$B$2</f>
        <v>0.5</v>
      </c>
      <c r="G27">
        <f t="shared" si="3"/>
        <v>14.8</v>
      </c>
    </row>
    <row r="28" spans="1:7" x14ac:dyDescent="0.3">
      <c r="A28" s="2">
        <f t="shared" si="4"/>
        <v>46204.54166666673</v>
      </c>
      <c r="B28">
        <v>33.299999999999997</v>
      </c>
      <c r="C28" s="2">
        <f t="shared" si="0"/>
        <v>46204</v>
      </c>
      <c r="D28" s="1">
        <f t="shared" si="1"/>
        <v>13</v>
      </c>
      <c r="E28" t="str">
        <f t="shared" si="2"/>
        <v>Wednesday</v>
      </c>
      <c r="F28">
        <f>Assumptions!$B$2</f>
        <v>0.5</v>
      </c>
      <c r="G28">
        <f t="shared" si="3"/>
        <v>16.649999999999999</v>
      </c>
    </row>
    <row r="29" spans="1:7" x14ac:dyDescent="0.3">
      <c r="A29" s="2">
        <f t="shared" si="4"/>
        <v>46204.562500000065</v>
      </c>
      <c r="B29">
        <v>32.200000000000003</v>
      </c>
      <c r="C29" s="2">
        <f t="shared" si="0"/>
        <v>46204</v>
      </c>
      <c r="D29" s="1">
        <f t="shared" si="1"/>
        <v>13.5</v>
      </c>
      <c r="E29" t="str">
        <f t="shared" si="2"/>
        <v>Wednesday</v>
      </c>
      <c r="F29">
        <f>Assumptions!$B$2</f>
        <v>0.5</v>
      </c>
      <c r="G29">
        <f t="shared" si="3"/>
        <v>16.100000000000001</v>
      </c>
    </row>
    <row r="30" spans="1:7" x14ac:dyDescent="0.3">
      <c r="A30" s="2">
        <f t="shared" si="4"/>
        <v>46204.583333333401</v>
      </c>
      <c r="B30">
        <v>21.1</v>
      </c>
      <c r="C30" s="2">
        <f t="shared" si="0"/>
        <v>46204</v>
      </c>
      <c r="D30" s="1">
        <f t="shared" si="1"/>
        <v>14</v>
      </c>
      <c r="E30" t="str">
        <f t="shared" si="2"/>
        <v>Wednesday</v>
      </c>
      <c r="F30">
        <f>Assumptions!$B$2</f>
        <v>0.5</v>
      </c>
      <c r="G30">
        <f t="shared" si="3"/>
        <v>10.55</v>
      </c>
    </row>
    <row r="31" spans="1:7" x14ac:dyDescent="0.3">
      <c r="A31" s="2">
        <f t="shared" si="4"/>
        <v>46204.604166666737</v>
      </c>
      <c r="B31">
        <v>22.7</v>
      </c>
      <c r="C31" s="2">
        <f t="shared" si="0"/>
        <v>46204</v>
      </c>
      <c r="D31" s="1">
        <f t="shared" si="1"/>
        <v>14.5</v>
      </c>
      <c r="E31" t="str">
        <f t="shared" si="2"/>
        <v>Wednesday</v>
      </c>
      <c r="F31">
        <f>Assumptions!$B$2</f>
        <v>0.5</v>
      </c>
      <c r="G31">
        <f t="shared" si="3"/>
        <v>11.35</v>
      </c>
    </row>
    <row r="32" spans="1:7" x14ac:dyDescent="0.3">
      <c r="A32" s="2">
        <f t="shared" si="4"/>
        <v>46204.625000000073</v>
      </c>
      <c r="B32">
        <v>23.7</v>
      </c>
      <c r="C32" s="2">
        <f t="shared" si="0"/>
        <v>46204</v>
      </c>
      <c r="D32" s="1">
        <f t="shared" si="1"/>
        <v>15</v>
      </c>
      <c r="E32" t="str">
        <f t="shared" si="2"/>
        <v>Wednesday</v>
      </c>
      <c r="F32">
        <f>Assumptions!$B$2</f>
        <v>0.5</v>
      </c>
      <c r="G32">
        <f t="shared" si="3"/>
        <v>11.85</v>
      </c>
    </row>
    <row r="33" spans="1:7" x14ac:dyDescent="0.3">
      <c r="A33" s="2">
        <f t="shared" si="4"/>
        <v>46204.645833333409</v>
      </c>
      <c r="B33">
        <v>32.9</v>
      </c>
      <c r="C33" s="2">
        <f t="shared" si="0"/>
        <v>46204</v>
      </c>
      <c r="D33" s="1">
        <f t="shared" si="1"/>
        <v>15.5</v>
      </c>
      <c r="E33" t="str">
        <f t="shared" si="2"/>
        <v>Wednesday</v>
      </c>
      <c r="F33">
        <f>Assumptions!$B$2</f>
        <v>0.5</v>
      </c>
      <c r="G33">
        <f t="shared" si="3"/>
        <v>16.45</v>
      </c>
    </row>
    <row r="34" spans="1:7" x14ac:dyDescent="0.3">
      <c r="A34" s="2">
        <f t="shared" si="4"/>
        <v>46204.666666666744</v>
      </c>
      <c r="B34">
        <v>20</v>
      </c>
      <c r="C34" s="2">
        <f t="shared" si="0"/>
        <v>46204</v>
      </c>
      <c r="D34" s="1">
        <f t="shared" si="1"/>
        <v>16</v>
      </c>
      <c r="E34" t="str">
        <f t="shared" si="2"/>
        <v>Wednesday</v>
      </c>
      <c r="F34">
        <f>Assumptions!$B$2</f>
        <v>0.5</v>
      </c>
      <c r="G34">
        <f t="shared" si="3"/>
        <v>10</v>
      </c>
    </row>
    <row r="35" spans="1:7" x14ac:dyDescent="0.3">
      <c r="A35" s="2">
        <f t="shared" si="4"/>
        <v>46204.68750000008</v>
      </c>
      <c r="B35">
        <v>17.2</v>
      </c>
      <c r="C35" s="2">
        <f t="shared" si="0"/>
        <v>46204</v>
      </c>
      <c r="D35" s="1">
        <f t="shared" si="1"/>
        <v>16.5</v>
      </c>
      <c r="E35" t="str">
        <f t="shared" si="2"/>
        <v>Wednesday</v>
      </c>
      <c r="F35">
        <f>Assumptions!$B$2</f>
        <v>0.5</v>
      </c>
      <c r="G35">
        <f t="shared" si="3"/>
        <v>8.6</v>
      </c>
    </row>
    <row r="36" spans="1:7" x14ac:dyDescent="0.3">
      <c r="A36" s="2">
        <f t="shared" si="4"/>
        <v>46204.708333333416</v>
      </c>
      <c r="B36">
        <v>19.100000000000001</v>
      </c>
      <c r="C36" s="2">
        <f t="shared" si="0"/>
        <v>46204</v>
      </c>
      <c r="D36" s="1">
        <f t="shared" si="1"/>
        <v>17</v>
      </c>
      <c r="E36" t="str">
        <f t="shared" si="2"/>
        <v>Wednesday</v>
      </c>
      <c r="F36">
        <f>Assumptions!$B$2</f>
        <v>0.5</v>
      </c>
      <c r="G36">
        <f t="shared" si="3"/>
        <v>9.5500000000000007</v>
      </c>
    </row>
    <row r="37" spans="1:7" x14ac:dyDescent="0.3">
      <c r="A37" s="2">
        <f t="shared" si="4"/>
        <v>46204.729166666752</v>
      </c>
      <c r="B37">
        <v>18.600000000000001</v>
      </c>
      <c r="C37" s="2">
        <f t="shared" si="0"/>
        <v>46204</v>
      </c>
      <c r="D37" s="1">
        <f t="shared" si="1"/>
        <v>17.5</v>
      </c>
      <c r="E37" t="str">
        <f t="shared" si="2"/>
        <v>Wednesday</v>
      </c>
      <c r="F37">
        <f>Assumptions!$B$2</f>
        <v>0.5</v>
      </c>
      <c r="G37">
        <f t="shared" si="3"/>
        <v>9.3000000000000007</v>
      </c>
    </row>
    <row r="38" spans="1:7" x14ac:dyDescent="0.3">
      <c r="A38" s="2">
        <f t="shared" si="4"/>
        <v>46204.750000000087</v>
      </c>
      <c r="B38">
        <v>17.899999999999999</v>
      </c>
      <c r="C38" s="2">
        <f t="shared" si="0"/>
        <v>46204</v>
      </c>
      <c r="D38" s="1">
        <f t="shared" si="1"/>
        <v>18</v>
      </c>
      <c r="E38" t="str">
        <f t="shared" si="2"/>
        <v>Wednesday</v>
      </c>
      <c r="F38">
        <f>Assumptions!$B$2</f>
        <v>0.5</v>
      </c>
      <c r="G38">
        <f t="shared" si="3"/>
        <v>8.9499999999999993</v>
      </c>
    </row>
    <row r="39" spans="1:7" x14ac:dyDescent="0.3">
      <c r="A39" s="2">
        <f t="shared" si="4"/>
        <v>46204.770833333423</v>
      </c>
      <c r="B39">
        <v>13.2</v>
      </c>
      <c r="C39" s="2">
        <f t="shared" si="0"/>
        <v>46204</v>
      </c>
      <c r="D39" s="1">
        <f t="shared" si="1"/>
        <v>18.5</v>
      </c>
      <c r="E39" t="str">
        <f t="shared" si="2"/>
        <v>Wednesday</v>
      </c>
      <c r="F39">
        <f>Assumptions!$B$2</f>
        <v>0.5</v>
      </c>
      <c r="G39">
        <f t="shared" si="3"/>
        <v>6.6</v>
      </c>
    </row>
    <row r="40" spans="1:7" x14ac:dyDescent="0.3">
      <c r="A40" s="2">
        <f t="shared" si="4"/>
        <v>46204.791666666759</v>
      </c>
      <c r="B40">
        <v>6.5</v>
      </c>
      <c r="C40" s="2">
        <f t="shared" si="0"/>
        <v>46204</v>
      </c>
      <c r="D40" s="1">
        <f t="shared" si="1"/>
        <v>19</v>
      </c>
      <c r="E40" t="str">
        <f t="shared" si="2"/>
        <v>Wednesday</v>
      </c>
      <c r="F40">
        <f>Assumptions!$B$2</f>
        <v>0.5</v>
      </c>
      <c r="G40">
        <f t="shared" si="3"/>
        <v>3.25</v>
      </c>
    </row>
    <row r="41" spans="1:7" x14ac:dyDescent="0.3">
      <c r="A41" s="2">
        <f t="shared" si="4"/>
        <v>46204.812500000095</v>
      </c>
      <c r="B41">
        <v>3.3</v>
      </c>
      <c r="C41" s="2">
        <f t="shared" si="0"/>
        <v>46204</v>
      </c>
      <c r="D41" s="1">
        <f t="shared" si="1"/>
        <v>19.5</v>
      </c>
      <c r="E41" t="str">
        <f t="shared" si="2"/>
        <v>Wednesday</v>
      </c>
      <c r="F41">
        <f>Assumptions!$B$2</f>
        <v>0.5</v>
      </c>
      <c r="G41">
        <f t="shared" si="3"/>
        <v>1.65</v>
      </c>
    </row>
    <row r="42" spans="1:7" x14ac:dyDescent="0.3">
      <c r="A42" s="2">
        <f t="shared" si="4"/>
        <v>46204.83333333343</v>
      </c>
      <c r="B42">
        <v>5.5</v>
      </c>
      <c r="C42" s="2">
        <f t="shared" si="0"/>
        <v>46204</v>
      </c>
      <c r="D42" s="1">
        <f t="shared" si="1"/>
        <v>20</v>
      </c>
      <c r="E42" t="str">
        <f t="shared" si="2"/>
        <v>Wednesday</v>
      </c>
      <c r="F42">
        <f>Assumptions!$B$2</f>
        <v>0.5</v>
      </c>
      <c r="G42">
        <f t="shared" si="3"/>
        <v>2.75</v>
      </c>
    </row>
    <row r="43" spans="1:7" x14ac:dyDescent="0.3">
      <c r="A43" s="2">
        <f t="shared" si="4"/>
        <v>46204.854166666766</v>
      </c>
      <c r="B43">
        <v>6</v>
      </c>
      <c r="C43" s="2">
        <f t="shared" si="0"/>
        <v>46204</v>
      </c>
      <c r="D43" s="1">
        <f t="shared" si="1"/>
        <v>20.5</v>
      </c>
      <c r="E43" t="str">
        <f t="shared" si="2"/>
        <v>Wednesday</v>
      </c>
      <c r="F43">
        <f>Assumptions!$B$2</f>
        <v>0.5</v>
      </c>
      <c r="G43">
        <f t="shared" si="3"/>
        <v>3</v>
      </c>
    </row>
    <row r="44" spans="1:7" x14ac:dyDescent="0.3">
      <c r="A44" s="2">
        <f t="shared" si="4"/>
        <v>46204.875000000102</v>
      </c>
      <c r="B44">
        <v>4</v>
      </c>
      <c r="C44" s="2">
        <f t="shared" si="0"/>
        <v>46204</v>
      </c>
      <c r="D44" s="1">
        <f t="shared" si="1"/>
        <v>21</v>
      </c>
      <c r="E44" t="str">
        <f t="shared" si="2"/>
        <v>Wednesday</v>
      </c>
      <c r="F44">
        <f>Assumptions!$B$2</f>
        <v>0.5</v>
      </c>
      <c r="G44">
        <f t="shared" si="3"/>
        <v>2</v>
      </c>
    </row>
    <row r="45" spans="1:7" x14ac:dyDescent="0.3">
      <c r="A45" s="2">
        <f t="shared" si="4"/>
        <v>46204.895833333438</v>
      </c>
      <c r="B45">
        <v>4.4000000000000004</v>
      </c>
      <c r="C45" s="2">
        <f t="shared" si="0"/>
        <v>46204</v>
      </c>
      <c r="D45" s="1">
        <f t="shared" si="1"/>
        <v>21.5</v>
      </c>
      <c r="E45" t="str">
        <f t="shared" si="2"/>
        <v>Wednesday</v>
      </c>
      <c r="F45">
        <f>Assumptions!$B$2</f>
        <v>0.5</v>
      </c>
      <c r="G45">
        <f t="shared" si="3"/>
        <v>2.2000000000000002</v>
      </c>
    </row>
    <row r="46" spans="1:7" x14ac:dyDescent="0.3">
      <c r="A46" s="2">
        <f t="shared" si="4"/>
        <v>46204.916666666773</v>
      </c>
      <c r="B46">
        <v>6.5</v>
      </c>
      <c r="C46" s="2">
        <f t="shared" si="0"/>
        <v>46204</v>
      </c>
      <c r="D46" s="1">
        <f t="shared" si="1"/>
        <v>22</v>
      </c>
      <c r="E46" t="str">
        <f t="shared" si="2"/>
        <v>Wednesday</v>
      </c>
      <c r="F46">
        <f>Assumptions!$B$2</f>
        <v>0.5</v>
      </c>
      <c r="G46">
        <f t="shared" si="3"/>
        <v>3.25</v>
      </c>
    </row>
    <row r="47" spans="1:7" x14ac:dyDescent="0.3">
      <c r="A47" s="2">
        <f t="shared" si="4"/>
        <v>46204.937500000109</v>
      </c>
      <c r="B47">
        <v>3.1</v>
      </c>
      <c r="C47" s="2">
        <f t="shared" si="0"/>
        <v>46204</v>
      </c>
      <c r="D47" s="1">
        <f t="shared" si="1"/>
        <v>22.5</v>
      </c>
      <c r="E47" t="str">
        <f t="shared" si="2"/>
        <v>Wednesday</v>
      </c>
      <c r="F47">
        <f>Assumptions!$B$2</f>
        <v>0.5</v>
      </c>
      <c r="G47">
        <f t="shared" si="3"/>
        <v>1.55</v>
      </c>
    </row>
    <row r="48" spans="1:7" x14ac:dyDescent="0.3">
      <c r="A48" s="2">
        <f t="shared" si="4"/>
        <v>46204.958333333445</v>
      </c>
      <c r="B48">
        <v>6</v>
      </c>
      <c r="C48" s="2">
        <f t="shared" si="0"/>
        <v>46204</v>
      </c>
      <c r="D48" s="1">
        <f t="shared" si="1"/>
        <v>23</v>
      </c>
      <c r="E48" t="str">
        <f t="shared" si="2"/>
        <v>Wednesday</v>
      </c>
      <c r="F48">
        <f>Assumptions!$B$2</f>
        <v>0.5</v>
      </c>
      <c r="G48">
        <f t="shared" si="3"/>
        <v>3</v>
      </c>
    </row>
    <row r="49" spans="1:7" x14ac:dyDescent="0.3">
      <c r="A49" s="2">
        <f t="shared" si="4"/>
        <v>46204.979166666781</v>
      </c>
      <c r="B49">
        <v>4.0999999999999996</v>
      </c>
      <c r="C49" s="2">
        <f t="shared" si="0"/>
        <v>46204</v>
      </c>
      <c r="D49" s="1">
        <f t="shared" si="1"/>
        <v>23.5</v>
      </c>
      <c r="E49" t="str">
        <f t="shared" si="2"/>
        <v>Wednesday</v>
      </c>
      <c r="F49">
        <f>Assumptions!$B$2</f>
        <v>0.5</v>
      </c>
      <c r="G49">
        <f t="shared" si="3"/>
        <v>2.0499999999999998</v>
      </c>
    </row>
    <row r="50" spans="1:7" x14ac:dyDescent="0.3">
      <c r="A50" s="2">
        <f t="shared" si="4"/>
        <v>46205.000000000116</v>
      </c>
      <c r="B50">
        <v>2.7</v>
      </c>
      <c r="C50" s="2">
        <f t="shared" si="0"/>
        <v>46205</v>
      </c>
      <c r="D50" s="1">
        <f t="shared" si="1"/>
        <v>0</v>
      </c>
      <c r="E50" t="str">
        <f t="shared" si="2"/>
        <v>Thursday</v>
      </c>
      <c r="F50">
        <f>Assumptions!$B$2</f>
        <v>0.5</v>
      </c>
      <c r="G50">
        <f t="shared" si="3"/>
        <v>1.35</v>
      </c>
    </row>
    <row r="51" spans="1:7" x14ac:dyDescent="0.3">
      <c r="A51" s="2">
        <f t="shared" si="4"/>
        <v>46205.020833333452</v>
      </c>
      <c r="B51">
        <v>1.9</v>
      </c>
      <c r="C51" s="2">
        <f t="shared" si="0"/>
        <v>46205</v>
      </c>
      <c r="D51" s="1">
        <f t="shared" si="1"/>
        <v>0.5</v>
      </c>
      <c r="E51" t="str">
        <f t="shared" si="2"/>
        <v>Thursday</v>
      </c>
      <c r="F51">
        <f>Assumptions!$B$2</f>
        <v>0.5</v>
      </c>
      <c r="G51">
        <f t="shared" si="3"/>
        <v>0.95</v>
      </c>
    </row>
    <row r="52" spans="1:7" x14ac:dyDescent="0.3">
      <c r="A52" s="2">
        <f t="shared" si="4"/>
        <v>46205.041666666788</v>
      </c>
      <c r="B52">
        <v>2</v>
      </c>
      <c r="C52" s="2">
        <f t="shared" si="0"/>
        <v>46205</v>
      </c>
      <c r="D52" s="1">
        <f t="shared" si="1"/>
        <v>1</v>
      </c>
      <c r="E52" t="str">
        <f t="shared" si="2"/>
        <v>Thursday</v>
      </c>
      <c r="F52">
        <f>Assumptions!$B$2</f>
        <v>0.5</v>
      </c>
      <c r="G52">
        <f t="shared" si="3"/>
        <v>1</v>
      </c>
    </row>
    <row r="53" spans="1:7" x14ac:dyDescent="0.3">
      <c r="A53" s="2">
        <f t="shared" si="4"/>
        <v>46205.062500000124</v>
      </c>
      <c r="B53">
        <v>2.2000000000000002</v>
      </c>
      <c r="C53" s="2">
        <f t="shared" si="0"/>
        <v>46205</v>
      </c>
      <c r="D53" s="1">
        <f t="shared" si="1"/>
        <v>1.5</v>
      </c>
      <c r="E53" t="str">
        <f t="shared" si="2"/>
        <v>Thursday</v>
      </c>
      <c r="F53">
        <f>Assumptions!$B$2</f>
        <v>0.5</v>
      </c>
      <c r="G53">
        <f t="shared" si="3"/>
        <v>1.1000000000000001</v>
      </c>
    </row>
    <row r="54" spans="1:7" x14ac:dyDescent="0.3">
      <c r="A54" s="2">
        <f t="shared" si="4"/>
        <v>46205.083333333459</v>
      </c>
      <c r="B54">
        <v>1.9</v>
      </c>
      <c r="C54" s="2">
        <f t="shared" si="0"/>
        <v>46205</v>
      </c>
      <c r="D54" s="1">
        <f t="shared" si="1"/>
        <v>2</v>
      </c>
      <c r="E54" t="str">
        <f t="shared" si="2"/>
        <v>Thursday</v>
      </c>
      <c r="F54">
        <f>Assumptions!$B$2</f>
        <v>0.5</v>
      </c>
      <c r="G54">
        <f t="shared" si="3"/>
        <v>0.95</v>
      </c>
    </row>
    <row r="55" spans="1:7" x14ac:dyDescent="0.3">
      <c r="A55" s="2">
        <f t="shared" si="4"/>
        <v>46205.104166666795</v>
      </c>
      <c r="B55">
        <v>2.5</v>
      </c>
      <c r="C55" s="2">
        <f t="shared" si="0"/>
        <v>46205</v>
      </c>
      <c r="D55" s="1">
        <f t="shared" si="1"/>
        <v>2.5</v>
      </c>
      <c r="E55" t="str">
        <f t="shared" si="2"/>
        <v>Thursday</v>
      </c>
      <c r="F55">
        <f>Assumptions!$B$2</f>
        <v>0.5</v>
      </c>
      <c r="G55">
        <f t="shared" si="3"/>
        <v>1.25</v>
      </c>
    </row>
    <row r="56" spans="1:7" x14ac:dyDescent="0.3">
      <c r="A56" s="2">
        <f t="shared" si="4"/>
        <v>46205.125000000131</v>
      </c>
      <c r="B56">
        <v>2</v>
      </c>
      <c r="C56" s="2">
        <f t="shared" si="0"/>
        <v>46205</v>
      </c>
      <c r="D56" s="1">
        <f t="shared" si="1"/>
        <v>3</v>
      </c>
      <c r="E56" t="str">
        <f t="shared" si="2"/>
        <v>Thursday</v>
      </c>
      <c r="F56">
        <f>Assumptions!$B$2</f>
        <v>0.5</v>
      </c>
      <c r="G56">
        <f t="shared" si="3"/>
        <v>1</v>
      </c>
    </row>
    <row r="57" spans="1:7" x14ac:dyDescent="0.3">
      <c r="A57" s="2">
        <f t="shared" si="4"/>
        <v>46205.145833333467</v>
      </c>
      <c r="B57">
        <v>1.8</v>
      </c>
      <c r="C57" s="2">
        <f t="shared" si="0"/>
        <v>46205</v>
      </c>
      <c r="D57" s="1">
        <f t="shared" si="1"/>
        <v>3.5</v>
      </c>
      <c r="E57" t="str">
        <f t="shared" si="2"/>
        <v>Thursday</v>
      </c>
      <c r="F57">
        <f>Assumptions!$B$2</f>
        <v>0.5</v>
      </c>
      <c r="G57">
        <f t="shared" si="3"/>
        <v>0.9</v>
      </c>
    </row>
    <row r="58" spans="1:7" x14ac:dyDescent="0.3">
      <c r="A58" s="2">
        <f t="shared" si="4"/>
        <v>46205.166666666802</v>
      </c>
      <c r="B58">
        <v>1.9</v>
      </c>
      <c r="C58" s="2">
        <f t="shared" si="0"/>
        <v>46205</v>
      </c>
      <c r="D58" s="1">
        <f t="shared" si="1"/>
        <v>4</v>
      </c>
      <c r="E58" t="str">
        <f t="shared" si="2"/>
        <v>Thursday</v>
      </c>
      <c r="F58">
        <f>Assumptions!$B$2</f>
        <v>0.5</v>
      </c>
      <c r="G58">
        <f t="shared" si="3"/>
        <v>0.95</v>
      </c>
    </row>
    <row r="59" spans="1:7" x14ac:dyDescent="0.3">
      <c r="A59" s="2">
        <f t="shared" si="4"/>
        <v>46205.187500000138</v>
      </c>
      <c r="B59">
        <v>2.5</v>
      </c>
      <c r="C59" s="2">
        <f t="shared" si="0"/>
        <v>46205</v>
      </c>
      <c r="D59" s="1">
        <f t="shared" si="1"/>
        <v>4.5</v>
      </c>
      <c r="E59" t="str">
        <f t="shared" si="2"/>
        <v>Thursday</v>
      </c>
      <c r="F59">
        <f>Assumptions!$B$2</f>
        <v>0.5</v>
      </c>
      <c r="G59">
        <f t="shared" si="3"/>
        <v>1.25</v>
      </c>
    </row>
    <row r="60" spans="1:7" x14ac:dyDescent="0.3">
      <c r="A60" s="2">
        <f t="shared" si="4"/>
        <v>46205.208333333474</v>
      </c>
      <c r="B60">
        <v>1.8</v>
      </c>
      <c r="C60" s="2">
        <f t="shared" si="0"/>
        <v>46205</v>
      </c>
      <c r="D60" s="1">
        <f t="shared" si="1"/>
        <v>5</v>
      </c>
      <c r="E60" t="str">
        <f t="shared" si="2"/>
        <v>Thursday</v>
      </c>
      <c r="F60">
        <f>Assumptions!$B$2</f>
        <v>0.5</v>
      </c>
      <c r="G60">
        <f t="shared" si="3"/>
        <v>0.9</v>
      </c>
    </row>
    <row r="61" spans="1:7" x14ac:dyDescent="0.3">
      <c r="A61" s="2">
        <f t="shared" si="4"/>
        <v>46205.22916666681</v>
      </c>
      <c r="B61">
        <v>2.2999999999999998</v>
      </c>
      <c r="C61" s="2">
        <f t="shared" si="0"/>
        <v>46205</v>
      </c>
      <c r="D61" s="1">
        <f t="shared" si="1"/>
        <v>5.5</v>
      </c>
      <c r="E61" t="str">
        <f t="shared" si="2"/>
        <v>Thursday</v>
      </c>
      <c r="F61">
        <f>Assumptions!$B$2</f>
        <v>0.5</v>
      </c>
      <c r="G61">
        <f t="shared" si="3"/>
        <v>1.1499999999999999</v>
      </c>
    </row>
    <row r="62" spans="1:7" x14ac:dyDescent="0.3">
      <c r="A62" s="2">
        <f t="shared" si="4"/>
        <v>46205.250000000146</v>
      </c>
      <c r="B62">
        <v>7.5</v>
      </c>
      <c r="C62" s="2">
        <f t="shared" si="0"/>
        <v>46205</v>
      </c>
      <c r="D62" s="1">
        <f t="shared" si="1"/>
        <v>6</v>
      </c>
      <c r="E62" t="str">
        <f t="shared" si="2"/>
        <v>Thursday</v>
      </c>
      <c r="F62">
        <f>Assumptions!$B$2</f>
        <v>0.5</v>
      </c>
      <c r="G62">
        <f t="shared" si="3"/>
        <v>3.75</v>
      </c>
    </row>
    <row r="63" spans="1:7" x14ac:dyDescent="0.3">
      <c r="A63" s="2">
        <f t="shared" si="4"/>
        <v>46205.270833333481</v>
      </c>
      <c r="B63">
        <v>7.9</v>
      </c>
      <c r="C63" s="2">
        <f t="shared" si="0"/>
        <v>46205</v>
      </c>
      <c r="D63" s="1">
        <f t="shared" si="1"/>
        <v>6.5</v>
      </c>
      <c r="E63" t="str">
        <f t="shared" si="2"/>
        <v>Thursday</v>
      </c>
      <c r="F63">
        <f>Assumptions!$B$2</f>
        <v>0.5</v>
      </c>
      <c r="G63">
        <f t="shared" si="3"/>
        <v>3.95</v>
      </c>
    </row>
    <row r="64" spans="1:7" x14ac:dyDescent="0.3">
      <c r="A64" s="2">
        <f t="shared" si="4"/>
        <v>46205.291666666817</v>
      </c>
      <c r="B64">
        <v>7</v>
      </c>
      <c r="C64" s="2">
        <f t="shared" si="0"/>
        <v>46205</v>
      </c>
      <c r="D64" s="1">
        <f t="shared" si="1"/>
        <v>7</v>
      </c>
      <c r="E64" t="str">
        <f t="shared" si="2"/>
        <v>Thursday</v>
      </c>
      <c r="F64">
        <f>Assumptions!$B$2</f>
        <v>0.5</v>
      </c>
      <c r="G64">
        <f t="shared" si="3"/>
        <v>3.5</v>
      </c>
    </row>
    <row r="65" spans="1:7" x14ac:dyDescent="0.3">
      <c r="A65" s="2">
        <f t="shared" si="4"/>
        <v>46205.312500000153</v>
      </c>
      <c r="B65">
        <v>6.7</v>
      </c>
      <c r="C65" s="2">
        <f t="shared" si="0"/>
        <v>46205</v>
      </c>
      <c r="D65" s="1">
        <f t="shared" si="1"/>
        <v>7.5</v>
      </c>
      <c r="E65" t="str">
        <f t="shared" si="2"/>
        <v>Thursday</v>
      </c>
      <c r="F65">
        <f>Assumptions!$B$2</f>
        <v>0.5</v>
      </c>
      <c r="G65">
        <f t="shared" si="3"/>
        <v>3.35</v>
      </c>
    </row>
    <row r="66" spans="1:7" x14ac:dyDescent="0.3">
      <c r="A66" s="2">
        <f t="shared" si="4"/>
        <v>46205.333333333489</v>
      </c>
      <c r="B66">
        <v>19.100000000000001</v>
      </c>
      <c r="C66" s="2">
        <f t="shared" si="0"/>
        <v>46205</v>
      </c>
      <c r="D66" s="1">
        <f t="shared" si="1"/>
        <v>8</v>
      </c>
      <c r="E66" t="str">
        <f t="shared" si="2"/>
        <v>Thursday</v>
      </c>
      <c r="F66">
        <f>Assumptions!$B$2</f>
        <v>0.5</v>
      </c>
      <c r="G66">
        <f t="shared" si="3"/>
        <v>9.5500000000000007</v>
      </c>
    </row>
    <row r="67" spans="1:7" x14ac:dyDescent="0.3">
      <c r="A67" s="2">
        <f t="shared" si="4"/>
        <v>46205.354166666824</v>
      </c>
      <c r="B67">
        <v>14.2</v>
      </c>
      <c r="C67" s="2">
        <f t="shared" ref="C67:C130" si="5">INT(A67)</f>
        <v>46205</v>
      </c>
      <c r="D67" s="1">
        <f t="shared" ref="D67:D130" si="6">HOUR(A67)+MINUTE(A67)/60</f>
        <v>8.5</v>
      </c>
      <c r="E67" t="str">
        <f t="shared" ref="E67:E130" si="7">TEXT(A67,"dddd")</f>
        <v>Thursday</v>
      </c>
      <c r="F67">
        <f>Assumptions!$B$2</f>
        <v>0.5</v>
      </c>
      <c r="G67">
        <f t="shared" ref="G67:G130" si="8">B67*F67</f>
        <v>7.1</v>
      </c>
    </row>
    <row r="68" spans="1:7" x14ac:dyDescent="0.3">
      <c r="A68" s="2">
        <f t="shared" ref="A68:A131" si="9">A67+TIME(0,30,0)</f>
        <v>46205.37500000016</v>
      </c>
      <c r="B68">
        <v>21.5</v>
      </c>
      <c r="C68" s="2">
        <f t="shared" si="5"/>
        <v>46205</v>
      </c>
      <c r="D68" s="1">
        <f t="shared" si="6"/>
        <v>9</v>
      </c>
      <c r="E68" t="str">
        <f t="shared" si="7"/>
        <v>Thursday</v>
      </c>
      <c r="F68">
        <f>Assumptions!$B$2</f>
        <v>0.5</v>
      </c>
      <c r="G68">
        <f t="shared" si="8"/>
        <v>10.75</v>
      </c>
    </row>
    <row r="69" spans="1:7" x14ac:dyDescent="0.3">
      <c r="A69" s="2">
        <f t="shared" si="9"/>
        <v>46205.395833333496</v>
      </c>
      <c r="B69">
        <v>15.1</v>
      </c>
      <c r="C69" s="2">
        <f t="shared" si="5"/>
        <v>46205</v>
      </c>
      <c r="D69" s="1">
        <f t="shared" si="6"/>
        <v>9.5</v>
      </c>
      <c r="E69" t="str">
        <f t="shared" si="7"/>
        <v>Thursday</v>
      </c>
      <c r="F69">
        <f>Assumptions!$B$2</f>
        <v>0.5</v>
      </c>
      <c r="G69">
        <f t="shared" si="8"/>
        <v>7.55</v>
      </c>
    </row>
    <row r="70" spans="1:7" x14ac:dyDescent="0.3">
      <c r="A70" s="2">
        <f t="shared" si="9"/>
        <v>46205.416666666832</v>
      </c>
      <c r="B70">
        <v>15.5</v>
      </c>
      <c r="C70" s="2">
        <f t="shared" si="5"/>
        <v>46205</v>
      </c>
      <c r="D70" s="1">
        <f t="shared" si="6"/>
        <v>10</v>
      </c>
      <c r="E70" t="str">
        <f t="shared" si="7"/>
        <v>Thursday</v>
      </c>
      <c r="F70">
        <f>Assumptions!$B$2</f>
        <v>0.5</v>
      </c>
      <c r="G70">
        <f t="shared" si="8"/>
        <v>7.75</v>
      </c>
    </row>
    <row r="71" spans="1:7" x14ac:dyDescent="0.3">
      <c r="A71" s="2">
        <f t="shared" si="9"/>
        <v>46205.437500000167</v>
      </c>
      <c r="B71">
        <v>14.5</v>
      </c>
      <c r="C71" s="2">
        <f t="shared" si="5"/>
        <v>46205</v>
      </c>
      <c r="D71" s="1">
        <f t="shared" si="6"/>
        <v>10.5</v>
      </c>
      <c r="E71" t="str">
        <f t="shared" si="7"/>
        <v>Thursday</v>
      </c>
      <c r="F71">
        <f>Assumptions!$B$2</f>
        <v>0.5</v>
      </c>
      <c r="G71">
        <f t="shared" si="8"/>
        <v>7.25</v>
      </c>
    </row>
    <row r="72" spans="1:7" x14ac:dyDescent="0.3">
      <c r="A72" s="2">
        <f t="shared" si="9"/>
        <v>46205.458333333503</v>
      </c>
      <c r="B72">
        <v>19.7</v>
      </c>
      <c r="C72" s="2">
        <f t="shared" si="5"/>
        <v>46205</v>
      </c>
      <c r="D72" s="1">
        <f t="shared" si="6"/>
        <v>11</v>
      </c>
      <c r="E72" t="str">
        <f t="shared" si="7"/>
        <v>Thursday</v>
      </c>
      <c r="F72">
        <f>Assumptions!$B$2</f>
        <v>0.5</v>
      </c>
      <c r="G72">
        <f t="shared" si="8"/>
        <v>9.85</v>
      </c>
    </row>
    <row r="73" spans="1:7" x14ac:dyDescent="0.3">
      <c r="A73" s="2">
        <f t="shared" si="9"/>
        <v>46205.479166666839</v>
      </c>
      <c r="B73">
        <v>15.3</v>
      </c>
      <c r="C73" s="2">
        <f t="shared" si="5"/>
        <v>46205</v>
      </c>
      <c r="D73" s="1">
        <f t="shared" si="6"/>
        <v>11.5</v>
      </c>
      <c r="E73" t="str">
        <f t="shared" si="7"/>
        <v>Thursday</v>
      </c>
      <c r="F73">
        <f>Assumptions!$B$2</f>
        <v>0.5</v>
      </c>
      <c r="G73">
        <f t="shared" si="8"/>
        <v>7.65</v>
      </c>
    </row>
    <row r="74" spans="1:7" x14ac:dyDescent="0.3">
      <c r="A74" s="2">
        <f t="shared" si="9"/>
        <v>46205.500000000175</v>
      </c>
      <c r="B74">
        <v>31.5</v>
      </c>
      <c r="C74" s="2">
        <f t="shared" si="5"/>
        <v>46205</v>
      </c>
      <c r="D74" s="1">
        <f t="shared" si="6"/>
        <v>12</v>
      </c>
      <c r="E74" t="str">
        <f t="shared" si="7"/>
        <v>Thursday</v>
      </c>
      <c r="F74">
        <f>Assumptions!$B$2</f>
        <v>0.5</v>
      </c>
      <c r="G74">
        <f t="shared" si="8"/>
        <v>15.75</v>
      </c>
    </row>
    <row r="75" spans="1:7" x14ac:dyDescent="0.3">
      <c r="A75" s="2">
        <f t="shared" si="9"/>
        <v>46205.52083333351</v>
      </c>
      <c r="B75">
        <v>25.6</v>
      </c>
      <c r="C75" s="2">
        <f t="shared" si="5"/>
        <v>46205</v>
      </c>
      <c r="D75" s="1">
        <f t="shared" si="6"/>
        <v>12.5</v>
      </c>
      <c r="E75" t="str">
        <f t="shared" si="7"/>
        <v>Thursday</v>
      </c>
      <c r="F75">
        <f>Assumptions!$B$2</f>
        <v>0.5</v>
      </c>
      <c r="G75">
        <f t="shared" si="8"/>
        <v>12.8</v>
      </c>
    </row>
    <row r="76" spans="1:7" x14ac:dyDescent="0.3">
      <c r="A76" s="2">
        <f t="shared" si="9"/>
        <v>46205.541666666846</v>
      </c>
      <c r="B76">
        <v>30.6</v>
      </c>
      <c r="C76" s="2">
        <f t="shared" si="5"/>
        <v>46205</v>
      </c>
      <c r="D76" s="1">
        <f t="shared" si="6"/>
        <v>13</v>
      </c>
      <c r="E76" t="str">
        <f t="shared" si="7"/>
        <v>Thursday</v>
      </c>
      <c r="F76">
        <f>Assumptions!$B$2</f>
        <v>0.5</v>
      </c>
      <c r="G76">
        <f t="shared" si="8"/>
        <v>15.3</v>
      </c>
    </row>
    <row r="77" spans="1:7" x14ac:dyDescent="0.3">
      <c r="A77" s="2">
        <f t="shared" si="9"/>
        <v>46205.562500000182</v>
      </c>
      <c r="B77">
        <v>20.3</v>
      </c>
      <c r="C77" s="2">
        <f t="shared" si="5"/>
        <v>46205</v>
      </c>
      <c r="D77" s="1">
        <f t="shared" si="6"/>
        <v>13.5</v>
      </c>
      <c r="E77" t="str">
        <f t="shared" si="7"/>
        <v>Thursday</v>
      </c>
      <c r="F77">
        <f>Assumptions!$B$2</f>
        <v>0.5</v>
      </c>
      <c r="G77">
        <f t="shared" si="8"/>
        <v>10.15</v>
      </c>
    </row>
    <row r="78" spans="1:7" x14ac:dyDescent="0.3">
      <c r="A78" s="2">
        <f t="shared" si="9"/>
        <v>46205.583333333518</v>
      </c>
      <c r="B78">
        <v>18.8</v>
      </c>
      <c r="C78" s="2">
        <f t="shared" si="5"/>
        <v>46205</v>
      </c>
      <c r="D78" s="1">
        <f t="shared" si="6"/>
        <v>14</v>
      </c>
      <c r="E78" t="str">
        <f t="shared" si="7"/>
        <v>Thursday</v>
      </c>
      <c r="F78">
        <f>Assumptions!$B$2</f>
        <v>0.5</v>
      </c>
      <c r="G78">
        <f t="shared" si="8"/>
        <v>9.4</v>
      </c>
    </row>
    <row r="79" spans="1:7" x14ac:dyDescent="0.3">
      <c r="A79" s="2">
        <f t="shared" si="9"/>
        <v>46205.604166666853</v>
      </c>
      <c r="B79">
        <v>21.5</v>
      </c>
      <c r="C79" s="2">
        <f t="shared" si="5"/>
        <v>46205</v>
      </c>
      <c r="D79" s="1">
        <f t="shared" si="6"/>
        <v>14.5</v>
      </c>
      <c r="E79" t="str">
        <f t="shared" si="7"/>
        <v>Thursday</v>
      </c>
      <c r="F79">
        <f>Assumptions!$B$2</f>
        <v>0.5</v>
      </c>
      <c r="G79">
        <f t="shared" si="8"/>
        <v>10.75</v>
      </c>
    </row>
    <row r="80" spans="1:7" x14ac:dyDescent="0.3">
      <c r="A80" s="2">
        <f t="shared" si="9"/>
        <v>46205.625000000189</v>
      </c>
      <c r="B80">
        <v>25.9</v>
      </c>
      <c r="C80" s="2">
        <f t="shared" si="5"/>
        <v>46205</v>
      </c>
      <c r="D80" s="1">
        <f t="shared" si="6"/>
        <v>15</v>
      </c>
      <c r="E80" t="str">
        <f t="shared" si="7"/>
        <v>Thursday</v>
      </c>
      <c r="F80">
        <f>Assumptions!$B$2</f>
        <v>0.5</v>
      </c>
      <c r="G80">
        <f t="shared" si="8"/>
        <v>12.95</v>
      </c>
    </row>
    <row r="81" spans="1:7" x14ac:dyDescent="0.3">
      <c r="A81" s="2">
        <f t="shared" si="9"/>
        <v>46205.645833333525</v>
      </c>
      <c r="B81">
        <v>30.1</v>
      </c>
      <c r="C81" s="2">
        <f t="shared" si="5"/>
        <v>46205</v>
      </c>
      <c r="D81" s="1">
        <f t="shared" si="6"/>
        <v>15.5</v>
      </c>
      <c r="E81" t="str">
        <f t="shared" si="7"/>
        <v>Thursday</v>
      </c>
      <c r="F81">
        <f>Assumptions!$B$2</f>
        <v>0.5</v>
      </c>
      <c r="G81">
        <f t="shared" si="8"/>
        <v>15.05</v>
      </c>
    </row>
    <row r="82" spans="1:7" x14ac:dyDescent="0.3">
      <c r="A82" s="2">
        <f t="shared" si="9"/>
        <v>46205.666666666861</v>
      </c>
      <c r="B82">
        <v>15.9</v>
      </c>
      <c r="C82" s="2">
        <f t="shared" si="5"/>
        <v>46205</v>
      </c>
      <c r="D82" s="1">
        <f t="shared" si="6"/>
        <v>16</v>
      </c>
      <c r="E82" t="str">
        <f t="shared" si="7"/>
        <v>Thursday</v>
      </c>
      <c r="F82">
        <f>Assumptions!$B$2</f>
        <v>0.5</v>
      </c>
      <c r="G82">
        <f t="shared" si="8"/>
        <v>7.95</v>
      </c>
    </row>
    <row r="83" spans="1:7" x14ac:dyDescent="0.3">
      <c r="A83" s="2">
        <f t="shared" si="9"/>
        <v>46205.687500000196</v>
      </c>
      <c r="B83">
        <v>19.899999999999999</v>
      </c>
      <c r="C83" s="2">
        <f t="shared" si="5"/>
        <v>46205</v>
      </c>
      <c r="D83" s="1">
        <f t="shared" si="6"/>
        <v>16.5</v>
      </c>
      <c r="E83" t="str">
        <f t="shared" si="7"/>
        <v>Thursday</v>
      </c>
      <c r="F83">
        <f>Assumptions!$B$2</f>
        <v>0.5</v>
      </c>
      <c r="G83">
        <f t="shared" si="8"/>
        <v>9.9499999999999993</v>
      </c>
    </row>
    <row r="84" spans="1:7" x14ac:dyDescent="0.3">
      <c r="A84" s="2">
        <f t="shared" si="9"/>
        <v>46205.708333333532</v>
      </c>
      <c r="B84">
        <v>11.4</v>
      </c>
      <c r="C84" s="2">
        <f t="shared" si="5"/>
        <v>46205</v>
      </c>
      <c r="D84" s="1">
        <f t="shared" si="6"/>
        <v>17</v>
      </c>
      <c r="E84" t="str">
        <f t="shared" si="7"/>
        <v>Thursday</v>
      </c>
      <c r="F84">
        <f>Assumptions!$B$2</f>
        <v>0.5</v>
      </c>
      <c r="G84">
        <f t="shared" si="8"/>
        <v>5.7</v>
      </c>
    </row>
    <row r="85" spans="1:7" x14ac:dyDescent="0.3">
      <c r="A85" s="2">
        <f t="shared" si="9"/>
        <v>46205.729166666868</v>
      </c>
      <c r="B85">
        <v>10</v>
      </c>
      <c r="C85" s="2">
        <f t="shared" si="5"/>
        <v>46205</v>
      </c>
      <c r="D85" s="1">
        <f t="shared" si="6"/>
        <v>17.5</v>
      </c>
      <c r="E85" t="str">
        <f t="shared" si="7"/>
        <v>Thursday</v>
      </c>
      <c r="F85">
        <f>Assumptions!$B$2</f>
        <v>0.5</v>
      </c>
      <c r="G85">
        <f t="shared" si="8"/>
        <v>5</v>
      </c>
    </row>
    <row r="86" spans="1:7" x14ac:dyDescent="0.3">
      <c r="A86" s="2">
        <f t="shared" si="9"/>
        <v>46205.750000000204</v>
      </c>
      <c r="B86">
        <v>15.4</v>
      </c>
      <c r="C86" s="2">
        <f t="shared" si="5"/>
        <v>46205</v>
      </c>
      <c r="D86" s="1">
        <f t="shared" si="6"/>
        <v>18</v>
      </c>
      <c r="E86" t="str">
        <f t="shared" si="7"/>
        <v>Thursday</v>
      </c>
      <c r="F86">
        <f>Assumptions!$B$2</f>
        <v>0.5</v>
      </c>
      <c r="G86">
        <f t="shared" si="8"/>
        <v>7.7</v>
      </c>
    </row>
    <row r="87" spans="1:7" x14ac:dyDescent="0.3">
      <c r="A87" s="2">
        <f t="shared" si="9"/>
        <v>46205.770833333539</v>
      </c>
      <c r="B87">
        <v>10.9</v>
      </c>
      <c r="C87" s="2">
        <f t="shared" si="5"/>
        <v>46205</v>
      </c>
      <c r="D87" s="1">
        <f t="shared" si="6"/>
        <v>18.5</v>
      </c>
      <c r="E87" t="str">
        <f t="shared" si="7"/>
        <v>Thursday</v>
      </c>
      <c r="F87">
        <f>Assumptions!$B$2</f>
        <v>0.5</v>
      </c>
      <c r="G87">
        <f t="shared" si="8"/>
        <v>5.45</v>
      </c>
    </row>
    <row r="88" spans="1:7" x14ac:dyDescent="0.3">
      <c r="A88" s="2">
        <f t="shared" si="9"/>
        <v>46205.791666666875</v>
      </c>
      <c r="B88">
        <v>3.2</v>
      </c>
      <c r="C88" s="2">
        <f t="shared" si="5"/>
        <v>46205</v>
      </c>
      <c r="D88" s="1">
        <f t="shared" si="6"/>
        <v>19</v>
      </c>
      <c r="E88" t="str">
        <f t="shared" si="7"/>
        <v>Thursday</v>
      </c>
      <c r="F88">
        <f>Assumptions!$B$2</f>
        <v>0.5</v>
      </c>
      <c r="G88">
        <f t="shared" si="8"/>
        <v>1.6</v>
      </c>
    </row>
    <row r="89" spans="1:7" x14ac:dyDescent="0.3">
      <c r="A89" s="2">
        <f t="shared" si="9"/>
        <v>46205.812500000211</v>
      </c>
      <c r="B89">
        <v>5.9</v>
      </c>
      <c r="C89" s="2">
        <f t="shared" si="5"/>
        <v>46205</v>
      </c>
      <c r="D89" s="1">
        <f t="shared" si="6"/>
        <v>19.5</v>
      </c>
      <c r="E89" t="str">
        <f t="shared" si="7"/>
        <v>Thursday</v>
      </c>
      <c r="F89">
        <f>Assumptions!$B$2</f>
        <v>0.5</v>
      </c>
      <c r="G89">
        <f t="shared" si="8"/>
        <v>2.95</v>
      </c>
    </row>
    <row r="90" spans="1:7" x14ac:dyDescent="0.3">
      <c r="A90" s="2">
        <f t="shared" si="9"/>
        <v>46205.833333333547</v>
      </c>
      <c r="B90">
        <v>4.4000000000000004</v>
      </c>
      <c r="C90" s="2">
        <f t="shared" si="5"/>
        <v>46205</v>
      </c>
      <c r="D90" s="1">
        <f t="shared" si="6"/>
        <v>20</v>
      </c>
      <c r="E90" t="str">
        <f t="shared" si="7"/>
        <v>Thursday</v>
      </c>
      <c r="F90">
        <f>Assumptions!$B$2</f>
        <v>0.5</v>
      </c>
      <c r="G90">
        <f t="shared" si="8"/>
        <v>2.2000000000000002</v>
      </c>
    </row>
    <row r="91" spans="1:7" x14ac:dyDescent="0.3">
      <c r="A91" s="2">
        <f t="shared" si="9"/>
        <v>46205.854166666883</v>
      </c>
      <c r="B91">
        <v>5.4</v>
      </c>
      <c r="C91" s="2">
        <f t="shared" si="5"/>
        <v>46205</v>
      </c>
      <c r="D91" s="1">
        <f t="shared" si="6"/>
        <v>20.5</v>
      </c>
      <c r="E91" t="str">
        <f t="shared" si="7"/>
        <v>Thursday</v>
      </c>
      <c r="F91">
        <f>Assumptions!$B$2</f>
        <v>0.5</v>
      </c>
      <c r="G91">
        <f t="shared" si="8"/>
        <v>2.7</v>
      </c>
    </row>
    <row r="92" spans="1:7" x14ac:dyDescent="0.3">
      <c r="A92" s="2">
        <f t="shared" si="9"/>
        <v>46205.875000000218</v>
      </c>
      <c r="B92">
        <v>3.2</v>
      </c>
      <c r="C92" s="2">
        <f t="shared" si="5"/>
        <v>46205</v>
      </c>
      <c r="D92" s="1">
        <f t="shared" si="6"/>
        <v>21</v>
      </c>
      <c r="E92" t="str">
        <f t="shared" si="7"/>
        <v>Thursday</v>
      </c>
      <c r="F92">
        <f>Assumptions!$B$2</f>
        <v>0.5</v>
      </c>
      <c r="G92">
        <f t="shared" si="8"/>
        <v>1.6</v>
      </c>
    </row>
    <row r="93" spans="1:7" x14ac:dyDescent="0.3">
      <c r="A93" s="2">
        <f t="shared" si="9"/>
        <v>46205.895833333554</v>
      </c>
      <c r="B93">
        <v>7.5</v>
      </c>
      <c r="C93" s="2">
        <f t="shared" si="5"/>
        <v>46205</v>
      </c>
      <c r="D93" s="1">
        <f t="shared" si="6"/>
        <v>21.5</v>
      </c>
      <c r="E93" t="str">
        <f t="shared" si="7"/>
        <v>Thursday</v>
      </c>
      <c r="F93">
        <f>Assumptions!$B$2</f>
        <v>0.5</v>
      </c>
      <c r="G93">
        <f t="shared" si="8"/>
        <v>3.75</v>
      </c>
    </row>
    <row r="94" spans="1:7" x14ac:dyDescent="0.3">
      <c r="A94" s="2">
        <f t="shared" si="9"/>
        <v>46205.91666666689</v>
      </c>
      <c r="B94">
        <v>3.8</v>
      </c>
      <c r="C94" s="2">
        <f t="shared" si="5"/>
        <v>46205</v>
      </c>
      <c r="D94" s="1">
        <f t="shared" si="6"/>
        <v>22</v>
      </c>
      <c r="E94" t="str">
        <f t="shared" si="7"/>
        <v>Thursday</v>
      </c>
      <c r="F94">
        <f>Assumptions!$B$2</f>
        <v>0.5</v>
      </c>
      <c r="G94">
        <f t="shared" si="8"/>
        <v>1.9</v>
      </c>
    </row>
    <row r="95" spans="1:7" x14ac:dyDescent="0.3">
      <c r="A95" s="2">
        <f t="shared" si="9"/>
        <v>46205.937500000226</v>
      </c>
      <c r="B95">
        <v>7.4</v>
      </c>
      <c r="C95" s="2">
        <f t="shared" si="5"/>
        <v>46205</v>
      </c>
      <c r="D95" s="1">
        <f t="shared" si="6"/>
        <v>22.5</v>
      </c>
      <c r="E95" t="str">
        <f t="shared" si="7"/>
        <v>Thursday</v>
      </c>
      <c r="F95">
        <f>Assumptions!$B$2</f>
        <v>0.5</v>
      </c>
      <c r="G95">
        <f t="shared" si="8"/>
        <v>3.7</v>
      </c>
    </row>
    <row r="96" spans="1:7" x14ac:dyDescent="0.3">
      <c r="A96" s="2">
        <f t="shared" si="9"/>
        <v>46205.958333333561</v>
      </c>
      <c r="B96">
        <v>7.4</v>
      </c>
      <c r="C96" s="2">
        <f t="shared" si="5"/>
        <v>46205</v>
      </c>
      <c r="D96" s="1">
        <f t="shared" si="6"/>
        <v>23</v>
      </c>
      <c r="E96" t="str">
        <f t="shared" si="7"/>
        <v>Thursday</v>
      </c>
      <c r="F96">
        <f>Assumptions!$B$2</f>
        <v>0.5</v>
      </c>
      <c r="G96">
        <f t="shared" si="8"/>
        <v>3.7</v>
      </c>
    </row>
    <row r="97" spans="1:7" x14ac:dyDescent="0.3">
      <c r="A97" s="2">
        <f t="shared" si="9"/>
        <v>46205.979166666897</v>
      </c>
      <c r="B97">
        <v>3.3</v>
      </c>
      <c r="C97" s="2">
        <f t="shared" si="5"/>
        <v>46205</v>
      </c>
      <c r="D97" s="1">
        <f t="shared" si="6"/>
        <v>23.5</v>
      </c>
      <c r="E97" t="str">
        <f t="shared" si="7"/>
        <v>Thursday</v>
      </c>
      <c r="F97">
        <f>Assumptions!$B$2</f>
        <v>0.5</v>
      </c>
      <c r="G97">
        <f t="shared" si="8"/>
        <v>1.65</v>
      </c>
    </row>
    <row r="98" spans="1:7" x14ac:dyDescent="0.3">
      <c r="A98" s="2">
        <f t="shared" si="9"/>
        <v>46206.000000000233</v>
      </c>
      <c r="B98">
        <v>2.1</v>
      </c>
      <c r="C98" s="2">
        <f t="shared" si="5"/>
        <v>46206</v>
      </c>
      <c r="D98" s="1">
        <f t="shared" si="6"/>
        <v>0</v>
      </c>
      <c r="E98" t="str">
        <f t="shared" si="7"/>
        <v>Friday</v>
      </c>
      <c r="F98">
        <f>Assumptions!$B$2</f>
        <v>0.5</v>
      </c>
      <c r="G98">
        <f t="shared" si="8"/>
        <v>1.05</v>
      </c>
    </row>
    <row r="99" spans="1:7" x14ac:dyDescent="0.3">
      <c r="A99" s="2">
        <f t="shared" si="9"/>
        <v>46206.020833333569</v>
      </c>
      <c r="B99">
        <v>2.2000000000000002</v>
      </c>
      <c r="C99" s="2">
        <f t="shared" si="5"/>
        <v>46206</v>
      </c>
      <c r="D99" s="1">
        <f t="shared" si="6"/>
        <v>0.5</v>
      </c>
      <c r="E99" t="str">
        <f t="shared" si="7"/>
        <v>Friday</v>
      </c>
      <c r="F99">
        <f>Assumptions!$B$2</f>
        <v>0.5</v>
      </c>
      <c r="G99">
        <f t="shared" si="8"/>
        <v>1.1000000000000001</v>
      </c>
    </row>
    <row r="100" spans="1:7" x14ac:dyDescent="0.3">
      <c r="A100" s="2">
        <f t="shared" si="9"/>
        <v>46206.041666666904</v>
      </c>
      <c r="B100">
        <v>2.8</v>
      </c>
      <c r="C100" s="2">
        <f t="shared" si="5"/>
        <v>46206</v>
      </c>
      <c r="D100" s="1">
        <f t="shared" si="6"/>
        <v>1</v>
      </c>
      <c r="E100" t="str">
        <f t="shared" si="7"/>
        <v>Friday</v>
      </c>
      <c r="F100">
        <f>Assumptions!$B$2</f>
        <v>0.5</v>
      </c>
      <c r="G100">
        <f t="shared" si="8"/>
        <v>1.4</v>
      </c>
    </row>
    <row r="101" spans="1:7" x14ac:dyDescent="0.3">
      <c r="A101" s="2">
        <f t="shared" si="9"/>
        <v>46206.06250000024</v>
      </c>
      <c r="B101">
        <v>2.8</v>
      </c>
      <c r="C101" s="2">
        <f t="shared" si="5"/>
        <v>46206</v>
      </c>
      <c r="D101" s="1">
        <f t="shared" si="6"/>
        <v>1.5</v>
      </c>
      <c r="E101" t="str">
        <f t="shared" si="7"/>
        <v>Friday</v>
      </c>
      <c r="F101">
        <f>Assumptions!$B$2</f>
        <v>0.5</v>
      </c>
      <c r="G101">
        <f t="shared" si="8"/>
        <v>1.4</v>
      </c>
    </row>
    <row r="102" spans="1:7" x14ac:dyDescent="0.3">
      <c r="A102" s="2">
        <f t="shared" si="9"/>
        <v>46206.083333333576</v>
      </c>
      <c r="B102">
        <v>2.6</v>
      </c>
      <c r="C102" s="2">
        <f t="shared" si="5"/>
        <v>46206</v>
      </c>
      <c r="D102" s="1">
        <f t="shared" si="6"/>
        <v>2</v>
      </c>
      <c r="E102" t="str">
        <f t="shared" si="7"/>
        <v>Friday</v>
      </c>
      <c r="F102">
        <f>Assumptions!$B$2</f>
        <v>0.5</v>
      </c>
      <c r="G102">
        <f t="shared" si="8"/>
        <v>1.3</v>
      </c>
    </row>
    <row r="103" spans="1:7" x14ac:dyDescent="0.3">
      <c r="A103" s="2">
        <f t="shared" si="9"/>
        <v>46206.104166666912</v>
      </c>
      <c r="B103">
        <v>1.8</v>
      </c>
      <c r="C103" s="2">
        <f t="shared" si="5"/>
        <v>46206</v>
      </c>
      <c r="D103" s="1">
        <f t="shared" si="6"/>
        <v>2.5</v>
      </c>
      <c r="E103" t="str">
        <f t="shared" si="7"/>
        <v>Friday</v>
      </c>
      <c r="F103">
        <f>Assumptions!$B$2</f>
        <v>0.5</v>
      </c>
      <c r="G103">
        <f t="shared" si="8"/>
        <v>0.9</v>
      </c>
    </row>
    <row r="104" spans="1:7" x14ac:dyDescent="0.3">
      <c r="A104" s="2">
        <f t="shared" si="9"/>
        <v>46206.125000000247</v>
      </c>
      <c r="B104">
        <v>2.6</v>
      </c>
      <c r="C104" s="2">
        <f t="shared" si="5"/>
        <v>46206</v>
      </c>
      <c r="D104" s="1">
        <f t="shared" si="6"/>
        <v>3</v>
      </c>
      <c r="E104" t="str">
        <f t="shared" si="7"/>
        <v>Friday</v>
      </c>
      <c r="F104">
        <f>Assumptions!$B$2</f>
        <v>0.5</v>
      </c>
      <c r="G104">
        <f t="shared" si="8"/>
        <v>1.3</v>
      </c>
    </row>
    <row r="105" spans="1:7" x14ac:dyDescent="0.3">
      <c r="A105" s="2">
        <f t="shared" si="9"/>
        <v>46206.145833333583</v>
      </c>
      <c r="B105">
        <v>2.1</v>
      </c>
      <c r="C105" s="2">
        <f t="shared" si="5"/>
        <v>46206</v>
      </c>
      <c r="D105" s="1">
        <f t="shared" si="6"/>
        <v>3.5</v>
      </c>
      <c r="E105" t="str">
        <f t="shared" si="7"/>
        <v>Friday</v>
      </c>
      <c r="F105">
        <f>Assumptions!$B$2</f>
        <v>0.5</v>
      </c>
      <c r="G105">
        <f t="shared" si="8"/>
        <v>1.05</v>
      </c>
    </row>
    <row r="106" spans="1:7" x14ac:dyDescent="0.3">
      <c r="A106" s="2">
        <f t="shared" si="9"/>
        <v>46206.166666666919</v>
      </c>
      <c r="B106">
        <v>2.2999999999999998</v>
      </c>
      <c r="C106" s="2">
        <f t="shared" si="5"/>
        <v>46206</v>
      </c>
      <c r="D106" s="1">
        <f t="shared" si="6"/>
        <v>4</v>
      </c>
      <c r="E106" t="str">
        <f t="shared" si="7"/>
        <v>Friday</v>
      </c>
      <c r="F106">
        <f>Assumptions!$B$2</f>
        <v>0.5</v>
      </c>
      <c r="G106">
        <f t="shared" si="8"/>
        <v>1.1499999999999999</v>
      </c>
    </row>
    <row r="107" spans="1:7" x14ac:dyDescent="0.3">
      <c r="A107" s="2">
        <f t="shared" si="9"/>
        <v>46206.187500000255</v>
      </c>
      <c r="B107">
        <v>2.2000000000000002</v>
      </c>
      <c r="C107" s="2">
        <f t="shared" si="5"/>
        <v>46206</v>
      </c>
      <c r="D107" s="1">
        <f t="shared" si="6"/>
        <v>4.5</v>
      </c>
      <c r="E107" t="str">
        <f t="shared" si="7"/>
        <v>Friday</v>
      </c>
      <c r="F107">
        <f>Assumptions!$B$2</f>
        <v>0.5</v>
      </c>
      <c r="G107">
        <f t="shared" si="8"/>
        <v>1.1000000000000001</v>
      </c>
    </row>
    <row r="108" spans="1:7" x14ac:dyDescent="0.3">
      <c r="A108" s="2">
        <f t="shared" si="9"/>
        <v>46206.20833333359</v>
      </c>
      <c r="B108">
        <v>1.9</v>
      </c>
      <c r="C108" s="2">
        <f t="shared" si="5"/>
        <v>46206</v>
      </c>
      <c r="D108" s="1">
        <f t="shared" si="6"/>
        <v>5</v>
      </c>
      <c r="E108" t="str">
        <f t="shared" si="7"/>
        <v>Friday</v>
      </c>
      <c r="F108">
        <f>Assumptions!$B$2</f>
        <v>0.5</v>
      </c>
      <c r="G108">
        <f t="shared" si="8"/>
        <v>0.95</v>
      </c>
    </row>
    <row r="109" spans="1:7" x14ac:dyDescent="0.3">
      <c r="A109" s="2">
        <f t="shared" si="9"/>
        <v>46206.229166666926</v>
      </c>
      <c r="B109">
        <v>2.8</v>
      </c>
      <c r="C109" s="2">
        <f t="shared" si="5"/>
        <v>46206</v>
      </c>
      <c r="D109" s="1">
        <f t="shared" si="6"/>
        <v>5.5</v>
      </c>
      <c r="E109" t="str">
        <f t="shared" si="7"/>
        <v>Friday</v>
      </c>
      <c r="F109">
        <f>Assumptions!$B$2</f>
        <v>0.5</v>
      </c>
      <c r="G109">
        <f t="shared" si="8"/>
        <v>1.4</v>
      </c>
    </row>
    <row r="110" spans="1:7" x14ac:dyDescent="0.3">
      <c r="A110" s="2">
        <f t="shared" si="9"/>
        <v>46206.250000000262</v>
      </c>
      <c r="B110">
        <v>5.5</v>
      </c>
      <c r="C110" s="2">
        <f t="shared" si="5"/>
        <v>46206</v>
      </c>
      <c r="D110" s="1">
        <f t="shared" si="6"/>
        <v>6</v>
      </c>
      <c r="E110" t="str">
        <f t="shared" si="7"/>
        <v>Friday</v>
      </c>
      <c r="F110">
        <f>Assumptions!$B$2</f>
        <v>0.5</v>
      </c>
      <c r="G110">
        <f t="shared" si="8"/>
        <v>2.75</v>
      </c>
    </row>
    <row r="111" spans="1:7" x14ac:dyDescent="0.3">
      <c r="A111" s="2">
        <f t="shared" si="9"/>
        <v>46206.270833333598</v>
      </c>
      <c r="B111">
        <v>6.2</v>
      </c>
      <c r="C111" s="2">
        <f t="shared" si="5"/>
        <v>46206</v>
      </c>
      <c r="D111" s="1">
        <f t="shared" si="6"/>
        <v>6.5</v>
      </c>
      <c r="E111" t="str">
        <f t="shared" si="7"/>
        <v>Friday</v>
      </c>
      <c r="F111">
        <f>Assumptions!$B$2</f>
        <v>0.5</v>
      </c>
      <c r="G111">
        <f t="shared" si="8"/>
        <v>3.1</v>
      </c>
    </row>
    <row r="112" spans="1:7" x14ac:dyDescent="0.3">
      <c r="A112" s="2">
        <f t="shared" si="9"/>
        <v>46206.291666666933</v>
      </c>
      <c r="B112">
        <v>6.7</v>
      </c>
      <c r="C112" s="2">
        <f t="shared" si="5"/>
        <v>46206</v>
      </c>
      <c r="D112" s="1">
        <f t="shared" si="6"/>
        <v>7</v>
      </c>
      <c r="E112" t="str">
        <f t="shared" si="7"/>
        <v>Friday</v>
      </c>
      <c r="F112">
        <f>Assumptions!$B$2</f>
        <v>0.5</v>
      </c>
      <c r="G112">
        <f t="shared" si="8"/>
        <v>3.35</v>
      </c>
    </row>
    <row r="113" spans="1:7" x14ac:dyDescent="0.3">
      <c r="A113" s="2">
        <f t="shared" si="9"/>
        <v>46206.312500000269</v>
      </c>
      <c r="B113">
        <v>4.2</v>
      </c>
      <c r="C113" s="2">
        <f t="shared" si="5"/>
        <v>46206</v>
      </c>
      <c r="D113" s="1">
        <f t="shared" si="6"/>
        <v>7.5</v>
      </c>
      <c r="E113" t="str">
        <f t="shared" si="7"/>
        <v>Friday</v>
      </c>
      <c r="F113">
        <f>Assumptions!$B$2</f>
        <v>0.5</v>
      </c>
      <c r="G113">
        <f t="shared" si="8"/>
        <v>2.1</v>
      </c>
    </row>
    <row r="114" spans="1:7" x14ac:dyDescent="0.3">
      <c r="A114" s="2">
        <f t="shared" si="9"/>
        <v>46206.333333333605</v>
      </c>
      <c r="B114">
        <v>16.399999999999999</v>
      </c>
      <c r="C114" s="2">
        <f t="shared" si="5"/>
        <v>46206</v>
      </c>
      <c r="D114" s="1">
        <f t="shared" si="6"/>
        <v>8</v>
      </c>
      <c r="E114" t="str">
        <f t="shared" si="7"/>
        <v>Friday</v>
      </c>
      <c r="F114">
        <f>Assumptions!$B$2</f>
        <v>0.5</v>
      </c>
      <c r="G114">
        <f t="shared" si="8"/>
        <v>8.1999999999999993</v>
      </c>
    </row>
    <row r="115" spans="1:7" x14ac:dyDescent="0.3">
      <c r="A115" s="2">
        <f t="shared" si="9"/>
        <v>46206.354166666941</v>
      </c>
      <c r="B115">
        <v>12.4</v>
      </c>
      <c r="C115" s="2">
        <f t="shared" si="5"/>
        <v>46206</v>
      </c>
      <c r="D115" s="1">
        <f t="shared" si="6"/>
        <v>8.5</v>
      </c>
      <c r="E115" t="str">
        <f t="shared" si="7"/>
        <v>Friday</v>
      </c>
      <c r="F115">
        <f>Assumptions!$B$2</f>
        <v>0.5</v>
      </c>
      <c r="G115">
        <f t="shared" si="8"/>
        <v>6.2</v>
      </c>
    </row>
    <row r="116" spans="1:7" x14ac:dyDescent="0.3">
      <c r="A116" s="2">
        <f t="shared" si="9"/>
        <v>46206.375000000276</v>
      </c>
      <c r="B116">
        <v>12.5</v>
      </c>
      <c r="C116" s="2">
        <f t="shared" si="5"/>
        <v>46206</v>
      </c>
      <c r="D116" s="1">
        <f t="shared" si="6"/>
        <v>9</v>
      </c>
      <c r="E116" t="str">
        <f t="shared" si="7"/>
        <v>Friday</v>
      </c>
      <c r="F116">
        <f>Assumptions!$B$2</f>
        <v>0.5</v>
      </c>
      <c r="G116">
        <f t="shared" si="8"/>
        <v>6.25</v>
      </c>
    </row>
    <row r="117" spans="1:7" x14ac:dyDescent="0.3">
      <c r="A117" s="2">
        <f t="shared" si="9"/>
        <v>46206.395833333612</v>
      </c>
      <c r="B117">
        <v>15.6</v>
      </c>
      <c r="C117" s="2">
        <f t="shared" si="5"/>
        <v>46206</v>
      </c>
      <c r="D117" s="1">
        <f t="shared" si="6"/>
        <v>9.5</v>
      </c>
      <c r="E117" t="str">
        <f t="shared" si="7"/>
        <v>Friday</v>
      </c>
      <c r="F117">
        <f>Assumptions!$B$2</f>
        <v>0.5</v>
      </c>
      <c r="G117">
        <f t="shared" si="8"/>
        <v>7.8</v>
      </c>
    </row>
    <row r="118" spans="1:7" x14ac:dyDescent="0.3">
      <c r="A118" s="2">
        <f t="shared" si="9"/>
        <v>46206.416666666948</v>
      </c>
      <c r="B118">
        <v>15.3</v>
      </c>
      <c r="C118" s="2">
        <f t="shared" si="5"/>
        <v>46206</v>
      </c>
      <c r="D118" s="1">
        <f t="shared" si="6"/>
        <v>10</v>
      </c>
      <c r="E118" t="str">
        <f t="shared" si="7"/>
        <v>Friday</v>
      </c>
      <c r="F118">
        <f>Assumptions!$B$2</f>
        <v>0.5</v>
      </c>
      <c r="G118">
        <f t="shared" si="8"/>
        <v>7.65</v>
      </c>
    </row>
    <row r="119" spans="1:7" x14ac:dyDescent="0.3">
      <c r="A119" s="2">
        <f t="shared" si="9"/>
        <v>46206.437500000284</v>
      </c>
      <c r="B119">
        <v>12.7</v>
      </c>
      <c r="C119" s="2">
        <f t="shared" si="5"/>
        <v>46206</v>
      </c>
      <c r="D119" s="1">
        <f t="shared" si="6"/>
        <v>10.5</v>
      </c>
      <c r="E119" t="str">
        <f t="shared" si="7"/>
        <v>Friday</v>
      </c>
      <c r="F119">
        <f>Assumptions!$B$2</f>
        <v>0.5</v>
      </c>
      <c r="G119">
        <f t="shared" si="8"/>
        <v>6.35</v>
      </c>
    </row>
    <row r="120" spans="1:7" x14ac:dyDescent="0.3">
      <c r="A120" s="2">
        <f t="shared" si="9"/>
        <v>46206.45833333362</v>
      </c>
      <c r="B120">
        <v>18.600000000000001</v>
      </c>
      <c r="C120" s="2">
        <f t="shared" si="5"/>
        <v>46206</v>
      </c>
      <c r="D120" s="1">
        <f t="shared" si="6"/>
        <v>11</v>
      </c>
      <c r="E120" t="str">
        <f t="shared" si="7"/>
        <v>Friday</v>
      </c>
      <c r="F120">
        <f>Assumptions!$B$2</f>
        <v>0.5</v>
      </c>
      <c r="G120">
        <f t="shared" si="8"/>
        <v>9.3000000000000007</v>
      </c>
    </row>
    <row r="121" spans="1:7" x14ac:dyDescent="0.3">
      <c r="A121" s="2">
        <f t="shared" si="9"/>
        <v>46206.479166666955</v>
      </c>
      <c r="B121">
        <v>21.5</v>
      </c>
      <c r="C121" s="2">
        <f t="shared" si="5"/>
        <v>46206</v>
      </c>
      <c r="D121" s="1">
        <f t="shared" si="6"/>
        <v>11.5</v>
      </c>
      <c r="E121" t="str">
        <f t="shared" si="7"/>
        <v>Friday</v>
      </c>
      <c r="F121">
        <f>Assumptions!$B$2</f>
        <v>0.5</v>
      </c>
      <c r="G121">
        <f t="shared" si="8"/>
        <v>10.75</v>
      </c>
    </row>
    <row r="122" spans="1:7" x14ac:dyDescent="0.3">
      <c r="A122" s="2">
        <f t="shared" si="9"/>
        <v>46206.500000000291</v>
      </c>
      <c r="B122">
        <v>34</v>
      </c>
      <c r="C122" s="2">
        <f t="shared" si="5"/>
        <v>46206</v>
      </c>
      <c r="D122" s="1">
        <f t="shared" si="6"/>
        <v>12</v>
      </c>
      <c r="E122" t="str">
        <f t="shared" si="7"/>
        <v>Friday</v>
      </c>
      <c r="F122">
        <f>Assumptions!$B$2</f>
        <v>0.5</v>
      </c>
      <c r="G122">
        <f t="shared" si="8"/>
        <v>17</v>
      </c>
    </row>
    <row r="123" spans="1:7" x14ac:dyDescent="0.3">
      <c r="A123" s="2">
        <f t="shared" si="9"/>
        <v>46206.520833333627</v>
      </c>
      <c r="B123">
        <v>31.7</v>
      </c>
      <c r="C123" s="2">
        <f t="shared" si="5"/>
        <v>46206</v>
      </c>
      <c r="D123" s="1">
        <f t="shared" si="6"/>
        <v>12.5</v>
      </c>
      <c r="E123" t="str">
        <f t="shared" si="7"/>
        <v>Friday</v>
      </c>
      <c r="F123">
        <f>Assumptions!$B$2</f>
        <v>0.5</v>
      </c>
      <c r="G123">
        <f t="shared" si="8"/>
        <v>15.85</v>
      </c>
    </row>
    <row r="124" spans="1:7" x14ac:dyDescent="0.3">
      <c r="A124" s="2">
        <f t="shared" si="9"/>
        <v>46206.541666666963</v>
      </c>
      <c r="B124">
        <v>32.1</v>
      </c>
      <c r="C124" s="2">
        <f t="shared" si="5"/>
        <v>46206</v>
      </c>
      <c r="D124" s="1">
        <f t="shared" si="6"/>
        <v>13</v>
      </c>
      <c r="E124" t="str">
        <f t="shared" si="7"/>
        <v>Friday</v>
      </c>
      <c r="F124">
        <f>Assumptions!$B$2</f>
        <v>0.5</v>
      </c>
      <c r="G124">
        <f t="shared" si="8"/>
        <v>16.05</v>
      </c>
    </row>
    <row r="125" spans="1:7" x14ac:dyDescent="0.3">
      <c r="A125" s="2">
        <f t="shared" si="9"/>
        <v>46206.562500000298</v>
      </c>
      <c r="B125">
        <v>22.8</v>
      </c>
      <c r="C125" s="2">
        <f t="shared" si="5"/>
        <v>46206</v>
      </c>
      <c r="D125" s="1">
        <f t="shared" si="6"/>
        <v>13.5</v>
      </c>
      <c r="E125" t="str">
        <f t="shared" si="7"/>
        <v>Friday</v>
      </c>
      <c r="F125">
        <f>Assumptions!$B$2</f>
        <v>0.5</v>
      </c>
      <c r="G125">
        <f t="shared" si="8"/>
        <v>11.4</v>
      </c>
    </row>
    <row r="126" spans="1:7" x14ac:dyDescent="0.3">
      <c r="A126" s="2">
        <f t="shared" si="9"/>
        <v>46206.583333333634</v>
      </c>
      <c r="B126">
        <v>34.299999999999997</v>
      </c>
      <c r="C126" s="2">
        <f t="shared" si="5"/>
        <v>46206</v>
      </c>
      <c r="D126" s="1">
        <f t="shared" si="6"/>
        <v>14</v>
      </c>
      <c r="E126" t="str">
        <f t="shared" si="7"/>
        <v>Friday</v>
      </c>
      <c r="F126">
        <f>Assumptions!$B$2</f>
        <v>0.5</v>
      </c>
      <c r="G126">
        <f t="shared" si="8"/>
        <v>17.149999999999999</v>
      </c>
    </row>
    <row r="127" spans="1:7" x14ac:dyDescent="0.3">
      <c r="A127" s="2">
        <f t="shared" si="9"/>
        <v>46206.60416666697</v>
      </c>
      <c r="B127">
        <v>20.100000000000001</v>
      </c>
      <c r="C127" s="2">
        <f t="shared" si="5"/>
        <v>46206</v>
      </c>
      <c r="D127" s="1">
        <f t="shared" si="6"/>
        <v>14.5</v>
      </c>
      <c r="E127" t="str">
        <f t="shared" si="7"/>
        <v>Friday</v>
      </c>
      <c r="F127">
        <f>Assumptions!$B$2</f>
        <v>0.5</v>
      </c>
      <c r="G127">
        <f t="shared" si="8"/>
        <v>10.050000000000001</v>
      </c>
    </row>
    <row r="128" spans="1:7" x14ac:dyDescent="0.3">
      <c r="A128" s="2">
        <f t="shared" si="9"/>
        <v>46206.625000000306</v>
      </c>
      <c r="B128">
        <v>22.7</v>
      </c>
      <c r="C128" s="2">
        <f t="shared" si="5"/>
        <v>46206</v>
      </c>
      <c r="D128" s="1">
        <f t="shared" si="6"/>
        <v>15</v>
      </c>
      <c r="E128" t="str">
        <f t="shared" si="7"/>
        <v>Friday</v>
      </c>
      <c r="F128">
        <f>Assumptions!$B$2</f>
        <v>0.5</v>
      </c>
      <c r="G128">
        <f t="shared" si="8"/>
        <v>11.35</v>
      </c>
    </row>
    <row r="129" spans="1:7" x14ac:dyDescent="0.3">
      <c r="A129" s="2">
        <f t="shared" si="9"/>
        <v>46206.645833333641</v>
      </c>
      <c r="B129">
        <v>23</v>
      </c>
      <c r="C129" s="2">
        <f t="shared" si="5"/>
        <v>46206</v>
      </c>
      <c r="D129" s="1">
        <f t="shared" si="6"/>
        <v>15.5</v>
      </c>
      <c r="E129" t="str">
        <f t="shared" si="7"/>
        <v>Friday</v>
      </c>
      <c r="F129">
        <f>Assumptions!$B$2</f>
        <v>0.5</v>
      </c>
      <c r="G129">
        <f t="shared" si="8"/>
        <v>11.5</v>
      </c>
    </row>
    <row r="130" spans="1:7" x14ac:dyDescent="0.3">
      <c r="A130" s="2">
        <f t="shared" si="9"/>
        <v>46206.666666666977</v>
      </c>
      <c r="B130">
        <v>16.5</v>
      </c>
      <c r="C130" s="2">
        <f t="shared" si="5"/>
        <v>46206</v>
      </c>
      <c r="D130" s="1">
        <f t="shared" si="6"/>
        <v>16</v>
      </c>
      <c r="E130" t="str">
        <f t="shared" si="7"/>
        <v>Friday</v>
      </c>
      <c r="F130">
        <f>Assumptions!$B$2</f>
        <v>0.5</v>
      </c>
      <c r="G130">
        <f t="shared" si="8"/>
        <v>8.25</v>
      </c>
    </row>
    <row r="131" spans="1:7" x14ac:dyDescent="0.3">
      <c r="A131" s="2">
        <f t="shared" si="9"/>
        <v>46206.687500000313</v>
      </c>
      <c r="B131">
        <v>16.3</v>
      </c>
      <c r="C131" s="2">
        <f t="shared" ref="C131:C194" si="10">INT(A131)</f>
        <v>46206</v>
      </c>
      <c r="D131" s="1">
        <f t="shared" ref="D131:D194" si="11">HOUR(A131)+MINUTE(A131)/60</f>
        <v>16.5</v>
      </c>
      <c r="E131" t="str">
        <f t="shared" ref="E131:E194" si="12">TEXT(A131,"dddd")</f>
        <v>Friday</v>
      </c>
      <c r="F131">
        <f>Assumptions!$B$2</f>
        <v>0.5</v>
      </c>
      <c r="G131">
        <f t="shared" ref="G131:G194" si="13">B131*F131</f>
        <v>8.15</v>
      </c>
    </row>
    <row r="132" spans="1:7" x14ac:dyDescent="0.3">
      <c r="A132" s="2">
        <f t="shared" ref="A132:A195" si="14">A131+TIME(0,30,0)</f>
        <v>46206.708333333649</v>
      </c>
      <c r="B132">
        <v>16.8</v>
      </c>
      <c r="C132" s="2">
        <f t="shared" si="10"/>
        <v>46206</v>
      </c>
      <c r="D132" s="1">
        <f t="shared" si="11"/>
        <v>17</v>
      </c>
      <c r="E132" t="str">
        <f t="shared" si="12"/>
        <v>Friday</v>
      </c>
      <c r="F132">
        <f>Assumptions!$B$2</f>
        <v>0.5</v>
      </c>
      <c r="G132">
        <f t="shared" si="13"/>
        <v>8.4</v>
      </c>
    </row>
    <row r="133" spans="1:7" x14ac:dyDescent="0.3">
      <c r="A133" s="2">
        <f t="shared" si="14"/>
        <v>46206.729166666984</v>
      </c>
      <c r="B133">
        <v>14</v>
      </c>
      <c r="C133" s="2">
        <f t="shared" si="10"/>
        <v>46206</v>
      </c>
      <c r="D133" s="1">
        <f t="shared" si="11"/>
        <v>17.5</v>
      </c>
      <c r="E133" t="str">
        <f t="shared" si="12"/>
        <v>Friday</v>
      </c>
      <c r="F133">
        <f>Assumptions!$B$2</f>
        <v>0.5</v>
      </c>
      <c r="G133">
        <f t="shared" si="13"/>
        <v>7</v>
      </c>
    </row>
    <row r="134" spans="1:7" x14ac:dyDescent="0.3">
      <c r="A134" s="2">
        <f t="shared" si="14"/>
        <v>46206.75000000032</v>
      </c>
      <c r="B134">
        <v>18.2</v>
      </c>
      <c r="C134" s="2">
        <f t="shared" si="10"/>
        <v>46206</v>
      </c>
      <c r="D134" s="1">
        <f t="shared" si="11"/>
        <v>18</v>
      </c>
      <c r="E134" t="str">
        <f t="shared" si="12"/>
        <v>Friday</v>
      </c>
      <c r="F134">
        <f>Assumptions!$B$2</f>
        <v>0.5</v>
      </c>
      <c r="G134">
        <f t="shared" si="13"/>
        <v>9.1</v>
      </c>
    </row>
    <row r="135" spans="1:7" x14ac:dyDescent="0.3">
      <c r="A135" s="2">
        <f t="shared" si="14"/>
        <v>46206.770833333656</v>
      </c>
      <c r="B135">
        <v>11.6</v>
      </c>
      <c r="C135" s="2">
        <f t="shared" si="10"/>
        <v>46206</v>
      </c>
      <c r="D135" s="1">
        <f t="shared" si="11"/>
        <v>18.5</v>
      </c>
      <c r="E135" t="str">
        <f t="shared" si="12"/>
        <v>Friday</v>
      </c>
      <c r="F135">
        <f>Assumptions!$B$2</f>
        <v>0.5</v>
      </c>
      <c r="G135">
        <f t="shared" si="13"/>
        <v>5.8</v>
      </c>
    </row>
    <row r="136" spans="1:7" x14ac:dyDescent="0.3">
      <c r="A136" s="2">
        <f t="shared" si="14"/>
        <v>46206.791666666992</v>
      </c>
      <c r="B136">
        <v>5.8</v>
      </c>
      <c r="C136" s="2">
        <f t="shared" si="10"/>
        <v>46206</v>
      </c>
      <c r="D136" s="1">
        <f t="shared" si="11"/>
        <v>19</v>
      </c>
      <c r="E136" t="str">
        <f t="shared" si="12"/>
        <v>Friday</v>
      </c>
      <c r="F136">
        <f>Assumptions!$B$2</f>
        <v>0.5</v>
      </c>
      <c r="G136">
        <f t="shared" si="13"/>
        <v>2.9</v>
      </c>
    </row>
    <row r="137" spans="1:7" x14ac:dyDescent="0.3">
      <c r="A137" s="2">
        <f t="shared" si="14"/>
        <v>46206.812500000327</v>
      </c>
      <c r="B137">
        <v>6.7</v>
      </c>
      <c r="C137" s="2">
        <f t="shared" si="10"/>
        <v>46206</v>
      </c>
      <c r="D137" s="1">
        <f t="shared" si="11"/>
        <v>19.5</v>
      </c>
      <c r="E137" t="str">
        <f t="shared" si="12"/>
        <v>Friday</v>
      </c>
      <c r="F137">
        <f>Assumptions!$B$2</f>
        <v>0.5</v>
      </c>
      <c r="G137">
        <f t="shared" si="13"/>
        <v>3.35</v>
      </c>
    </row>
    <row r="138" spans="1:7" x14ac:dyDescent="0.3">
      <c r="A138" s="2">
        <f t="shared" si="14"/>
        <v>46206.833333333663</v>
      </c>
      <c r="B138">
        <v>5.8</v>
      </c>
      <c r="C138" s="2">
        <f t="shared" si="10"/>
        <v>46206</v>
      </c>
      <c r="D138" s="1">
        <f t="shared" si="11"/>
        <v>20</v>
      </c>
      <c r="E138" t="str">
        <f t="shared" si="12"/>
        <v>Friday</v>
      </c>
      <c r="F138">
        <f>Assumptions!$B$2</f>
        <v>0.5</v>
      </c>
      <c r="G138">
        <f t="shared" si="13"/>
        <v>2.9</v>
      </c>
    </row>
    <row r="139" spans="1:7" x14ac:dyDescent="0.3">
      <c r="A139" s="2">
        <f t="shared" si="14"/>
        <v>46206.854166666999</v>
      </c>
      <c r="B139">
        <v>4.5</v>
      </c>
      <c r="C139" s="2">
        <f t="shared" si="10"/>
        <v>46206</v>
      </c>
      <c r="D139" s="1">
        <f t="shared" si="11"/>
        <v>20.5</v>
      </c>
      <c r="E139" t="str">
        <f t="shared" si="12"/>
        <v>Friday</v>
      </c>
      <c r="F139">
        <f>Assumptions!$B$2</f>
        <v>0.5</v>
      </c>
      <c r="G139">
        <f t="shared" si="13"/>
        <v>2.25</v>
      </c>
    </row>
    <row r="140" spans="1:7" x14ac:dyDescent="0.3">
      <c r="A140" s="2">
        <f t="shared" si="14"/>
        <v>46206.875000000335</v>
      </c>
      <c r="B140">
        <v>5.7</v>
      </c>
      <c r="C140" s="2">
        <f t="shared" si="10"/>
        <v>46206</v>
      </c>
      <c r="D140" s="1">
        <f t="shared" si="11"/>
        <v>21</v>
      </c>
      <c r="E140" t="str">
        <f t="shared" si="12"/>
        <v>Friday</v>
      </c>
      <c r="F140">
        <f>Assumptions!$B$2</f>
        <v>0.5</v>
      </c>
      <c r="G140">
        <f t="shared" si="13"/>
        <v>2.85</v>
      </c>
    </row>
    <row r="141" spans="1:7" x14ac:dyDescent="0.3">
      <c r="A141" s="2">
        <f t="shared" si="14"/>
        <v>46206.89583333367</v>
      </c>
      <c r="B141">
        <v>4.7</v>
      </c>
      <c r="C141" s="2">
        <f t="shared" si="10"/>
        <v>46206</v>
      </c>
      <c r="D141" s="1">
        <f t="shared" si="11"/>
        <v>21.5</v>
      </c>
      <c r="E141" t="str">
        <f t="shared" si="12"/>
        <v>Friday</v>
      </c>
      <c r="F141">
        <f>Assumptions!$B$2</f>
        <v>0.5</v>
      </c>
      <c r="G141">
        <f t="shared" si="13"/>
        <v>2.35</v>
      </c>
    </row>
    <row r="142" spans="1:7" x14ac:dyDescent="0.3">
      <c r="A142" s="2">
        <f t="shared" si="14"/>
        <v>46206.916666667006</v>
      </c>
      <c r="B142">
        <v>3.6</v>
      </c>
      <c r="C142" s="2">
        <f t="shared" si="10"/>
        <v>46206</v>
      </c>
      <c r="D142" s="1">
        <f t="shared" si="11"/>
        <v>22</v>
      </c>
      <c r="E142" t="str">
        <f t="shared" si="12"/>
        <v>Friday</v>
      </c>
      <c r="F142">
        <f>Assumptions!$B$2</f>
        <v>0.5</v>
      </c>
      <c r="G142">
        <f t="shared" si="13"/>
        <v>1.8</v>
      </c>
    </row>
    <row r="143" spans="1:7" x14ac:dyDescent="0.3">
      <c r="A143" s="2">
        <f t="shared" si="14"/>
        <v>46206.937500000342</v>
      </c>
      <c r="B143">
        <v>3.9</v>
      </c>
      <c r="C143" s="2">
        <f t="shared" si="10"/>
        <v>46206</v>
      </c>
      <c r="D143" s="1">
        <f t="shared" si="11"/>
        <v>22.5</v>
      </c>
      <c r="E143" t="str">
        <f t="shared" si="12"/>
        <v>Friday</v>
      </c>
      <c r="F143">
        <f>Assumptions!$B$2</f>
        <v>0.5</v>
      </c>
      <c r="G143">
        <f t="shared" si="13"/>
        <v>1.95</v>
      </c>
    </row>
    <row r="144" spans="1:7" x14ac:dyDescent="0.3">
      <c r="A144" s="2">
        <f t="shared" si="14"/>
        <v>46206.958333333678</v>
      </c>
      <c r="B144">
        <v>5.6</v>
      </c>
      <c r="C144" s="2">
        <f t="shared" si="10"/>
        <v>46206</v>
      </c>
      <c r="D144" s="1">
        <f t="shared" si="11"/>
        <v>23</v>
      </c>
      <c r="E144" t="str">
        <f t="shared" si="12"/>
        <v>Friday</v>
      </c>
      <c r="F144">
        <f>Assumptions!$B$2</f>
        <v>0.5</v>
      </c>
      <c r="G144">
        <f t="shared" si="13"/>
        <v>2.8</v>
      </c>
    </row>
    <row r="145" spans="1:7" x14ac:dyDescent="0.3">
      <c r="A145" s="2">
        <f t="shared" si="14"/>
        <v>46206.979166667013</v>
      </c>
      <c r="B145">
        <v>7</v>
      </c>
      <c r="C145" s="2">
        <f t="shared" si="10"/>
        <v>46206</v>
      </c>
      <c r="D145" s="1">
        <f t="shared" si="11"/>
        <v>23.5</v>
      </c>
      <c r="E145" t="str">
        <f t="shared" si="12"/>
        <v>Friday</v>
      </c>
      <c r="F145">
        <f>Assumptions!$B$2</f>
        <v>0.5</v>
      </c>
      <c r="G145">
        <f t="shared" si="13"/>
        <v>3.5</v>
      </c>
    </row>
    <row r="146" spans="1:7" x14ac:dyDescent="0.3">
      <c r="A146" s="2">
        <f t="shared" si="14"/>
        <v>46207.000000000349</v>
      </c>
      <c r="B146">
        <v>2.1</v>
      </c>
      <c r="C146" s="2">
        <f t="shared" si="10"/>
        <v>46207</v>
      </c>
      <c r="D146" s="1">
        <f t="shared" si="11"/>
        <v>0</v>
      </c>
      <c r="E146" t="str">
        <f t="shared" si="12"/>
        <v>Saturday</v>
      </c>
      <c r="F146">
        <f>Assumptions!$B$2</f>
        <v>0.5</v>
      </c>
      <c r="G146">
        <f t="shared" si="13"/>
        <v>1.05</v>
      </c>
    </row>
    <row r="147" spans="1:7" x14ac:dyDescent="0.3">
      <c r="A147" s="2">
        <f t="shared" si="14"/>
        <v>46207.020833333685</v>
      </c>
      <c r="B147">
        <v>3</v>
      </c>
      <c r="C147" s="2">
        <f t="shared" si="10"/>
        <v>46207</v>
      </c>
      <c r="D147" s="1">
        <f t="shared" si="11"/>
        <v>0.5</v>
      </c>
      <c r="E147" t="str">
        <f t="shared" si="12"/>
        <v>Saturday</v>
      </c>
      <c r="F147">
        <f>Assumptions!$B$2</f>
        <v>0.5</v>
      </c>
      <c r="G147">
        <f t="shared" si="13"/>
        <v>1.5</v>
      </c>
    </row>
    <row r="148" spans="1:7" x14ac:dyDescent="0.3">
      <c r="A148" s="2">
        <f t="shared" si="14"/>
        <v>46207.041666667021</v>
      </c>
      <c r="B148">
        <v>2</v>
      </c>
      <c r="C148" s="2">
        <f t="shared" si="10"/>
        <v>46207</v>
      </c>
      <c r="D148" s="1">
        <f t="shared" si="11"/>
        <v>1</v>
      </c>
      <c r="E148" t="str">
        <f t="shared" si="12"/>
        <v>Saturday</v>
      </c>
      <c r="F148">
        <f>Assumptions!$B$2</f>
        <v>0.5</v>
      </c>
      <c r="G148">
        <f t="shared" si="13"/>
        <v>1</v>
      </c>
    </row>
    <row r="149" spans="1:7" x14ac:dyDescent="0.3">
      <c r="A149" s="2">
        <f t="shared" si="14"/>
        <v>46207.062500000357</v>
      </c>
      <c r="B149">
        <v>2</v>
      </c>
      <c r="C149" s="2">
        <f t="shared" si="10"/>
        <v>46207</v>
      </c>
      <c r="D149" s="1">
        <f t="shared" si="11"/>
        <v>1.5</v>
      </c>
      <c r="E149" t="str">
        <f t="shared" si="12"/>
        <v>Saturday</v>
      </c>
      <c r="F149">
        <f>Assumptions!$B$2</f>
        <v>0.5</v>
      </c>
      <c r="G149">
        <f t="shared" si="13"/>
        <v>1</v>
      </c>
    </row>
    <row r="150" spans="1:7" x14ac:dyDescent="0.3">
      <c r="A150" s="2">
        <f t="shared" si="14"/>
        <v>46207.083333333692</v>
      </c>
      <c r="B150">
        <v>2.4</v>
      </c>
      <c r="C150" s="2">
        <f t="shared" si="10"/>
        <v>46207</v>
      </c>
      <c r="D150" s="1">
        <f t="shared" si="11"/>
        <v>2</v>
      </c>
      <c r="E150" t="str">
        <f t="shared" si="12"/>
        <v>Saturday</v>
      </c>
      <c r="F150">
        <f>Assumptions!$B$2</f>
        <v>0.5</v>
      </c>
      <c r="G150">
        <f t="shared" si="13"/>
        <v>1.2</v>
      </c>
    </row>
    <row r="151" spans="1:7" x14ac:dyDescent="0.3">
      <c r="A151" s="2">
        <f t="shared" si="14"/>
        <v>46207.104166667028</v>
      </c>
      <c r="B151">
        <v>2.5</v>
      </c>
      <c r="C151" s="2">
        <f t="shared" si="10"/>
        <v>46207</v>
      </c>
      <c r="D151" s="1">
        <f t="shared" si="11"/>
        <v>2.5</v>
      </c>
      <c r="E151" t="str">
        <f t="shared" si="12"/>
        <v>Saturday</v>
      </c>
      <c r="F151">
        <f>Assumptions!$B$2</f>
        <v>0.5</v>
      </c>
      <c r="G151">
        <f t="shared" si="13"/>
        <v>1.25</v>
      </c>
    </row>
    <row r="152" spans="1:7" x14ac:dyDescent="0.3">
      <c r="A152" s="2">
        <f t="shared" si="14"/>
        <v>46207.125000000364</v>
      </c>
      <c r="B152">
        <v>2.8</v>
      </c>
      <c r="C152" s="2">
        <f t="shared" si="10"/>
        <v>46207</v>
      </c>
      <c r="D152" s="1">
        <f t="shared" si="11"/>
        <v>3</v>
      </c>
      <c r="E152" t="str">
        <f t="shared" si="12"/>
        <v>Saturday</v>
      </c>
      <c r="F152">
        <f>Assumptions!$B$2</f>
        <v>0.5</v>
      </c>
      <c r="G152">
        <f t="shared" si="13"/>
        <v>1.4</v>
      </c>
    </row>
    <row r="153" spans="1:7" x14ac:dyDescent="0.3">
      <c r="A153" s="2">
        <f t="shared" si="14"/>
        <v>46207.1458333337</v>
      </c>
      <c r="B153">
        <v>3</v>
      </c>
      <c r="C153" s="2">
        <f t="shared" si="10"/>
        <v>46207</v>
      </c>
      <c r="D153" s="1">
        <f t="shared" si="11"/>
        <v>3.5</v>
      </c>
      <c r="E153" t="str">
        <f t="shared" si="12"/>
        <v>Saturday</v>
      </c>
      <c r="F153">
        <f>Assumptions!$B$2</f>
        <v>0.5</v>
      </c>
      <c r="G153">
        <f t="shared" si="13"/>
        <v>1.5</v>
      </c>
    </row>
    <row r="154" spans="1:7" x14ac:dyDescent="0.3">
      <c r="A154" s="2">
        <f t="shared" si="14"/>
        <v>46207.166666667035</v>
      </c>
      <c r="B154">
        <v>2.6</v>
      </c>
      <c r="C154" s="2">
        <f t="shared" si="10"/>
        <v>46207</v>
      </c>
      <c r="D154" s="1">
        <f t="shared" si="11"/>
        <v>4</v>
      </c>
      <c r="E154" t="str">
        <f t="shared" si="12"/>
        <v>Saturday</v>
      </c>
      <c r="F154">
        <f>Assumptions!$B$2</f>
        <v>0.5</v>
      </c>
      <c r="G154">
        <f t="shared" si="13"/>
        <v>1.3</v>
      </c>
    </row>
    <row r="155" spans="1:7" x14ac:dyDescent="0.3">
      <c r="A155" s="2">
        <f t="shared" si="14"/>
        <v>46207.187500000371</v>
      </c>
      <c r="B155">
        <v>2.2999999999999998</v>
      </c>
      <c r="C155" s="2">
        <f t="shared" si="10"/>
        <v>46207</v>
      </c>
      <c r="D155" s="1">
        <f t="shared" si="11"/>
        <v>4.5</v>
      </c>
      <c r="E155" t="str">
        <f t="shared" si="12"/>
        <v>Saturday</v>
      </c>
      <c r="F155">
        <f>Assumptions!$B$2</f>
        <v>0.5</v>
      </c>
      <c r="G155">
        <f t="shared" si="13"/>
        <v>1.1499999999999999</v>
      </c>
    </row>
    <row r="156" spans="1:7" x14ac:dyDescent="0.3">
      <c r="A156" s="2">
        <f t="shared" si="14"/>
        <v>46207.208333333707</v>
      </c>
      <c r="B156">
        <v>2.8</v>
      </c>
      <c r="C156" s="2">
        <f t="shared" si="10"/>
        <v>46207</v>
      </c>
      <c r="D156" s="1">
        <f t="shared" si="11"/>
        <v>5</v>
      </c>
      <c r="E156" t="str">
        <f t="shared" si="12"/>
        <v>Saturday</v>
      </c>
      <c r="F156">
        <f>Assumptions!$B$2</f>
        <v>0.5</v>
      </c>
      <c r="G156">
        <f t="shared" si="13"/>
        <v>1.4</v>
      </c>
    </row>
    <row r="157" spans="1:7" x14ac:dyDescent="0.3">
      <c r="A157" s="2">
        <f t="shared" si="14"/>
        <v>46207.229166667043</v>
      </c>
      <c r="B157">
        <v>2.1</v>
      </c>
      <c r="C157" s="2">
        <f t="shared" si="10"/>
        <v>46207</v>
      </c>
      <c r="D157" s="1">
        <f t="shared" si="11"/>
        <v>5.5</v>
      </c>
      <c r="E157" t="str">
        <f t="shared" si="12"/>
        <v>Saturday</v>
      </c>
      <c r="F157">
        <f>Assumptions!$B$2</f>
        <v>0.5</v>
      </c>
      <c r="G157">
        <f t="shared" si="13"/>
        <v>1.05</v>
      </c>
    </row>
    <row r="158" spans="1:7" x14ac:dyDescent="0.3">
      <c r="A158" s="2">
        <f t="shared" si="14"/>
        <v>46207.250000000378</v>
      </c>
      <c r="B158">
        <v>4.0999999999999996</v>
      </c>
      <c r="C158" s="2">
        <f t="shared" si="10"/>
        <v>46207</v>
      </c>
      <c r="D158" s="1">
        <f t="shared" si="11"/>
        <v>6</v>
      </c>
      <c r="E158" t="str">
        <f t="shared" si="12"/>
        <v>Saturday</v>
      </c>
      <c r="F158">
        <f>Assumptions!$B$2</f>
        <v>0.5</v>
      </c>
      <c r="G158">
        <f t="shared" si="13"/>
        <v>2.0499999999999998</v>
      </c>
    </row>
    <row r="159" spans="1:7" x14ac:dyDescent="0.3">
      <c r="A159" s="2">
        <f t="shared" si="14"/>
        <v>46207.270833333714</v>
      </c>
      <c r="B159">
        <v>5.0999999999999996</v>
      </c>
      <c r="C159" s="2">
        <f t="shared" si="10"/>
        <v>46207</v>
      </c>
      <c r="D159" s="1">
        <f t="shared" si="11"/>
        <v>6.5</v>
      </c>
      <c r="E159" t="str">
        <f t="shared" si="12"/>
        <v>Saturday</v>
      </c>
      <c r="F159">
        <f>Assumptions!$B$2</f>
        <v>0.5</v>
      </c>
      <c r="G159">
        <f t="shared" si="13"/>
        <v>2.5499999999999998</v>
      </c>
    </row>
    <row r="160" spans="1:7" x14ac:dyDescent="0.3">
      <c r="A160" s="2">
        <f t="shared" si="14"/>
        <v>46207.29166666705</v>
      </c>
      <c r="B160">
        <v>6.7</v>
      </c>
      <c r="C160" s="2">
        <f t="shared" si="10"/>
        <v>46207</v>
      </c>
      <c r="D160" s="1">
        <f t="shared" si="11"/>
        <v>7</v>
      </c>
      <c r="E160" t="str">
        <f t="shared" si="12"/>
        <v>Saturday</v>
      </c>
      <c r="F160">
        <f>Assumptions!$B$2</f>
        <v>0.5</v>
      </c>
      <c r="G160">
        <f t="shared" si="13"/>
        <v>3.35</v>
      </c>
    </row>
    <row r="161" spans="1:7" x14ac:dyDescent="0.3">
      <c r="A161" s="2">
        <f t="shared" si="14"/>
        <v>46207.312500000386</v>
      </c>
      <c r="B161">
        <v>6.5</v>
      </c>
      <c r="C161" s="2">
        <f t="shared" si="10"/>
        <v>46207</v>
      </c>
      <c r="D161" s="1">
        <f t="shared" si="11"/>
        <v>7.5</v>
      </c>
      <c r="E161" t="str">
        <f t="shared" si="12"/>
        <v>Saturday</v>
      </c>
      <c r="F161">
        <f>Assumptions!$B$2</f>
        <v>0.5</v>
      </c>
      <c r="G161">
        <f t="shared" si="13"/>
        <v>3.25</v>
      </c>
    </row>
    <row r="162" spans="1:7" x14ac:dyDescent="0.3">
      <c r="A162" s="2">
        <f t="shared" si="14"/>
        <v>46207.333333333721</v>
      </c>
      <c r="B162">
        <v>20.9</v>
      </c>
      <c r="C162" s="2">
        <f t="shared" si="10"/>
        <v>46207</v>
      </c>
      <c r="D162" s="1">
        <f t="shared" si="11"/>
        <v>8</v>
      </c>
      <c r="E162" t="str">
        <f t="shared" si="12"/>
        <v>Saturday</v>
      </c>
      <c r="F162">
        <f>Assumptions!$B$2</f>
        <v>0.5</v>
      </c>
      <c r="G162">
        <f t="shared" si="13"/>
        <v>10.45</v>
      </c>
    </row>
    <row r="163" spans="1:7" x14ac:dyDescent="0.3">
      <c r="A163" s="2">
        <f t="shared" si="14"/>
        <v>46207.354166667057</v>
      </c>
      <c r="B163">
        <v>21.1</v>
      </c>
      <c r="C163" s="2">
        <f t="shared" si="10"/>
        <v>46207</v>
      </c>
      <c r="D163" s="1">
        <f t="shared" si="11"/>
        <v>8.5</v>
      </c>
      <c r="E163" t="str">
        <f t="shared" si="12"/>
        <v>Saturday</v>
      </c>
      <c r="F163">
        <f>Assumptions!$B$2</f>
        <v>0.5</v>
      </c>
      <c r="G163">
        <f t="shared" si="13"/>
        <v>10.55</v>
      </c>
    </row>
    <row r="164" spans="1:7" x14ac:dyDescent="0.3">
      <c r="A164" s="2">
        <f t="shared" si="14"/>
        <v>46207.375000000393</v>
      </c>
      <c r="B164">
        <v>17.8</v>
      </c>
      <c r="C164" s="2">
        <f t="shared" si="10"/>
        <v>46207</v>
      </c>
      <c r="D164" s="1">
        <f t="shared" si="11"/>
        <v>9</v>
      </c>
      <c r="E164" t="str">
        <f t="shared" si="12"/>
        <v>Saturday</v>
      </c>
      <c r="F164">
        <f>Assumptions!$B$2</f>
        <v>0.5</v>
      </c>
      <c r="G164">
        <f t="shared" si="13"/>
        <v>8.9</v>
      </c>
    </row>
    <row r="165" spans="1:7" x14ac:dyDescent="0.3">
      <c r="A165" s="2">
        <f t="shared" si="14"/>
        <v>46207.395833333729</v>
      </c>
      <c r="B165">
        <v>13.9</v>
      </c>
      <c r="C165" s="2">
        <f t="shared" si="10"/>
        <v>46207</v>
      </c>
      <c r="D165" s="1">
        <f t="shared" si="11"/>
        <v>9.5</v>
      </c>
      <c r="E165" t="str">
        <f t="shared" si="12"/>
        <v>Saturday</v>
      </c>
      <c r="F165">
        <f>Assumptions!$B$2</f>
        <v>0.5</v>
      </c>
      <c r="G165">
        <f t="shared" si="13"/>
        <v>6.95</v>
      </c>
    </row>
    <row r="166" spans="1:7" x14ac:dyDescent="0.3">
      <c r="A166" s="2">
        <f t="shared" si="14"/>
        <v>46207.416666667064</v>
      </c>
      <c r="B166">
        <v>18.5</v>
      </c>
      <c r="C166" s="2">
        <f t="shared" si="10"/>
        <v>46207</v>
      </c>
      <c r="D166" s="1">
        <f t="shared" si="11"/>
        <v>10</v>
      </c>
      <c r="E166" t="str">
        <f t="shared" si="12"/>
        <v>Saturday</v>
      </c>
      <c r="F166">
        <f>Assumptions!$B$2</f>
        <v>0.5</v>
      </c>
      <c r="G166">
        <f t="shared" si="13"/>
        <v>9.25</v>
      </c>
    </row>
    <row r="167" spans="1:7" x14ac:dyDescent="0.3">
      <c r="A167" s="2">
        <f t="shared" si="14"/>
        <v>46207.4375000004</v>
      </c>
      <c r="B167">
        <v>13.6</v>
      </c>
      <c r="C167" s="2">
        <f t="shared" si="10"/>
        <v>46207</v>
      </c>
      <c r="D167" s="1">
        <f t="shared" si="11"/>
        <v>10.5</v>
      </c>
      <c r="E167" t="str">
        <f t="shared" si="12"/>
        <v>Saturday</v>
      </c>
      <c r="F167">
        <f>Assumptions!$B$2</f>
        <v>0.5</v>
      </c>
      <c r="G167">
        <f t="shared" si="13"/>
        <v>6.8</v>
      </c>
    </row>
    <row r="168" spans="1:7" x14ac:dyDescent="0.3">
      <c r="A168" s="2">
        <f t="shared" si="14"/>
        <v>46207.458333333736</v>
      </c>
      <c r="B168">
        <v>14.3</v>
      </c>
      <c r="C168" s="2">
        <f t="shared" si="10"/>
        <v>46207</v>
      </c>
      <c r="D168" s="1">
        <f t="shared" si="11"/>
        <v>11</v>
      </c>
      <c r="E168" t="str">
        <f t="shared" si="12"/>
        <v>Saturday</v>
      </c>
      <c r="F168">
        <f>Assumptions!$B$2</f>
        <v>0.5</v>
      </c>
      <c r="G168">
        <f t="shared" si="13"/>
        <v>7.15</v>
      </c>
    </row>
    <row r="169" spans="1:7" x14ac:dyDescent="0.3">
      <c r="A169" s="2">
        <f t="shared" si="14"/>
        <v>46207.479166667072</v>
      </c>
      <c r="B169">
        <v>14</v>
      </c>
      <c r="C169" s="2">
        <f t="shared" si="10"/>
        <v>46207</v>
      </c>
      <c r="D169" s="1">
        <f t="shared" si="11"/>
        <v>11.5</v>
      </c>
      <c r="E169" t="str">
        <f t="shared" si="12"/>
        <v>Saturday</v>
      </c>
      <c r="F169">
        <f>Assumptions!$B$2</f>
        <v>0.5</v>
      </c>
      <c r="G169">
        <f t="shared" si="13"/>
        <v>7</v>
      </c>
    </row>
    <row r="170" spans="1:7" x14ac:dyDescent="0.3">
      <c r="A170" s="2">
        <f t="shared" si="14"/>
        <v>46207.500000000407</v>
      </c>
      <c r="B170">
        <v>25.9</v>
      </c>
      <c r="C170" s="2">
        <f t="shared" si="10"/>
        <v>46207</v>
      </c>
      <c r="D170" s="1">
        <f t="shared" si="11"/>
        <v>12</v>
      </c>
      <c r="E170" t="str">
        <f t="shared" si="12"/>
        <v>Saturday</v>
      </c>
      <c r="F170">
        <f>Assumptions!$B$2</f>
        <v>0.5</v>
      </c>
      <c r="G170">
        <f t="shared" si="13"/>
        <v>12.95</v>
      </c>
    </row>
    <row r="171" spans="1:7" x14ac:dyDescent="0.3">
      <c r="A171" s="2">
        <f t="shared" si="14"/>
        <v>46207.520833333743</v>
      </c>
      <c r="B171">
        <v>23.9</v>
      </c>
      <c r="C171" s="2">
        <f t="shared" si="10"/>
        <v>46207</v>
      </c>
      <c r="D171" s="1">
        <f t="shared" si="11"/>
        <v>12.5</v>
      </c>
      <c r="E171" t="str">
        <f t="shared" si="12"/>
        <v>Saturday</v>
      </c>
      <c r="F171">
        <f>Assumptions!$B$2</f>
        <v>0.5</v>
      </c>
      <c r="G171">
        <f t="shared" si="13"/>
        <v>11.95</v>
      </c>
    </row>
    <row r="172" spans="1:7" x14ac:dyDescent="0.3">
      <c r="A172" s="2">
        <f t="shared" si="14"/>
        <v>46207.541666667079</v>
      </c>
      <c r="B172">
        <v>21</v>
      </c>
      <c r="C172" s="2">
        <f t="shared" si="10"/>
        <v>46207</v>
      </c>
      <c r="D172" s="1">
        <f t="shared" si="11"/>
        <v>13</v>
      </c>
      <c r="E172" t="str">
        <f t="shared" si="12"/>
        <v>Saturday</v>
      </c>
      <c r="F172">
        <f>Assumptions!$B$2</f>
        <v>0.5</v>
      </c>
      <c r="G172">
        <f t="shared" si="13"/>
        <v>10.5</v>
      </c>
    </row>
    <row r="173" spans="1:7" x14ac:dyDescent="0.3">
      <c r="A173" s="2">
        <f t="shared" si="14"/>
        <v>46207.562500000415</v>
      </c>
      <c r="B173">
        <v>28.2</v>
      </c>
      <c r="C173" s="2">
        <f t="shared" si="10"/>
        <v>46207</v>
      </c>
      <c r="D173" s="1">
        <f t="shared" si="11"/>
        <v>13.5</v>
      </c>
      <c r="E173" t="str">
        <f t="shared" si="12"/>
        <v>Saturday</v>
      </c>
      <c r="F173">
        <f>Assumptions!$B$2</f>
        <v>0.5</v>
      </c>
      <c r="G173">
        <f t="shared" si="13"/>
        <v>14.1</v>
      </c>
    </row>
    <row r="174" spans="1:7" x14ac:dyDescent="0.3">
      <c r="A174" s="2">
        <f t="shared" si="14"/>
        <v>46207.58333333375</v>
      </c>
      <c r="B174">
        <v>31.7</v>
      </c>
      <c r="C174" s="2">
        <f t="shared" si="10"/>
        <v>46207</v>
      </c>
      <c r="D174" s="1">
        <f t="shared" si="11"/>
        <v>14</v>
      </c>
      <c r="E174" t="str">
        <f t="shared" si="12"/>
        <v>Saturday</v>
      </c>
      <c r="F174">
        <f>Assumptions!$B$2</f>
        <v>0.5</v>
      </c>
      <c r="G174">
        <f t="shared" si="13"/>
        <v>15.85</v>
      </c>
    </row>
    <row r="175" spans="1:7" x14ac:dyDescent="0.3">
      <c r="A175" s="2">
        <f t="shared" si="14"/>
        <v>46207.604166667086</v>
      </c>
      <c r="B175">
        <v>18.2</v>
      </c>
      <c r="C175" s="2">
        <f t="shared" si="10"/>
        <v>46207</v>
      </c>
      <c r="D175" s="1">
        <f t="shared" si="11"/>
        <v>14.5</v>
      </c>
      <c r="E175" t="str">
        <f t="shared" si="12"/>
        <v>Saturday</v>
      </c>
      <c r="F175">
        <f>Assumptions!$B$2</f>
        <v>0.5</v>
      </c>
      <c r="G175">
        <f t="shared" si="13"/>
        <v>9.1</v>
      </c>
    </row>
    <row r="176" spans="1:7" x14ac:dyDescent="0.3">
      <c r="A176" s="2">
        <f t="shared" si="14"/>
        <v>46207.625000000422</v>
      </c>
      <c r="B176">
        <v>23.3</v>
      </c>
      <c r="C176" s="2">
        <f t="shared" si="10"/>
        <v>46207</v>
      </c>
      <c r="D176" s="1">
        <f t="shared" si="11"/>
        <v>15</v>
      </c>
      <c r="E176" t="str">
        <f t="shared" si="12"/>
        <v>Saturday</v>
      </c>
      <c r="F176">
        <f>Assumptions!$B$2</f>
        <v>0.5</v>
      </c>
      <c r="G176">
        <f t="shared" si="13"/>
        <v>11.65</v>
      </c>
    </row>
    <row r="177" spans="1:7" x14ac:dyDescent="0.3">
      <c r="A177" s="2">
        <f t="shared" si="14"/>
        <v>46207.645833333758</v>
      </c>
      <c r="B177">
        <v>23.3</v>
      </c>
      <c r="C177" s="2">
        <f t="shared" si="10"/>
        <v>46207</v>
      </c>
      <c r="D177" s="1">
        <f t="shared" si="11"/>
        <v>15.5</v>
      </c>
      <c r="E177" t="str">
        <f t="shared" si="12"/>
        <v>Saturday</v>
      </c>
      <c r="F177">
        <f>Assumptions!$B$2</f>
        <v>0.5</v>
      </c>
      <c r="G177">
        <f t="shared" si="13"/>
        <v>11.65</v>
      </c>
    </row>
    <row r="178" spans="1:7" x14ac:dyDescent="0.3">
      <c r="A178" s="2">
        <f t="shared" si="14"/>
        <v>46207.666666667094</v>
      </c>
      <c r="B178">
        <v>18.399999999999999</v>
      </c>
      <c r="C178" s="2">
        <f t="shared" si="10"/>
        <v>46207</v>
      </c>
      <c r="D178" s="1">
        <f t="shared" si="11"/>
        <v>16</v>
      </c>
      <c r="E178" t="str">
        <f t="shared" si="12"/>
        <v>Saturday</v>
      </c>
      <c r="F178">
        <f>Assumptions!$B$2</f>
        <v>0.5</v>
      </c>
      <c r="G178">
        <f t="shared" si="13"/>
        <v>9.1999999999999993</v>
      </c>
    </row>
    <row r="179" spans="1:7" x14ac:dyDescent="0.3">
      <c r="A179" s="2">
        <f t="shared" si="14"/>
        <v>46207.687500000429</v>
      </c>
      <c r="B179">
        <v>11.6</v>
      </c>
      <c r="C179" s="2">
        <f t="shared" si="10"/>
        <v>46207</v>
      </c>
      <c r="D179" s="1">
        <f t="shared" si="11"/>
        <v>16.5</v>
      </c>
      <c r="E179" t="str">
        <f t="shared" si="12"/>
        <v>Saturday</v>
      </c>
      <c r="F179">
        <f>Assumptions!$B$2</f>
        <v>0.5</v>
      </c>
      <c r="G179">
        <f t="shared" si="13"/>
        <v>5.8</v>
      </c>
    </row>
    <row r="180" spans="1:7" x14ac:dyDescent="0.3">
      <c r="A180" s="2">
        <f t="shared" si="14"/>
        <v>46207.708333333765</v>
      </c>
      <c r="B180">
        <v>15.7</v>
      </c>
      <c r="C180" s="2">
        <f t="shared" si="10"/>
        <v>46207</v>
      </c>
      <c r="D180" s="1">
        <f t="shared" si="11"/>
        <v>17</v>
      </c>
      <c r="E180" t="str">
        <f t="shared" si="12"/>
        <v>Saturday</v>
      </c>
      <c r="F180">
        <f>Assumptions!$B$2</f>
        <v>0.5</v>
      </c>
      <c r="G180">
        <f t="shared" si="13"/>
        <v>7.85</v>
      </c>
    </row>
    <row r="181" spans="1:7" x14ac:dyDescent="0.3">
      <c r="A181" s="2">
        <f t="shared" si="14"/>
        <v>46207.729166667101</v>
      </c>
      <c r="B181">
        <v>15.8</v>
      </c>
      <c r="C181" s="2">
        <f t="shared" si="10"/>
        <v>46207</v>
      </c>
      <c r="D181" s="1">
        <f t="shared" si="11"/>
        <v>17.5</v>
      </c>
      <c r="E181" t="str">
        <f t="shared" si="12"/>
        <v>Saturday</v>
      </c>
      <c r="F181">
        <f>Assumptions!$B$2</f>
        <v>0.5</v>
      </c>
      <c r="G181">
        <f t="shared" si="13"/>
        <v>7.9</v>
      </c>
    </row>
    <row r="182" spans="1:7" x14ac:dyDescent="0.3">
      <c r="A182" s="2">
        <f t="shared" si="14"/>
        <v>46207.750000000437</v>
      </c>
      <c r="B182">
        <v>13.5</v>
      </c>
      <c r="C182" s="2">
        <f t="shared" si="10"/>
        <v>46207</v>
      </c>
      <c r="D182" s="1">
        <f t="shared" si="11"/>
        <v>18</v>
      </c>
      <c r="E182" t="str">
        <f t="shared" si="12"/>
        <v>Saturday</v>
      </c>
      <c r="F182">
        <f>Assumptions!$B$2</f>
        <v>0.5</v>
      </c>
      <c r="G182">
        <f t="shared" si="13"/>
        <v>6.75</v>
      </c>
    </row>
    <row r="183" spans="1:7" x14ac:dyDescent="0.3">
      <c r="A183" s="2">
        <f t="shared" si="14"/>
        <v>46207.770833333772</v>
      </c>
      <c r="B183">
        <v>14.1</v>
      </c>
      <c r="C183" s="2">
        <f t="shared" si="10"/>
        <v>46207</v>
      </c>
      <c r="D183" s="1">
        <f t="shared" si="11"/>
        <v>18.5</v>
      </c>
      <c r="E183" t="str">
        <f t="shared" si="12"/>
        <v>Saturday</v>
      </c>
      <c r="F183">
        <f>Assumptions!$B$2</f>
        <v>0.5</v>
      </c>
      <c r="G183">
        <f t="shared" si="13"/>
        <v>7.05</v>
      </c>
    </row>
    <row r="184" spans="1:7" x14ac:dyDescent="0.3">
      <c r="A184" s="2">
        <f t="shared" si="14"/>
        <v>46207.791666667108</v>
      </c>
      <c r="B184">
        <v>5.0999999999999996</v>
      </c>
      <c r="C184" s="2">
        <f t="shared" si="10"/>
        <v>46207</v>
      </c>
      <c r="D184" s="1">
        <f t="shared" si="11"/>
        <v>19</v>
      </c>
      <c r="E184" t="str">
        <f t="shared" si="12"/>
        <v>Saturday</v>
      </c>
      <c r="F184">
        <f>Assumptions!$B$2</f>
        <v>0.5</v>
      </c>
      <c r="G184">
        <f t="shared" si="13"/>
        <v>2.5499999999999998</v>
      </c>
    </row>
    <row r="185" spans="1:7" x14ac:dyDescent="0.3">
      <c r="A185" s="2">
        <f t="shared" si="14"/>
        <v>46207.812500000444</v>
      </c>
      <c r="B185">
        <v>3.1</v>
      </c>
      <c r="C185" s="2">
        <f t="shared" si="10"/>
        <v>46207</v>
      </c>
      <c r="D185" s="1">
        <f t="shared" si="11"/>
        <v>19.5</v>
      </c>
      <c r="E185" t="str">
        <f t="shared" si="12"/>
        <v>Saturday</v>
      </c>
      <c r="F185">
        <f>Assumptions!$B$2</f>
        <v>0.5</v>
      </c>
      <c r="G185">
        <f t="shared" si="13"/>
        <v>1.55</v>
      </c>
    </row>
    <row r="186" spans="1:7" x14ac:dyDescent="0.3">
      <c r="A186" s="2">
        <f t="shared" si="14"/>
        <v>46207.83333333378</v>
      </c>
      <c r="B186">
        <v>4.9000000000000004</v>
      </c>
      <c r="C186" s="2">
        <f t="shared" si="10"/>
        <v>46207</v>
      </c>
      <c r="D186" s="1">
        <f t="shared" si="11"/>
        <v>20</v>
      </c>
      <c r="E186" t="str">
        <f t="shared" si="12"/>
        <v>Saturday</v>
      </c>
      <c r="F186">
        <f>Assumptions!$B$2</f>
        <v>0.5</v>
      </c>
      <c r="G186">
        <f t="shared" si="13"/>
        <v>2.4500000000000002</v>
      </c>
    </row>
    <row r="187" spans="1:7" x14ac:dyDescent="0.3">
      <c r="A187" s="2">
        <f t="shared" si="14"/>
        <v>46207.854166667115</v>
      </c>
      <c r="B187">
        <v>4.9000000000000004</v>
      </c>
      <c r="C187" s="2">
        <f t="shared" si="10"/>
        <v>46207</v>
      </c>
      <c r="D187" s="1">
        <f t="shared" si="11"/>
        <v>20.5</v>
      </c>
      <c r="E187" t="str">
        <f t="shared" si="12"/>
        <v>Saturday</v>
      </c>
      <c r="F187">
        <f>Assumptions!$B$2</f>
        <v>0.5</v>
      </c>
      <c r="G187">
        <f t="shared" si="13"/>
        <v>2.4500000000000002</v>
      </c>
    </row>
    <row r="188" spans="1:7" x14ac:dyDescent="0.3">
      <c r="A188" s="2">
        <f t="shared" si="14"/>
        <v>46207.875000000451</v>
      </c>
      <c r="B188">
        <v>3.5</v>
      </c>
      <c r="C188" s="2">
        <f t="shared" si="10"/>
        <v>46207</v>
      </c>
      <c r="D188" s="1">
        <f t="shared" si="11"/>
        <v>21</v>
      </c>
      <c r="E188" t="str">
        <f t="shared" si="12"/>
        <v>Saturday</v>
      </c>
      <c r="F188">
        <f>Assumptions!$B$2</f>
        <v>0.5</v>
      </c>
      <c r="G188">
        <f t="shared" si="13"/>
        <v>1.75</v>
      </c>
    </row>
    <row r="189" spans="1:7" x14ac:dyDescent="0.3">
      <c r="A189" s="2">
        <f t="shared" si="14"/>
        <v>46207.895833333787</v>
      </c>
      <c r="B189">
        <v>7.7</v>
      </c>
      <c r="C189" s="2">
        <f t="shared" si="10"/>
        <v>46207</v>
      </c>
      <c r="D189" s="1">
        <f t="shared" si="11"/>
        <v>21.5</v>
      </c>
      <c r="E189" t="str">
        <f t="shared" si="12"/>
        <v>Saturday</v>
      </c>
      <c r="F189">
        <f>Assumptions!$B$2</f>
        <v>0.5</v>
      </c>
      <c r="G189">
        <f t="shared" si="13"/>
        <v>3.85</v>
      </c>
    </row>
    <row r="190" spans="1:7" x14ac:dyDescent="0.3">
      <c r="A190" s="2">
        <f t="shared" si="14"/>
        <v>46207.916666667123</v>
      </c>
      <c r="B190">
        <v>7.5</v>
      </c>
      <c r="C190" s="2">
        <f t="shared" si="10"/>
        <v>46207</v>
      </c>
      <c r="D190" s="1">
        <f t="shared" si="11"/>
        <v>22</v>
      </c>
      <c r="E190" t="str">
        <f t="shared" si="12"/>
        <v>Saturday</v>
      </c>
      <c r="F190">
        <f>Assumptions!$B$2</f>
        <v>0.5</v>
      </c>
      <c r="G190">
        <f t="shared" si="13"/>
        <v>3.75</v>
      </c>
    </row>
    <row r="191" spans="1:7" x14ac:dyDescent="0.3">
      <c r="A191" s="2">
        <f t="shared" si="14"/>
        <v>46207.937500000458</v>
      </c>
      <c r="B191">
        <v>4.9000000000000004</v>
      </c>
      <c r="C191" s="2">
        <f t="shared" si="10"/>
        <v>46207</v>
      </c>
      <c r="D191" s="1">
        <f t="shared" si="11"/>
        <v>22.5</v>
      </c>
      <c r="E191" t="str">
        <f t="shared" si="12"/>
        <v>Saturday</v>
      </c>
      <c r="F191">
        <f>Assumptions!$B$2</f>
        <v>0.5</v>
      </c>
      <c r="G191">
        <f t="shared" si="13"/>
        <v>2.4500000000000002</v>
      </c>
    </row>
    <row r="192" spans="1:7" x14ac:dyDescent="0.3">
      <c r="A192" s="2">
        <f t="shared" si="14"/>
        <v>46207.958333333794</v>
      </c>
      <c r="B192">
        <v>5</v>
      </c>
      <c r="C192" s="2">
        <f t="shared" si="10"/>
        <v>46207</v>
      </c>
      <c r="D192" s="1">
        <f t="shared" si="11"/>
        <v>23</v>
      </c>
      <c r="E192" t="str">
        <f t="shared" si="12"/>
        <v>Saturday</v>
      </c>
      <c r="F192">
        <f>Assumptions!$B$2</f>
        <v>0.5</v>
      </c>
      <c r="G192">
        <f t="shared" si="13"/>
        <v>2.5</v>
      </c>
    </row>
    <row r="193" spans="1:7" x14ac:dyDescent="0.3">
      <c r="A193" s="2">
        <f t="shared" si="14"/>
        <v>46207.97916666713</v>
      </c>
      <c r="B193">
        <v>5.4</v>
      </c>
      <c r="C193" s="2">
        <f t="shared" si="10"/>
        <v>46207</v>
      </c>
      <c r="D193" s="1">
        <f t="shared" si="11"/>
        <v>23.5</v>
      </c>
      <c r="E193" t="str">
        <f t="shared" si="12"/>
        <v>Saturday</v>
      </c>
      <c r="F193">
        <f>Assumptions!$B$2</f>
        <v>0.5</v>
      </c>
      <c r="G193">
        <f t="shared" si="13"/>
        <v>2.7</v>
      </c>
    </row>
    <row r="194" spans="1:7" x14ac:dyDescent="0.3">
      <c r="A194" s="2">
        <f t="shared" si="14"/>
        <v>46208.000000000466</v>
      </c>
      <c r="B194">
        <v>2.2000000000000002</v>
      </c>
      <c r="C194" s="2">
        <f t="shared" si="10"/>
        <v>46208</v>
      </c>
      <c r="D194" s="1">
        <f t="shared" si="11"/>
        <v>0</v>
      </c>
      <c r="E194" t="str">
        <f t="shared" si="12"/>
        <v>Sunday</v>
      </c>
      <c r="F194">
        <f>Assumptions!$B$2</f>
        <v>0.5</v>
      </c>
      <c r="G194">
        <f t="shared" si="13"/>
        <v>1.1000000000000001</v>
      </c>
    </row>
    <row r="195" spans="1:7" x14ac:dyDescent="0.3">
      <c r="A195" s="2">
        <f t="shared" si="14"/>
        <v>46208.020833333801</v>
      </c>
      <c r="B195">
        <v>2.2000000000000002</v>
      </c>
      <c r="C195" s="2">
        <f t="shared" ref="C195:C258" si="15">INT(A195)</f>
        <v>46208</v>
      </c>
      <c r="D195" s="1">
        <f t="shared" ref="D195:D258" si="16">HOUR(A195)+MINUTE(A195)/60</f>
        <v>0.5</v>
      </c>
      <c r="E195" t="str">
        <f t="shared" ref="E195:E258" si="17">TEXT(A195,"dddd")</f>
        <v>Sunday</v>
      </c>
      <c r="F195">
        <f>Assumptions!$B$2</f>
        <v>0.5</v>
      </c>
      <c r="G195">
        <f t="shared" ref="G195:G258" si="18">B195*F195</f>
        <v>1.1000000000000001</v>
      </c>
    </row>
    <row r="196" spans="1:7" x14ac:dyDescent="0.3">
      <c r="A196" s="2">
        <f t="shared" ref="A196:A259" si="19">A195+TIME(0,30,0)</f>
        <v>46208.041666667137</v>
      </c>
      <c r="B196">
        <v>1.9</v>
      </c>
      <c r="C196" s="2">
        <f t="shared" si="15"/>
        <v>46208</v>
      </c>
      <c r="D196" s="1">
        <f t="shared" si="16"/>
        <v>1</v>
      </c>
      <c r="E196" t="str">
        <f t="shared" si="17"/>
        <v>Sunday</v>
      </c>
      <c r="F196">
        <f>Assumptions!$B$2</f>
        <v>0.5</v>
      </c>
      <c r="G196">
        <f t="shared" si="18"/>
        <v>0.95</v>
      </c>
    </row>
    <row r="197" spans="1:7" x14ac:dyDescent="0.3">
      <c r="A197" s="2">
        <f t="shared" si="19"/>
        <v>46208.062500000473</v>
      </c>
      <c r="B197">
        <v>2.9</v>
      </c>
      <c r="C197" s="2">
        <f t="shared" si="15"/>
        <v>46208</v>
      </c>
      <c r="D197" s="1">
        <f t="shared" si="16"/>
        <v>1.5</v>
      </c>
      <c r="E197" t="str">
        <f t="shared" si="17"/>
        <v>Sunday</v>
      </c>
      <c r="F197">
        <f>Assumptions!$B$2</f>
        <v>0.5</v>
      </c>
      <c r="G197">
        <f t="shared" si="18"/>
        <v>1.45</v>
      </c>
    </row>
    <row r="198" spans="1:7" x14ac:dyDescent="0.3">
      <c r="A198" s="2">
        <f t="shared" si="19"/>
        <v>46208.083333333809</v>
      </c>
      <c r="B198">
        <v>2</v>
      </c>
      <c r="C198" s="2">
        <f t="shared" si="15"/>
        <v>46208</v>
      </c>
      <c r="D198" s="1">
        <f t="shared" si="16"/>
        <v>2</v>
      </c>
      <c r="E198" t="str">
        <f t="shared" si="17"/>
        <v>Sunday</v>
      </c>
      <c r="F198">
        <f>Assumptions!$B$2</f>
        <v>0.5</v>
      </c>
      <c r="G198">
        <f t="shared" si="18"/>
        <v>1</v>
      </c>
    </row>
    <row r="199" spans="1:7" x14ac:dyDescent="0.3">
      <c r="A199" s="2">
        <f t="shared" si="19"/>
        <v>46208.104166667144</v>
      </c>
      <c r="B199">
        <v>2.7</v>
      </c>
      <c r="C199" s="2">
        <f t="shared" si="15"/>
        <v>46208</v>
      </c>
      <c r="D199" s="1">
        <f t="shared" si="16"/>
        <v>2.5</v>
      </c>
      <c r="E199" t="str">
        <f t="shared" si="17"/>
        <v>Sunday</v>
      </c>
      <c r="F199">
        <f>Assumptions!$B$2</f>
        <v>0.5</v>
      </c>
      <c r="G199">
        <f t="shared" si="18"/>
        <v>1.35</v>
      </c>
    </row>
    <row r="200" spans="1:7" x14ac:dyDescent="0.3">
      <c r="A200" s="2">
        <f t="shared" si="19"/>
        <v>46208.12500000048</v>
      </c>
      <c r="B200">
        <v>2</v>
      </c>
      <c r="C200" s="2">
        <f t="shared" si="15"/>
        <v>46208</v>
      </c>
      <c r="D200" s="1">
        <f t="shared" si="16"/>
        <v>3</v>
      </c>
      <c r="E200" t="str">
        <f t="shared" si="17"/>
        <v>Sunday</v>
      </c>
      <c r="F200">
        <f>Assumptions!$B$2</f>
        <v>0.5</v>
      </c>
      <c r="G200">
        <f t="shared" si="18"/>
        <v>1</v>
      </c>
    </row>
    <row r="201" spans="1:7" x14ac:dyDescent="0.3">
      <c r="A201" s="2">
        <f t="shared" si="19"/>
        <v>46208.145833333816</v>
      </c>
      <c r="B201">
        <v>2.4</v>
      </c>
      <c r="C201" s="2">
        <f t="shared" si="15"/>
        <v>46208</v>
      </c>
      <c r="D201" s="1">
        <f t="shared" si="16"/>
        <v>3.5</v>
      </c>
      <c r="E201" t="str">
        <f t="shared" si="17"/>
        <v>Sunday</v>
      </c>
      <c r="F201">
        <f>Assumptions!$B$2</f>
        <v>0.5</v>
      </c>
      <c r="G201">
        <f t="shared" si="18"/>
        <v>1.2</v>
      </c>
    </row>
    <row r="202" spans="1:7" x14ac:dyDescent="0.3">
      <c r="A202" s="2">
        <f t="shared" si="19"/>
        <v>46208.166666667152</v>
      </c>
      <c r="B202">
        <v>1.9</v>
      </c>
      <c r="C202" s="2">
        <f t="shared" si="15"/>
        <v>46208</v>
      </c>
      <c r="D202" s="1">
        <f t="shared" si="16"/>
        <v>4</v>
      </c>
      <c r="E202" t="str">
        <f t="shared" si="17"/>
        <v>Sunday</v>
      </c>
      <c r="F202">
        <f>Assumptions!$B$2</f>
        <v>0.5</v>
      </c>
      <c r="G202">
        <f t="shared" si="18"/>
        <v>0.95</v>
      </c>
    </row>
    <row r="203" spans="1:7" x14ac:dyDescent="0.3">
      <c r="A203" s="2">
        <f t="shared" si="19"/>
        <v>46208.187500000487</v>
      </c>
      <c r="B203">
        <v>2.7</v>
      </c>
      <c r="C203" s="2">
        <f t="shared" si="15"/>
        <v>46208</v>
      </c>
      <c r="D203" s="1">
        <f t="shared" si="16"/>
        <v>4.5</v>
      </c>
      <c r="E203" t="str">
        <f t="shared" si="17"/>
        <v>Sunday</v>
      </c>
      <c r="F203">
        <f>Assumptions!$B$2</f>
        <v>0.5</v>
      </c>
      <c r="G203">
        <f t="shared" si="18"/>
        <v>1.35</v>
      </c>
    </row>
    <row r="204" spans="1:7" x14ac:dyDescent="0.3">
      <c r="A204" s="2">
        <f t="shared" si="19"/>
        <v>46208.208333333823</v>
      </c>
      <c r="B204">
        <v>1.8</v>
      </c>
      <c r="C204" s="2">
        <f t="shared" si="15"/>
        <v>46208</v>
      </c>
      <c r="D204" s="1">
        <f t="shared" si="16"/>
        <v>5</v>
      </c>
      <c r="E204" t="str">
        <f t="shared" si="17"/>
        <v>Sunday</v>
      </c>
      <c r="F204">
        <f>Assumptions!$B$2</f>
        <v>0.5</v>
      </c>
      <c r="G204">
        <f t="shared" si="18"/>
        <v>0.9</v>
      </c>
    </row>
    <row r="205" spans="1:7" x14ac:dyDescent="0.3">
      <c r="A205" s="2">
        <f t="shared" si="19"/>
        <v>46208.229166667159</v>
      </c>
      <c r="B205">
        <v>2.6</v>
      </c>
      <c r="C205" s="2">
        <f t="shared" si="15"/>
        <v>46208</v>
      </c>
      <c r="D205" s="1">
        <f t="shared" si="16"/>
        <v>5.5</v>
      </c>
      <c r="E205" t="str">
        <f t="shared" si="17"/>
        <v>Sunday</v>
      </c>
      <c r="F205">
        <f>Assumptions!$B$2</f>
        <v>0.5</v>
      </c>
      <c r="G205">
        <f t="shared" si="18"/>
        <v>1.3</v>
      </c>
    </row>
    <row r="206" spans="1:7" x14ac:dyDescent="0.3">
      <c r="A206" s="2">
        <f t="shared" si="19"/>
        <v>46208.250000000495</v>
      </c>
      <c r="B206">
        <v>7.3</v>
      </c>
      <c r="C206" s="2">
        <f t="shared" si="15"/>
        <v>46208</v>
      </c>
      <c r="D206" s="1">
        <f t="shared" si="16"/>
        <v>6</v>
      </c>
      <c r="E206" t="str">
        <f t="shared" si="17"/>
        <v>Sunday</v>
      </c>
      <c r="F206">
        <f>Assumptions!$B$2</f>
        <v>0.5</v>
      </c>
      <c r="G206">
        <f t="shared" si="18"/>
        <v>3.65</v>
      </c>
    </row>
    <row r="207" spans="1:7" x14ac:dyDescent="0.3">
      <c r="A207" s="2">
        <f t="shared" si="19"/>
        <v>46208.270833333831</v>
      </c>
      <c r="B207">
        <v>4</v>
      </c>
      <c r="C207" s="2">
        <f t="shared" si="15"/>
        <v>46208</v>
      </c>
      <c r="D207" s="1">
        <f t="shared" si="16"/>
        <v>6.5</v>
      </c>
      <c r="E207" t="str">
        <f t="shared" si="17"/>
        <v>Sunday</v>
      </c>
      <c r="F207">
        <f>Assumptions!$B$2</f>
        <v>0.5</v>
      </c>
      <c r="G207">
        <f t="shared" si="18"/>
        <v>2</v>
      </c>
    </row>
    <row r="208" spans="1:7" x14ac:dyDescent="0.3">
      <c r="A208" s="2">
        <f t="shared" si="19"/>
        <v>46208.291666667166</v>
      </c>
      <c r="B208">
        <v>4.7</v>
      </c>
      <c r="C208" s="2">
        <f t="shared" si="15"/>
        <v>46208</v>
      </c>
      <c r="D208" s="1">
        <f t="shared" si="16"/>
        <v>7</v>
      </c>
      <c r="E208" t="str">
        <f t="shared" si="17"/>
        <v>Sunday</v>
      </c>
      <c r="F208">
        <f>Assumptions!$B$2</f>
        <v>0.5</v>
      </c>
      <c r="G208">
        <f t="shared" si="18"/>
        <v>2.35</v>
      </c>
    </row>
    <row r="209" spans="1:7" x14ac:dyDescent="0.3">
      <c r="A209" s="2">
        <f t="shared" si="19"/>
        <v>46208.312500000502</v>
      </c>
      <c r="B209">
        <v>5.9</v>
      </c>
      <c r="C209" s="2">
        <f t="shared" si="15"/>
        <v>46208</v>
      </c>
      <c r="D209" s="1">
        <f t="shared" si="16"/>
        <v>7.5</v>
      </c>
      <c r="E209" t="str">
        <f t="shared" si="17"/>
        <v>Sunday</v>
      </c>
      <c r="F209">
        <f>Assumptions!$B$2</f>
        <v>0.5</v>
      </c>
      <c r="G209">
        <f t="shared" si="18"/>
        <v>2.95</v>
      </c>
    </row>
    <row r="210" spans="1:7" x14ac:dyDescent="0.3">
      <c r="A210" s="2">
        <f t="shared" si="19"/>
        <v>46208.333333333838</v>
      </c>
      <c r="B210">
        <v>12.6</v>
      </c>
      <c r="C210" s="2">
        <f t="shared" si="15"/>
        <v>46208</v>
      </c>
      <c r="D210" s="1">
        <f t="shared" si="16"/>
        <v>8</v>
      </c>
      <c r="E210" t="str">
        <f t="shared" si="17"/>
        <v>Sunday</v>
      </c>
      <c r="F210">
        <f>Assumptions!$B$2</f>
        <v>0.5</v>
      </c>
      <c r="G210">
        <f t="shared" si="18"/>
        <v>6.3</v>
      </c>
    </row>
    <row r="211" spans="1:7" x14ac:dyDescent="0.3">
      <c r="A211" s="2">
        <f t="shared" si="19"/>
        <v>46208.354166667174</v>
      </c>
      <c r="B211">
        <v>21.5</v>
      </c>
      <c r="C211" s="2">
        <f t="shared" si="15"/>
        <v>46208</v>
      </c>
      <c r="D211" s="1">
        <f t="shared" si="16"/>
        <v>8.5</v>
      </c>
      <c r="E211" t="str">
        <f t="shared" si="17"/>
        <v>Sunday</v>
      </c>
      <c r="F211">
        <f>Assumptions!$B$2</f>
        <v>0.5</v>
      </c>
      <c r="G211">
        <f t="shared" si="18"/>
        <v>10.75</v>
      </c>
    </row>
    <row r="212" spans="1:7" x14ac:dyDescent="0.3">
      <c r="A212" s="2">
        <f t="shared" si="19"/>
        <v>46208.375000000509</v>
      </c>
      <c r="B212">
        <v>15</v>
      </c>
      <c r="C212" s="2">
        <f t="shared" si="15"/>
        <v>46208</v>
      </c>
      <c r="D212" s="1">
        <f t="shared" si="16"/>
        <v>9</v>
      </c>
      <c r="E212" t="str">
        <f t="shared" si="17"/>
        <v>Sunday</v>
      </c>
      <c r="F212">
        <f>Assumptions!$B$2</f>
        <v>0.5</v>
      </c>
      <c r="G212">
        <f t="shared" si="18"/>
        <v>7.5</v>
      </c>
    </row>
    <row r="213" spans="1:7" x14ac:dyDescent="0.3">
      <c r="A213" s="2">
        <f t="shared" si="19"/>
        <v>46208.395833333845</v>
      </c>
      <c r="B213">
        <v>17.600000000000001</v>
      </c>
      <c r="C213" s="2">
        <f t="shared" si="15"/>
        <v>46208</v>
      </c>
      <c r="D213" s="1">
        <f t="shared" si="16"/>
        <v>9.5</v>
      </c>
      <c r="E213" t="str">
        <f t="shared" si="17"/>
        <v>Sunday</v>
      </c>
      <c r="F213">
        <f>Assumptions!$B$2</f>
        <v>0.5</v>
      </c>
      <c r="G213">
        <f t="shared" si="18"/>
        <v>8.8000000000000007</v>
      </c>
    </row>
    <row r="214" spans="1:7" x14ac:dyDescent="0.3">
      <c r="A214" s="2">
        <f t="shared" si="19"/>
        <v>46208.416666667181</v>
      </c>
      <c r="B214">
        <v>14.5</v>
      </c>
      <c r="C214" s="2">
        <f t="shared" si="15"/>
        <v>46208</v>
      </c>
      <c r="D214" s="1">
        <f t="shared" si="16"/>
        <v>10</v>
      </c>
      <c r="E214" t="str">
        <f t="shared" si="17"/>
        <v>Sunday</v>
      </c>
      <c r="F214">
        <f>Assumptions!$B$2</f>
        <v>0.5</v>
      </c>
      <c r="G214">
        <f t="shared" si="18"/>
        <v>7.25</v>
      </c>
    </row>
    <row r="215" spans="1:7" x14ac:dyDescent="0.3">
      <c r="A215" s="2">
        <f t="shared" si="19"/>
        <v>46208.437500000517</v>
      </c>
      <c r="B215">
        <v>21.5</v>
      </c>
      <c r="C215" s="2">
        <f t="shared" si="15"/>
        <v>46208</v>
      </c>
      <c r="D215" s="1">
        <f t="shared" si="16"/>
        <v>10.5</v>
      </c>
      <c r="E215" t="str">
        <f t="shared" si="17"/>
        <v>Sunday</v>
      </c>
      <c r="F215">
        <f>Assumptions!$B$2</f>
        <v>0.5</v>
      </c>
      <c r="G215">
        <f t="shared" si="18"/>
        <v>10.75</v>
      </c>
    </row>
    <row r="216" spans="1:7" x14ac:dyDescent="0.3">
      <c r="A216" s="2">
        <f t="shared" si="19"/>
        <v>46208.458333333852</v>
      </c>
      <c r="B216">
        <v>20.8</v>
      </c>
      <c r="C216" s="2">
        <f t="shared" si="15"/>
        <v>46208</v>
      </c>
      <c r="D216" s="1">
        <f t="shared" si="16"/>
        <v>11</v>
      </c>
      <c r="E216" t="str">
        <f t="shared" si="17"/>
        <v>Sunday</v>
      </c>
      <c r="F216">
        <f>Assumptions!$B$2</f>
        <v>0.5</v>
      </c>
      <c r="G216">
        <f t="shared" si="18"/>
        <v>10.4</v>
      </c>
    </row>
    <row r="217" spans="1:7" x14ac:dyDescent="0.3">
      <c r="A217" s="2">
        <f t="shared" si="19"/>
        <v>46208.479166667188</v>
      </c>
      <c r="B217">
        <v>20.399999999999999</v>
      </c>
      <c r="C217" s="2">
        <f t="shared" si="15"/>
        <v>46208</v>
      </c>
      <c r="D217" s="1">
        <f t="shared" si="16"/>
        <v>11.5</v>
      </c>
      <c r="E217" t="str">
        <f t="shared" si="17"/>
        <v>Sunday</v>
      </c>
      <c r="F217">
        <f>Assumptions!$B$2</f>
        <v>0.5</v>
      </c>
      <c r="G217">
        <f t="shared" si="18"/>
        <v>10.199999999999999</v>
      </c>
    </row>
    <row r="218" spans="1:7" x14ac:dyDescent="0.3">
      <c r="A218" s="2">
        <f t="shared" si="19"/>
        <v>46208.500000000524</v>
      </c>
      <c r="B218">
        <v>22.2</v>
      </c>
      <c r="C218" s="2">
        <f t="shared" si="15"/>
        <v>46208</v>
      </c>
      <c r="D218" s="1">
        <f t="shared" si="16"/>
        <v>12</v>
      </c>
      <c r="E218" t="str">
        <f t="shared" si="17"/>
        <v>Sunday</v>
      </c>
      <c r="F218">
        <f>Assumptions!$B$2</f>
        <v>0.5</v>
      </c>
      <c r="G218">
        <f t="shared" si="18"/>
        <v>11.1</v>
      </c>
    </row>
    <row r="219" spans="1:7" x14ac:dyDescent="0.3">
      <c r="A219" s="2">
        <f t="shared" si="19"/>
        <v>46208.52083333386</v>
      </c>
      <c r="B219">
        <v>24.5</v>
      </c>
      <c r="C219" s="2">
        <f t="shared" si="15"/>
        <v>46208</v>
      </c>
      <c r="D219" s="1">
        <f t="shared" si="16"/>
        <v>12.5</v>
      </c>
      <c r="E219" t="str">
        <f t="shared" si="17"/>
        <v>Sunday</v>
      </c>
      <c r="F219">
        <f>Assumptions!$B$2</f>
        <v>0.5</v>
      </c>
      <c r="G219">
        <f t="shared" si="18"/>
        <v>12.25</v>
      </c>
    </row>
    <row r="220" spans="1:7" x14ac:dyDescent="0.3">
      <c r="A220" s="2">
        <f t="shared" si="19"/>
        <v>46208.541666667195</v>
      </c>
      <c r="B220">
        <v>19.7</v>
      </c>
      <c r="C220" s="2">
        <f t="shared" si="15"/>
        <v>46208</v>
      </c>
      <c r="D220" s="1">
        <f t="shared" si="16"/>
        <v>13</v>
      </c>
      <c r="E220" t="str">
        <f t="shared" si="17"/>
        <v>Sunday</v>
      </c>
      <c r="F220">
        <f>Assumptions!$B$2</f>
        <v>0.5</v>
      </c>
      <c r="G220">
        <f t="shared" si="18"/>
        <v>9.85</v>
      </c>
    </row>
    <row r="221" spans="1:7" x14ac:dyDescent="0.3">
      <c r="A221" s="2">
        <f t="shared" si="19"/>
        <v>46208.562500000531</v>
      </c>
      <c r="B221">
        <v>31.2</v>
      </c>
      <c r="C221" s="2">
        <f t="shared" si="15"/>
        <v>46208</v>
      </c>
      <c r="D221" s="1">
        <f t="shared" si="16"/>
        <v>13.5</v>
      </c>
      <c r="E221" t="str">
        <f t="shared" si="17"/>
        <v>Sunday</v>
      </c>
      <c r="F221">
        <f>Assumptions!$B$2</f>
        <v>0.5</v>
      </c>
      <c r="G221">
        <f t="shared" si="18"/>
        <v>15.6</v>
      </c>
    </row>
    <row r="222" spans="1:7" x14ac:dyDescent="0.3">
      <c r="A222" s="2">
        <f t="shared" si="19"/>
        <v>46208.583333333867</v>
      </c>
      <c r="B222">
        <v>29.3</v>
      </c>
      <c r="C222" s="2">
        <f t="shared" si="15"/>
        <v>46208</v>
      </c>
      <c r="D222" s="1">
        <f t="shared" si="16"/>
        <v>14</v>
      </c>
      <c r="E222" t="str">
        <f t="shared" si="17"/>
        <v>Sunday</v>
      </c>
      <c r="F222">
        <f>Assumptions!$B$2</f>
        <v>0.5</v>
      </c>
      <c r="G222">
        <f t="shared" si="18"/>
        <v>14.65</v>
      </c>
    </row>
    <row r="223" spans="1:7" x14ac:dyDescent="0.3">
      <c r="A223" s="2">
        <f t="shared" si="19"/>
        <v>46208.604166667203</v>
      </c>
      <c r="B223">
        <v>20.399999999999999</v>
      </c>
      <c r="C223" s="2">
        <f t="shared" si="15"/>
        <v>46208</v>
      </c>
      <c r="D223" s="1">
        <f t="shared" si="16"/>
        <v>14.5</v>
      </c>
      <c r="E223" t="str">
        <f t="shared" si="17"/>
        <v>Sunday</v>
      </c>
      <c r="F223">
        <f>Assumptions!$B$2</f>
        <v>0.5</v>
      </c>
      <c r="G223">
        <f t="shared" si="18"/>
        <v>10.199999999999999</v>
      </c>
    </row>
    <row r="224" spans="1:7" x14ac:dyDescent="0.3">
      <c r="A224" s="2">
        <f t="shared" si="19"/>
        <v>46208.625000000538</v>
      </c>
      <c r="B224">
        <v>34.9</v>
      </c>
      <c r="C224" s="2">
        <f t="shared" si="15"/>
        <v>46208</v>
      </c>
      <c r="D224" s="1">
        <f t="shared" si="16"/>
        <v>15</v>
      </c>
      <c r="E224" t="str">
        <f t="shared" si="17"/>
        <v>Sunday</v>
      </c>
      <c r="F224">
        <f>Assumptions!$B$2</f>
        <v>0.5</v>
      </c>
      <c r="G224">
        <f t="shared" si="18"/>
        <v>17.45</v>
      </c>
    </row>
    <row r="225" spans="1:7" x14ac:dyDescent="0.3">
      <c r="A225" s="2">
        <f t="shared" si="19"/>
        <v>46208.645833333874</v>
      </c>
      <c r="B225">
        <v>21</v>
      </c>
      <c r="C225" s="2">
        <f t="shared" si="15"/>
        <v>46208</v>
      </c>
      <c r="D225" s="1">
        <f t="shared" si="16"/>
        <v>15.5</v>
      </c>
      <c r="E225" t="str">
        <f t="shared" si="17"/>
        <v>Sunday</v>
      </c>
      <c r="F225">
        <f>Assumptions!$B$2</f>
        <v>0.5</v>
      </c>
      <c r="G225">
        <f t="shared" si="18"/>
        <v>10.5</v>
      </c>
    </row>
    <row r="226" spans="1:7" x14ac:dyDescent="0.3">
      <c r="A226" s="2">
        <f t="shared" si="19"/>
        <v>46208.66666666721</v>
      </c>
      <c r="B226">
        <v>14.3</v>
      </c>
      <c r="C226" s="2">
        <f t="shared" si="15"/>
        <v>46208</v>
      </c>
      <c r="D226" s="1">
        <f t="shared" si="16"/>
        <v>16</v>
      </c>
      <c r="E226" t="str">
        <f t="shared" si="17"/>
        <v>Sunday</v>
      </c>
      <c r="F226">
        <f>Assumptions!$B$2</f>
        <v>0.5</v>
      </c>
      <c r="G226">
        <f t="shared" si="18"/>
        <v>7.15</v>
      </c>
    </row>
    <row r="227" spans="1:7" x14ac:dyDescent="0.3">
      <c r="A227" s="2">
        <f t="shared" si="19"/>
        <v>46208.687500000546</v>
      </c>
      <c r="B227">
        <v>13.5</v>
      </c>
      <c r="C227" s="2">
        <f t="shared" si="15"/>
        <v>46208</v>
      </c>
      <c r="D227" s="1">
        <f t="shared" si="16"/>
        <v>16.5</v>
      </c>
      <c r="E227" t="str">
        <f t="shared" si="17"/>
        <v>Sunday</v>
      </c>
      <c r="F227">
        <f>Assumptions!$B$2</f>
        <v>0.5</v>
      </c>
      <c r="G227">
        <f t="shared" si="18"/>
        <v>6.75</v>
      </c>
    </row>
    <row r="228" spans="1:7" x14ac:dyDescent="0.3">
      <c r="A228" s="2">
        <f t="shared" si="19"/>
        <v>46208.708333333881</v>
      </c>
      <c r="B228">
        <v>14.6</v>
      </c>
      <c r="C228" s="2">
        <f t="shared" si="15"/>
        <v>46208</v>
      </c>
      <c r="D228" s="1">
        <f t="shared" si="16"/>
        <v>17</v>
      </c>
      <c r="E228" t="str">
        <f t="shared" si="17"/>
        <v>Sunday</v>
      </c>
      <c r="F228">
        <f>Assumptions!$B$2</f>
        <v>0.5</v>
      </c>
      <c r="G228">
        <f t="shared" si="18"/>
        <v>7.3</v>
      </c>
    </row>
    <row r="229" spans="1:7" x14ac:dyDescent="0.3">
      <c r="A229" s="2">
        <f t="shared" si="19"/>
        <v>46208.729166667217</v>
      </c>
      <c r="B229">
        <v>15.6</v>
      </c>
      <c r="C229" s="2">
        <f t="shared" si="15"/>
        <v>46208</v>
      </c>
      <c r="D229" s="1">
        <f t="shared" si="16"/>
        <v>17.5</v>
      </c>
      <c r="E229" t="str">
        <f t="shared" si="17"/>
        <v>Sunday</v>
      </c>
      <c r="F229">
        <f>Assumptions!$B$2</f>
        <v>0.5</v>
      </c>
      <c r="G229">
        <f t="shared" si="18"/>
        <v>7.8</v>
      </c>
    </row>
    <row r="230" spans="1:7" x14ac:dyDescent="0.3">
      <c r="A230" s="2">
        <f t="shared" si="19"/>
        <v>46208.750000000553</v>
      </c>
      <c r="B230">
        <v>16.399999999999999</v>
      </c>
      <c r="C230" s="2">
        <f t="shared" si="15"/>
        <v>46208</v>
      </c>
      <c r="D230" s="1">
        <f t="shared" si="16"/>
        <v>18</v>
      </c>
      <c r="E230" t="str">
        <f t="shared" si="17"/>
        <v>Sunday</v>
      </c>
      <c r="F230">
        <f>Assumptions!$B$2</f>
        <v>0.5</v>
      </c>
      <c r="G230">
        <f t="shared" si="18"/>
        <v>8.1999999999999993</v>
      </c>
    </row>
    <row r="231" spans="1:7" x14ac:dyDescent="0.3">
      <c r="A231" s="2">
        <f t="shared" si="19"/>
        <v>46208.770833333889</v>
      </c>
      <c r="B231">
        <v>11.1</v>
      </c>
      <c r="C231" s="2">
        <f t="shared" si="15"/>
        <v>46208</v>
      </c>
      <c r="D231" s="1">
        <f t="shared" si="16"/>
        <v>18.5</v>
      </c>
      <c r="E231" t="str">
        <f t="shared" si="17"/>
        <v>Sunday</v>
      </c>
      <c r="F231">
        <f>Assumptions!$B$2</f>
        <v>0.5</v>
      </c>
      <c r="G231">
        <f t="shared" si="18"/>
        <v>5.55</v>
      </c>
    </row>
    <row r="232" spans="1:7" x14ac:dyDescent="0.3">
      <c r="A232" s="2">
        <f t="shared" si="19"/>
        <v>46208.791666667224</v>
      </c>
      <c r="B232">
        <v>3.5</v>
      </c>
      <c r="C232" s="2">
        <f t="shared" si="15"/>
        <v>46208</v>
      </c>
      <c r="D232" s="1">
        <f t="shared" si="16"/>
        <v>19</v>
      </c>
      <c r="E232" t="str">
        <f t="shared" si="17"/>
        <v>Sunday</v>
      </c>
      <c r="F232">
        <f>Assumptions!$B$2</f>
        <v>0.5</v>
      </c>
      <c r="G232">
        <f t="shared" si="18"/>
        <v>1.75</v>
      </c>
    </row>
    <row r="233" spans="1:7" x14ac:dyDescent="0.3">
      <c r="A233" s="2">
        <f t="shared" si="19"/>
        <v>46208.81250000056</v>
      </c>
      <c r="B233">
        <v>5.7</v>
      </c>
      <c r="C233" s="2">
        <f t="shared" si="15"/>
        <v>46208</v>
      </c>
      <c r="D233" s="1">
        <f t="shared" si="16"/>
        <v>19.5</v>
      </c>
      <c r="E233" t="str">
        <f t="shared" si="17"/>
        <v>Sunday</v>
      </c>
      <c r="F233">
        <f>Assumptions!$B$2</f>
        <v>0.5</v>
      </c>
      <c r="G233">
        <f t="shared" si="18"/>
        <v>2.85</v>
      </c>
    </row>
    <row r="234" spans="1:7" x14ac:dyDescent="0.3">
      <c r="A234" s="2">
        <f t="shared" si="19"/>
        <v>46208.833333333896</v>
      </c>
      <c r="B234">
        <v>8</v>
      </c>
      <c r="C234" s="2">
        <f t="shared" si="15"/>
        <v>46208</v>
      </c>
      <c r="D234" s="1">
        <f t="shared" si="16"/>
        <v>20</v>
      </c>
      <c r="E234" t="str">
        <f t="shared" si="17"/>
        <v>Sunday</v>
      </c>
      <c r="F234">
        <f>Assumptions!$B$2</f>
        <v>0.5</v>
      </c>
      <c r="G234">
        <f t="shared" si="18"/>
        <v>4</v>
      </c>
    </row>
    <row r="235" spans="1:7" x14ac:dyDescent="0.3">
      <c r="A235" s="2">
        <f t="shared" si="19"/>
        <v>46208.854166667232</v>
      </c>
      <c r="B235">
        <v>8</v>
      </c>
      <c r="C235" s="2">
        <f t="shared" si="15"/>
        <v>46208</v>
      </c>
      <c r="D235" s="1">
        <f t="shared" si="16"/>
        <v>20.5</v>
      </c>
      <c r="E235" t="str">
        <f t="shared" si="17"/>
        <v>Sunday</v>
      </c>
      <c r="F235">
        <f>Assumptions!$B$2</f>
        <v>0.5</v>
      </c>
      <c r="G235">
        <f t="shared" si="18"/>
        <v>4</v>
      </c>
    </row>
    <row r="236" spans="1:7" x14ac:dyDescent="0.3">
      <c r="A236" s="2">
        <f t="shared" si="19"/>
        <v>46208.875000000568</v>
      </c>
      <c r="B236">
        <v>6.1</v>
      </c>
      <c r="C236" s="2">
        <f t="shared" si="15"/>
        <v>46208</v>
      </c>
      <c r="D236" s="1">
        <f t="shared" si="16"/>
        <v>21</v>
      </c>
      <c r="E236" t="str">
        <f t="shared" si="17"/>
        <v>Sunday</v>
      </c>
      <c r="F236">
        <f>Assumptions!$B$2</f>
        <v>0.5</v>
      </c>
      <c r="G236">
        <f t="shared" si="18"/>
        <v>3.05</v>
      </c>
    </row>
    <row r="237" spans="1:7" x14ac:dyDescent="0.3">
      <c r="A237" s="2">
        <f t="shared" si="19"/>
        <v>46208.895833333903</v>
      </c>
      <c r="B237">
        <v>7.2</v>
      </c>
      <c r="C237" s="2">
        <f t="shared" si="15"/>
        <v>46208</v>
      </c>
      <c r="D237" s="1">
        <f t="shared" si="16"/>
        <v>21.5</v>
      </c>
      <c r="E237" t="str">
        <f t="shared" si="17"/>
        <v>Sunday</v>
      </c>
      <c r="F237">
        <f>Assumptions!$B$2</f>
        <v>0.5</v>
      </c>
      <c r="G237">
        <f t="shared" si="18"/>
        <v>3.6</v>
      </c>
    </row>
    <row r="238" spans="1:7" x14ac:dyDescent="0.3">
      <c r="A238" s="2">
        <f t="shared" si="19"/>
        <v>46208.916666667239</v>
      </c>
      <c r="B238">
        <v>6.5</v>
      </c>
      <c r="C238" s="2">
        <f t="shared" si="15"/>
        <v>46208</v>
      </c>
      <c r="D238" s="1">
        <f t="shared" si="16"/>
        <v>22</v>
      </c>
      <c r="E238" t="str">
        <f t="shared" si="17"/>
        <v>Sunday</v>
      </c>
      <c r="F238">
        <f>Assumptions!$B$2</f>
        <v>0.5</v>
      </c>
      <c r="G238">
        <f t="shared" si="18"/>
        <v>3.25</v>
      </c>
    </row>
    <row r="239" spans="1:7" x14ac:dyDescent="0.3">
      <c r="A239" s="2">
        <f t="shared" si="19"/>
        <v>46208.937500000575</v>
      </c>
      <c r="B239">
        <v>3.3</v>
      </c>
      <c r="C239" s="2">
        <f t="shared" si="15"/>
        <v>46208</v>
      </c>
      <c r="D239" s="1">
        <f t="shared" si="16"/>
        <v>22.5</v>
      </c>
      <c r="E239" t="str">
        <f t="shared" si="17"/>
        <v>Sunday</v>
      </c>
      <c r="F239">
        <f>Assumptions!$B$2</f>
        <v>0.5</v>
      </c>
      <c r="G239">
        <f t="shared" si="18"/>
        <v>1.65</v>
      </c>
    </row>
    <row r="240" spans="1:7" x14ac:dyDescent="0.3">
      <c r="A240" s="2">
        <f t="shared" si="19"/>
        <v>46208.958333333911</v>
      </c>
      <c r="B240">
        <v>5.8</v>
      </c>
      <c r="C240" s="2">
        <f t="shared" si="15"/>
        <v>46208</v>
      </c>
      <c r="D240" s="1">
        <f t="shared" si="16"/>
        <v>23</v>
      </c>
      <c r="E240" t="str">
        <f t="shared" si="17"/>
        <v>Sunday</v>
      </c>
      <c r="F240">
        <f>Assumptions!$B$2</f>
        <v>0.5</v>
      </c>
      <c r="G240">
        <f t="shared" si="18"/>
        <v>2.9</v>
      </c>
    </row>
    <row r="241" spans="1:7" x14ac:dyDescent="0.3">
      <c r="A241" s="2">
        <f t="shared" si="19"/>
        <v>46208.979166667246</v>
      </c>
      <c r="B241">
        <v>6.7</v>
      </c>
      <c r="C241" s="2">
        <f t="shared" si="15"/>
        <v>46208</v>
      </c>
      <c r="D241" s="1">
        <f t="shared" si="16"/>
        <v>23.5</v>
      </c>
      <c r="E241" t="str">
        <f t="shared" si="17"/>
        <v>Sunday</v>
      </c>
      <c r="F241">
        <f>Assumptions!$B$2</f>
        <v>0.5</v>
      </c>
      <c r="G241">
        <f t="shared" si="18"/>
        <v>3.35</v>
      </c>
    </row>
    <row r="242" spans="1:7" x14ac:dyDescent="0.3">
      <c r="A242" s="2">
        <f t="shared" si="19"/>
        <v>46209.000000000582</v>
      </c>
      <c r="B242">
        <v>1.8</v>
      </c>
      <c r="C242" s="2">
        <f t="shared" si="15"/>
        <v>46209</v>
      </c>
      <c r="D242" s="1">
        <f t="shared" si="16"/>
        <v>0</v>
      </c>
      <c r="E242" t="str">
        <f t="shared" si="17"/>
        <v>Monday</v>
      </c>
      <c r="F242">
        <f>Assumptions!$B$2</f>
        <v>0.5</v>
      </c>
      <c r="G242">
        <f t="shared" si="18"/>
        <v>0.9</v>
      </c>
    </row>
    <row r="243" spans="1:7" x14ac:dyDescent="0.3">
      <c r="A243" s="2">
        <f t="shared" si="19"/>
        <v>46209.020833333918</v>
      </c>
      <c r="B243">
        <v>1.9</v>
      </c>
      <c r="C243" s="2">
        <f t="shared" si="15"/>
        <v>46209</v>
      </c>
      <c r="D243" s="1">
        <f t="shared" si="16"/>
        <v>0.5</v>
      </c>
      <c r="E243" t="str">
        <f t="shared" si="17"/>
        <v>Monday</v>
      </c>
      <c r="F243">
        <f>Assumptions!$B$2</f>
        <v>0.5</v>
      </c>
      <c r="G243">
        <f t="shared" si="18"/>
        <v>0.95</v>
      </c>
    </row>
    <row r="244" spans="1:7" x14ac:dyDescent="0.3">
      <c r="A244" s="2">
        <f t="shared" si="19"/>
        <v>46209.041666667254</v>
      </c>
      <c r="B244">
        <v>1.8</v>
      </c>
      <c r="C244" s="2">
        <f t="shared" si="15"/>
        <v>46209</v>
      </c>
      <c r="D244" s="1">
        <f t="shared" si="16"/>
        <v>1</v>
      </c>
      <c r="E244" t="str">
        <f t="shared" si="17"/>
        <v>Monday</v>
      </c>
      <c r="F244">
        <f>Assumptions!$B$2</f>
        <v>0.5</v>
      </c>
      <c r="G244">
        <f t="shared" si="18"/>
        <v>0.9</v>
      </c>
    </row>
    <row r="245" spans="1:7" x14ac:dyDescent="0.3">
      <c r="A245" s="2">
        <f t="shared" si="19"/>
        <v>46209.062500000589</v>
      </c>
      <c r="B245">
        <v>2.5</v>
      </c>
      <c r="C245" s="2">
        <f t="shared" si="15"/>
        <v>46209</v>
      </c>
      <c r="D245" s="1">
        <f t="shared" si="16"/>
        <v>1.5</v>
      </c>
      <c r="E245" t="str">
        <f t="shared" si="17"/>
        <v>Monday</v>
      </c>
      <c r="F245">
        <f>Assumptions!$B$2</f>
        <v>0.5</v>
      </c>
      <c r="G245">
        <f t="shared" si="18"/>
        <v>1.25</v>
      </c>
    </row>
    <row r="246" spans="1:7" x14ac:dyDescent="0.3">
      <c r="A246" s="2">
        <f t="shared" si="19"/>
        <v>46209.083333333925</v>
      </c>
      <c r="B246">
        <v>2.5</v>
      </c>
      <c r="C246" s="2">
        <f t="shared" si="15"/>
        <v>46209</v>
      </c>
      <c r="D246" s="1">
        <f t="shared" si="16"/>
        <v>2</v>
      </c>
      <c r="E246" t="str">
        <f t="shared" si="17"/>
        <v>Monday</v>
      </c>
      <c r="F246">
        <f>Assumptions!$B$2</f>
        <v>0.5</v>
      </c>
      <c r="G246">
        <f t="shared" si="18"/>
        <v>1.25</v>
      </c>
    </row>
    <row r="247" spans="1:7" x14ac:dyDescent="0.3">
      <c r="A247" s="2">
        <f t="shared" si="19"/>
        <v>46209.104166667261</v>
      </c>
      <c r="B247">
        <v>2.7</v>
      </c>
      <c r="C247" s="2">
        <f t="shared" si="15"/>
        <v>46209</v>
      </c>
      <c r="D247" s="1">
        <f t="shared" si="16"/>
        <v>2.5</v>
      </c>
      <c r="E247" t="str">
        <f t="shared" si="17"/>
        <v>Monday</v>
      </c>
      <c r="F247">
        <f>Assumptions!$B$2</f>
        <v>0.5</v>
      </c>
      <c r="G247">
        <f t="shared" si="18"/>
        <v>1.35</v>
      </c>
    </row>
    <row r="248" spans="1:7" x14ac:dyDescent="0.3">
      <c r="A248" s="2">
        <f t="shared" si="19"/>
        <v>46209.125000000597</v>
      </c>
      <c r="B248">
        <v>2.6</v>
      </c>
      <c r="C248" s="2">
        <f t="shared" si="15"/>
        <v>46209</v>
      </c>
      <c r="D248" s="1">
        <f t="shared" si="16"/>
        <v>3</v>
      </c>
      <c r="E248" t="str">
        <f t="shared" si="17"/>
        <v>Monday</v>
      </c>
      <c r="F248">
        <f>Assumptions!$B$2</f>
        <v>0.5</v>
      </c>
      <c r="G248">
        <f t="shared" si="18"/>
        <v>1.3</v>
      </c>
    </row>
    <row r="249" spans="1:7" x14ac:dyDescent="0.3">
      <c r="A249" s="2">
        <f t="shared" si="19"/>
        <v>46209.145833333932</v>
      </c>
      <c r="B249">
        <v>2.4</v>
      </c>
      <c r="C249" s="2">
        <f t="shared" si="15"/>
        <v>46209</v>
      </c>
      <c r="D249" s="1">
        <f t="shared" si="16"/>
        <v>3.5</v>
      </c>
      <c r="E249" t="str">
        <f t="shared" si="17"/>
        <v>Monday</v>
      </c>
      <c r="F249">
        <f>Assumptions!$B$2</f>
        <v>0.5</v>
      </c>
      <c r="G249">
        <f t="shared" si="18"/>
        <v>1.2</v>
      </c>
    </row>
    <row r="250" spans="1:7" x14ac:dyDescent="0.3">
      <c r="A250" s="2">
        <f t="shared" si="19"/>
        <v>46209.166666667268</v>
      </c>
      <c r="B250">
        <v>2</v>
      </c>
      <c r="C250" s="2">
        <f t="shared" si="15"/>
        <v>46209</v>
      </c>
      <c r="D250" s="1">
        <f t="shared" si="16"/>
        <v>4</v>
      </c>
      <c r="E250" t="str">
        <f t="shared" si="17"/>
        <v>Monday</v>
      </c>
      <c r="F250">
        <f>Assumptions!$B$2</f>
        <v>0.5</v>
      </c>
      <c r="G250">
        <f t="shared" si="18"/>
        <v>1</v>
      </c>
    </row>
    <row r="251" spans="1:7" x14ac:dyDescent="0.3">
      <c r="A251" s="2">
        <f t="shared" si="19"/>
        <v>46209.187500000604</v>
      </c>
      <c r="B251">
        <v>2.2999999999999998</v>
      </c>
      <c r="C251" s="2">
        <f t="shared" si="15"/>
        <v>46209</v>
      </c>
      <c r="D251" s="1">
        <f t="shared" si="16"/>
        <v>4.5</v>
      </c>
      <c r="E251" t="str">
        <f t="shared" si="17"/>
        <v>Monday</v>
      </c>
      <c r="F251">
        <f>Assumptions!$B$2</f>
        <v>0.5</v>
      </c>
      <c r="G251">
        <f t="shared" si="18"/>
        <v>1.1499999999999999</v>
      </c>
    </row>
    <row r="252" spans="1:7" x14ac:dyDescent="0.3">
      <c r="A252" s="2">
        <f t="shared" si="19"/>
        <v>46209.20833333394</v>
      </c>
      <c r="B252">
        <v>2.2999999999999998</v>
      </c>
      <c r="C252" s="2">
        <f t="shared" si="15"/>
        <v>46209</v>
      </c>
      <c r="D252" s="1">
        <f t="shared" si="16"/>
        <v>5</v>
      </c>
      <c r="E252" t="str">
        <f t="shared" si="17"/>
        <v>Monday</v>
      </c>
      <c r="F252">
        <f>Assumptions!$B$2</f>
        <v>0.5</v>
      </c>
      <c r="G252">
        <f t="shared" si="18"/>
        <v>1.1499999999999999</v>
      </c>
    </row>
    <row r="253" spans="1:7" x14ac:dyDescent="0.3">
      <c r="A253" s="2">
        <f t="shared" si="19"/>
        <v>46209.229166667275</v>
      </c>
      <c r="B253">
        <v>3</v>
      </c>
      <c r="C253" s="2">
        <f t="shared" si="15"/>
        <v>46209</v>
      </c>
      <c r="D253" s="1">
        <f t="shared" si="16"/>
        <v>5.5</v>
      </c>
      <c r="E253" t="str">
        <f t="shared" si="17"/>
        <v>Monday</v>
      </c>
      <c r="F253">
        <f>Assumptions!$B$2</f>
        <v>0.5</v>
      </c>
      <c r="G253">
        <f t="shared" si="18"/>
        <v>1.5</v>
      </c>
    </row>
    <row r="254" spans="1:7" x14ac:dyDescent="0.3">
      <c r="A254" s="2">
        <f t="shared" si="19"/>
        <v>46209.250000000611</v>
      </c>
      <c r="B254">
        <v>7.1</v>
      </c>
      <c r="C254" s="2">
        <f t="shared" si="15"/>
        <v>46209</v>
      </c>
      <c r="D254" s="1">
        <f t="shared" si="16"/>
        <v>6</v>
      </c>
      <c r="E254" t="str">
        <f t="shared" si="17"/>
        <v>Monday</v>
      </c>
      <c r="F254">
        <f>Assumptions!$B$2</f>
        <v>0.5</v>
      </c>
      <c r="G254">
        <f t="shared" si="18"/>
        <v>3.55</v>
      </c>
    </row>
    <row r="255" spans="1:7" x14ac:dyDescent="0.3">
      <c r="A255" s="2">
        <f t="shared" si="19"/>
        <v>46209.270833333947</v>
      </c>
      <c r="B255">
        <v>4.5</v>
      </c>
      <c r="C255" s="2">
        <f t="shared" si="15"/>
        <v>46209</v>
      </c>
      <c r="D255" s="1">
        <f t="shared" si="16"/>
        <v>6.5</v>
      </c>
      <c r="E255" t="str">
        <f t="shared" si="17"/>
        <v>Monday</v>
      </c>
      <c r="F255">
        <f>Assumptions!$B$2</f>
        <v>0.5</v>
      </c>
      <c r="G255">
        <f t="shared" si="18"/>
        <v>2.25</v>
      </c>
    </row>
    <row r="256" spans="1:7" x14ac:dyDescent="0.3">
      <c r="A256" s="2">
        <f t="shared" si="19"/>
        <v>46209.291666667283</v>
      </c>
      <c r="B256">
        <v>6.8</v>
      </c>
      <c r="C256" s="2">
        <f t="shared" si="15"/>
        <v>46209</v>
      </c>
      <c r="D256" s="1">
        <f t="shared" si="16"/>
        <v>7</v>
      </c>
      <c r="E256" t="str">
        <f t="shared" si="17"/>
        <v>Monday</v>
      </c>
      <c r="F256">
        <f>Assumptions!$B$2</f>
        <v>0.5</v>
      </c>
      <c r="G256">
        <f t="shared" si="18"/>
        <v>3.4</v>
      </c>
    </row>
    <row r="257" spans="1:7" x14ac:dyDescent="0.3">
      <c r="A257" s="2">
        <f t="shared" si="19"/>
        <v>46209.312500000618</v>
      </c>
      <c r="B257">
        <v>5.0999999999999996</v>
      </c>
      <c r="C257" s="2">
        <f t="shared" si="15"/>
        <v>46209</v>
      </c>
      <c r="D257" s="1">
        <f t="shared" si="16"/>
        <v>7.5</v>
      </c>
      <c r="E257" t="str">
        <f t="shared" si="17"/>
        <v>Monday</v>
      </c>
      <c r="F257">
        <f>Assumptions!$B$2</f>
        <v>0.5</v>
      </c>
      <c r="G257">
        <f t="shared" si="18"/>
        <v>2.5499999999999998</v>
      </c>
    </row>
    <row r="258" spans="1:7" x14ac:dyDescent="0.3">
      <c r="A258" s="2">
        <f t="shared" si="19"/>
        <v>46209.333333333954</v>
      </c>
      <c r="B258">
        <v>16.3</v>
      </c>
      <c r="C258" s="2">
        <f t="shared" si="15"/>
        <v>46209</v>
      </c>
      <c r="D258" s="1">
        <f t="shared" si="16"/>
        <v>8</v>
      </c>
      <c r="E258" t="str">
        <f t="shared" si="17"/>
        <v>Monday</v>
      </c>
      <c r="F258">
        <f>Assumptions!$B$2</f>
        <v>0.5</v>
      </c>
      <c r="G258">
        <f t="shared" si="18"/>
        <v>8.15</v>
      </c>
    </row>
    <row r="259" spans="1:7" x14ac:dyDescent="0.3">
      <c r="A259" s="2">
        <f t="shared" si="19"/>
        <v>46209.35416666729</v>
      </c>
      <c r="B259">
        <v>12.1</v>
      </c>
      <c r="C259" s="2">
        <f t="shared" ref="C259:C322" si="20">INT(A259)</f>
        <v>46209</v>
      </c>
      <c r="D259" s="1">
        <f t="shared" ref="D259:D322" si="21">HOUR(A259)+MINUTE(A259)/60</f>
        <v>8.5</v>
      </c>
      <c r="E259" t="str">
        <f t="shared" ref="E259:E322" si="22">TEXT(A259,"dddd")</f>
        <v>Monday</v>
      </c>
      <c r="F259">
        <f>Assumptions!$B$2</f>
        <v>0.5</v>
      </c>
      <c r="G259">
        <f t="shared" ref="G259:G322" si="23">B259*F259</f>
        <v>6.05</v>
      </c>
    </row>
    <row r="260" spans="1:7" x14ac:dyDescent="0.3">
      <c r="A260" s="2">
        <f t="shared" ref="A260:A323" si="24">A259+TIME(0,30,0)</f>
        <v>46209.375000000626</v>
      </c>
      <c r="B260">
        <v>15</v>
      </c>
      <c r="C260" s="2">
        <f t="shared" si="20"/>
        <v>46209</v>
      </c>
      <c r="D260" s="1">
        <f t="shared" si="21"/>
        <v>9</v>
      </c>
      <c r="E260" t="str">
        <f t="shared" si="22"/>
        <v>Monday</v>
      </c>
      <c r="F260">
        <f>Assumptions!$B$2</f>
        <v>0.5</v>
      </c>
      <c r="G260">
        <f t="shared" si="23"/>
        <v>7.5</v>
      </c>
    </row>
    <row r="261" spans="1:7" x14ac:dyDescent="0.3">
      <c r="A261" s="2">
        <f t="shared" si="24"/>
        <v>46209.395833333961</v>
      </c>
      <c r="B261">
        <v>17</v>
      </c>
      <c r="C261" s="2">
        <f t="shared" si="20"/>
        <v>46209</v>
      </c>
      <c r="D261" s="1">
        <f t="shared" si="21"/>
        <v>9.5</v>
      </c>
      <c r="E261" t="str">
        <f t="shared" si="22"/>
        <v>Monday</v>
      </c>
      <c r="F261">
        <f>Assumptions!$B$2</f>
        <v>0.5</v>
      </c>
      <c r="G261">
        <f t="shared" si="23"/>
        <v>8.5</v>
      </c>
    </row>
    <row r="262" spans="1:7" x14ac:dyDescent="0.3">
      <c r="A262" s="2">
        <f t="shared" si="24"/>
        <v>46209.416666667297</v>
      </c>
      <c r="B262">
        <v>18.2</v>
      </c>
      <c r="C262" s="2">
        <f t="shared" si="20"/>
        <v>46209</v>
      </c>
      <c r="D262" s="1">
        <f t="shared" si="21"/>
        <v>10</v>
      </c>
      <c r="E262" t="str">
        <f t="shared" si="22"/>
        <v>Monday</v>
      </c>
      <c r="F262">
        <f>Assumptions!$B$2</f>
        <v>0.5</v>
      </c>
      <c r="G262">
        <f t="shared" si="23"/>
        <v>9.1</v>
      </c>
    </row>
    <row r="263" spans="1:7" x14ac:dyDescent="0.3">
      <c r="A263" s="2">
        <f t="shared" si="24"/>
        <v>46209.437500000633</v>
      </c>
      <c r="B263">
        <v>19.8</v>
      </c>
      <c r="C263" s="2">
        <f t="shared" si="20"/>
        <v>46209</v>
      </c>
      <c r="D263" s="1">
        <f t="shared" si="21"/>
        <v>10.5</v>
      </c>
      <c r="E263" t="str">
        <f t="shared" si="22"/>
        <v>Monday</v>
      </c>
      <c r="F263">
        <f>Assumptions!$B$2</f>
        <v>0.5</v>
      </c>
      <c r="G263">
        <f t="shared" si="23"/>
        <v>9.9</v>
      </c>
    </row>
    <row r="264" spans="1:7" x14ac:dyDescent="0.3">
      <c r="A264" s="2">
        <f t="shared" si="24"/>
        <v>46209.458333333969</v>
      </c>
      <c r="B264">
        <v>12.6</v>
      </c>
      <c r="C264" s="2">
        <f t="shared" si="20"/>
        <v>46209</v>
      </c>
      <c r="D264" s="1">
        <f t="shared" si="21"/>
        <v>11</v>
      </c>
      <c r="E264" t="str">
        <f t="shared" si="22"/>
        <v>Monday</v>
      </c>
      <c r="F264">
        <f>Assumptions!$B$2</f>
        <v>0.5</v>
      </c>
      <c r="G264">
        <f t="shared" si="23"/>
        <v>6.3</v>
      </c>
    </row>
    <row r="265" spans="1:7" x14ac:dyDescent="0.3">
      <c r="A265" s="2">
        <f t="shared" si="24"/>
        <v>46209.479166667305</v>
      </c>
      <c r="B265">
        <v>15.8</v>
      </c>
      <c r="C265" s="2">
        <f t="shared" si="20"/>
        <v>46209</v>
      </c>
      <c r="D265" s="1">
        <f t="shared" si="21"/>
        <v>11.5</v>
      </c>
      <c r="E265" t="str">
        <f t="shared" si="22"/>
        <v>Monday</v>
      </c>
      <c r="F265">
        <f>Assumptions!$B$2</f>
        <v>0.5</v>
      </c>
      <c r="G265">
        <f t="shared" si="23"/>
        <v>7.9</v>
      </c>
    </row>
    <row r="266" spans="1:7" x14ac:dyDescent="0.3">
      <c r="A266" s="2">
        <f t="shared" si="24"/>
        <v>46209.50000000064</v>
      </c>
      <c r="B266">
        <v>21.4</v>
      </c>
      <c r="C266" s="2">
        <f t="shared" si="20"/>
        <v>46209</v>
      </c>
      <c r="D266" s="1">
        <f t="shared" si="21"/>
        <v>12</v>
      </c>
      <c r="E266" t="str">
        <f t="shared" si="22"/>
        <v>Monday</v>
      </c>
      <c r="F266">
        <f>Assumptions!$B$2</f>
        <v>0.5</v>
      </c>
      <c r="G266">
        <f t="shared" si="23"/>
        <v>10.7</v>
      </c>
    </row>
    <row r="267" spans="1:7" x14ac:dyDescent="0.3">
      <c r="A267" s="2">
        <f t="shared" si="24"/>
        <v>46209.520833333976</v>
      </c>
      <c r="B267">
        <v>30.9</v>
      </c>
      <c r="C267" s="2">
        <f t="shared" si="20"/>
        <v>46209</v>
      </c>
      <c r="D267" s="1">
        <f t="shared" si="21"/>
        <v>12.5</v>
      </c>
      <c r="E267" t="str">
        <f t="shared" si="22"/>
        <v>Monday</v>
      </c>
      <c r="F267">
        <f>Assumptions!$B$2</f>
        <v>0.5</v>
      </c>
      <c r="G267">
        <f t="shared" si="23"/>
        <v>15.45</v>
      </c>
    </row>
    <row r="268" spans="1:7" x14ac:dyDescent="0.3">
      <c r="A268" s="2">
        <f t="shared" si="24"/>
        <v>46209.541666667312</v>
      </c>
      <c r="B268">
        <v>34.700000000000003</v>
      </c>
      <c r="C268" s="2">
        <f t="shared" si="20"/>
        <v>46209</v>
      </c>
      <c r="D268" s="1">
        <f t="shared" si="21"/>
        <v>13</v>
      </c>
      <c r="E268" t="str">
        <f t="shared" si="22"/>
        <v>Monday</v>
      </c>
      <c r="F268">
        <f>Assumptions!$B$2</f>
        <v>0.5</v>
      </c>
      <c r="G268">
        <f t="shared" si="23"/>
        <v>17.350000000000001</v>
      </c>
    </row>
    <row r="269" spans="1:7" x14ac:dyDescent="0.3">
      <c r="A269" s="2">
        <f t="shared" si="24"/>
        <v>46209.562500000648</v>
      </c>
      <c r="B269">
        <v>33.6</v>
      </c>
      <c r="C269" s="2">
        <f t="shared" si="20"/>
        <v>46209</v>
      </c>
      <c r="D269" s="1">
        <f t="shared" si="21"/>
        <v>13.5</v>
      </c>
      <c r="E269" t="str">
        <f t="shared" si="22"/>
        <v>Monday</v>
      </c>
      <c r="F269">
        <f>Assumptions!$B$2</f>
        <v>0.5</v>
      </c>
      <c r="G269">
        <f t="shared" si="23"/>
        <v>16.8</v>
      </c>
    </row>
    <row r="270" spans="1:7" x14ac:dyDescent="0.3">
      <c r="A270" s="2">
        <f t="shared" si="24"/>
        <v>46209.583333333983</v>
      </c>
      <c r="B270">
        <v>22.8</v>
      </c>
      <c r="C270" s="2">
        <f t="shared" si="20"/>
        <v>46209</v>
      </c>
      <c r="D270" s="1">
        <f t="shared" si="21"/>
        <v>14</v>
      </c>
      <c r="E270" t="str">
        <f t="shared" si="22"/>
        <v>Monday</v>
      </c>
      <c r="F270">
        <f>Assumptions!$B$2</f>
        <v>0.5</v>
      </c>
      <c r="G270">
        <f t="shared" si="23"/>
        <v>11.4</v>
      </c>
    </row>
    <row r="271" spans="1:7" x14ac:dyDescent="0.3">
      <c r="A271" s="2">
        <f t="shared" si="24"/>
        <v>46209.604166667319</v>
      </c>
      <c r="B271">
        <v>18.3</v>
      </c>
      <c r="C271" s="2">
        <f t="shared" si="20"/>
        <v>46209</v>
      </c>
      <c r="D271" s="1">
        <f t="shared" si="21"/>
        <v>14.5</v>
      </c>
      <c r="E271" t="str">
        <f t="shared" si="22"/>
        <v>Monday</v>
      </c>
      <c r="F271">
        <f>Assumptions!$B$2</f>
        <v>0.5</v>
      </c>
      <c r="G271">
        <f t="shared" si="23"/>
        <v>9.15</v>
      </c>
    </row>
    <row r="272" spans="1:7" x14ac:dyDescent="0.3">
      <c r="A272" s="2">
        <f t="shared" si="24"/>
        <v>46209.625000000655</v>
      </c>
      <c r="B272">
        <v>25.5</v>
      </c>
      <c r="C272" s="2">
        <f t="shared" si="20"/>
        <v>46209</v>
      </c>
      <c r="D272" s="1">
        <f t="shared" si="21"/>
        <v>15</v>
      </c>
      <c r="E272" t="str">
        <f t="shared" si="22"/>
        <v>Monday</v>
      </c>
      <c r="F272">
        <f>Assumptions!$B$2</f>
        <v>0.5</v>
      </c>
      <c r="G272">
        <f t="shared" si="23"/>
        <v>12.75</v>
      </c>
    </row>
    <row r="273" spans="1:7" x14ac:dyDescent="0.3">
      <c r="A273" s="2">
        <f t="shared" si="24"/>
        <v>46209.645833333991</v>
      </c>
      <c r="B273">
        <v>21.8</v>
      </c>
      <c r="C273" s="2">
        <f t="shared" si="20"/>
        <v>46209</v>
      </c>
      <c r="D273" s="1">
        <f t="shared" si="21"/>
        <v>15.5</v>
      </c>
      <c r="E273" t="str">
        <f t="shared" si="22"/>
        <v>Monday</v>
      </c>
      <c r="F273">
        <f>Assumptions!$B$2</f>
        <v>0.5</v>
      </c>
      <c r="G273">
        <f t="shared" si="23"/>
        <v>10.9</v>
      </c>
    </row>
    <row r="274" spans="1:7" x14ac:dyDescent="0.3">
      <c r="A274" s="2">
        <f t="shared" si="24"/>
        <v>46209.666666667326</v>
      </c>
      <c r="B274">
        <v>12.7</v>
      </c>
      <c r="C274" s="2">
        <f t="shared" si="20"/>
        <v>46209</v>
      </c>
      <c r="D274" s="1">
        <f t="shared" si="21"/>
        <v>16</v>
      </c>
      <c r="E274" t="str">
        <f t="shared" si="22"/>
        <v>Monday</v>
      </c>
      <c r="F274">
        <f>Assumptions!$B$2</f>
        <v>0.5</v>
      </c>
      <c r="G274">
        <f t="shared" si="23"/>
        <v>6.35</v>
      </c>
    </row>
    <row r="275" spans="1:7" x14ac:dyDescent="0.3">
      <c r="A275" s="2">
        <f t="shared" si="24"/>
        <v>46209.687500000662</v>
      </c>
      <c r="B275">
        <v>15.1</v>
      </c>
      <c r="C275" s="2">
        <f t="shared" si="20"/>
        <v>46209</v>
      </c>
      <c r="D275" s="1">
        <f t="shared" si="21"/>
        <v>16.5</v>
      </c>
      <c r="E275" t="str">
        <f t="shared" si="22"/>
        <v>Monday</v>
      </c>
      <c r="F275">
        <f>Assumptions!$B$2</f>
        <v>0.5</v>
      </c>
      <c r="G275">
        <f t="shared" si="23"/>
        <v>7.55</v>
      </c>
    </row>
    <row r="276" spans="1:7" x14ac:dyDescent="0.3">
      <c r="A276" s="2">
        <f t="shared" si="24"/>
        <v>46209.708333333998</v>
      </c>
      <c r="B276">
        <v>13</v>
      </c>
      <c r="C276" s="2">
        <f t="shared" si="20"/>
        <v>46209</v>
      </c>
      <c r="D276" s="1">
        <f t="shared" si="21"/>
        <v>17</v>
      </c>
      <c r="E276" t="str">
        <f t="shared" si="22"/>
        <v>Monday</v>
      </c>
      <c r="F276">
        <f>Assumptions!$B$2</f>
        <v>0.5</v>
      </c>
      <c r="G276">
        <f t="shared" si="23"/>
        <v>6.5</v>
      </c>
    </row>
    <row r="277" spans="1:7" x14ac:dyDescent="0.3">
      <c r="A277" s="2">
        <f t="shared" si="24"/>
        <v>46209.729166667334</v>
      </c>
      <c r="B277">
        <v>10.1</v>
      </c>
      <c r="C277" s="2">
        <f t="shared" si="20"/>
        <v>46209</v>
      </c>
      <c r="D277" s="1">
        <f t="shared" si="21"/>
        <v>17.5</v>
      </c>
      <c r="E277" t="str">
        <f t="shared" si="22"/>
        <v>Monday</v>
      </c>
      <c r="F277">
        <f>Assumptions!$B$2</f>
        <v>0.5</v>
      </c>
      <c r="G277">
        <f t="shared" si="23"/>
        <v>5.05</v>
      </c>
    </row>
    <row r="278" spans="1:7" x14ac:dyDescent="0.3">
      <c r="A278" s="2">
        <f t="shared" si="24"/>
        <v>46209.750000000669</v>
      </c>
      <c r="B278">
        <v>13.1</v>
      </c>
      <c r="C278" s="2">
        <f t="shared" si="20"/>
        <v>46209</v>
      </c>
      <c r="D278" s="1">
        <f t="shared" si="21"/>
        <v>18</v>
      </c>
      <c r="E278" t="str">
        <f t="shared" si="22"/>
        <v>Monday</v>
      </c>
      <c r="F278">
        <f>Assumptions!$B$2</f>
        <v>0.5</v>
      </c>
      <c r="G278">
        <f t="shared" si="23"/>
        <v>6.55</v>
      </c>
    </row>
    <row r="279" spans="1:7" x14ac:dyDescent="0.3">
      <c r="A279" s="2">
        <f t="shared" si="24"/>
        <v>46209.770833334005</v>
      </c>
      <c r="B279">
        <v>11.8</v>
      </c>
      <c r="C279" s="2">
        <f t="shared" si="20"/>
        <v>46209</v>
      </c>
      <c r="D279" s="1">
        <f t="shared" si="21"/>
        <v>18.5</v>
      </c>
      <c r="E279" t="str">
        <f t="shared" si="22"/>
        <v>Monday</v>
      </c>
      <c r="F279">
        <f>Assumptions!$B$2</f>
        <v>0.5</v>
      </c>
      <c r="G279">
        <f t="shared" si="23"/>
        <v>5.9</v>
      </c>
    </row>
    <row r="280" spans="1:7" x14ac:dyDescent="0.3">
      <c r="A280" s="2">
        <f t="shared" si="24"/>
        <v>46209.791666667341</v>
      </c>
      <c r="B280">
        <v>4.9000000000000004</v>
      </c>
      <c r="C280" s="2">
        <f t="shared" si="20"/>
        <v>46209</v>
      </c>
      <c r="D280" s="1">
        <f t="shared" si="21"/>
        <v>19</v>
      </c>
      <c r="E280" t="str">
        <f t="shared" si="22"/>
        <v>Monday</v>
      </c>
      <c r="F280">
        <f>Assumptions!$B$2</f>
        <v>0.5</v>
      </c>
      <c r="G280">
        <f t="shared" si="23"/>
        <v>2.4500000000000002</v>
      </c>
    </row>
    <row r="281" spans="1:7" x14ac:dyDescent="0.3">
      <c r="A281" s="2">
        <f t="shared" si="24"/>
        <v>46209.812500000677</v>
      </c>
      <c r="B281">
        <v>7.2</v>
      </c>
      <c r="C281" s="2">
        <f t="shared" si="20"/>
        <v>46209</v>
      </c>
      <c r="D281" s="1">
        <f t="shared" si="21"/>
        <v>19.5</v>
      </c>
      <c r="E281" t="str">
        <f t="shared" si="22"/>
        <v>Monday</v>
      </c>
      <c r="F281">
        <f>Assumptions!$B$2</f>
        <v>0.5</v>
      </c>
      <c r="G281">
        <f t="shared" si="23"/>
        <v>3.6</v>
      </c>
    </row>
    <row r="282" spans="1:7" x14ac:dyDescent="0.3">
      <c r="A282" s="2">
        <f t="shared" si="24"/>
        <v>46209.833333334012</v>
      </c>
      <c r="B282">
        <v>7.5</v>
      </c>
      <c r="C282" s="2">
        <f t="shared" si="20"/>
        <v>46209</v>
      </c>
      <c r="D282" s="1">
        <f t="shared" si="21"/>
        <v>20</v>
      </c>
      <c r="E282" t="str">
        <f t="shared" si="22"/>
        <v>Monday</v>
      </c>
      <c r="F282">
        <f>Assumptions!$B$2</f>
        <v>0.5</v>
      </c>
      <c r="G282">
        <f t="shared" si="23"/>
        <v>3.75</v>
      </c>
    </row>
    <row r="283" spans="1:7" x14ac:dyDescent="0.3">
      <c r="A283" s="2">
        <f t="shared" si="24"/>
        <v>46209.854166667348</v>
      </c>
      <c r="B283">
        <v>7.7</v>
      </c>
      <c r="C283" s="2">
        <f t="shared" si="20"/>
        <v>46209</v>
      </c>
      <c r="D283" s="1">
        <f t="shared" si="21"/>
        <v>20.5</v>
      </c>
      <c r="E283" t="str">
        <f t="shared" si="22"/>
        <v>Monday</v>
      </c>
      <c r="F283">
        <f>Assumptions!$B$2</f>
        <v>0.5</v>
      </c>
      <c r="G283">
        <f t="shared" si="23"/>
        <v>3.85</v>
      </c>
    </row>
    <row r="284" spans="1:7" x14ac:dyDescent="0.3">
      <c r="A284" s="2">
        <f t="shared" si="24"/>
        <v>46209.875000000684</v>
      </c>
      <c r="B284">
        <v>5</v>
      </c>
      <c r="C284" s="2">
        <f t="shared" si="20"/>
        <v>46209</v>
      </c>
      <c r="D284" s="1">
        <f t="shared" si="21"/>
        <v>21</v>
      </c>
      <c r="E284" t="str">
        <f t="shared" si="22"/>
        <v>Monday</v>
      </c>
      <c r="F284">
        <f>Assumptions!$B$2</f>
        <v>0.5</v>
      </c>
      <c r="G284">
        <f t="shared" si="23"/>
        <v>2.5</v>
      </c>
    </row>
    <row r="285" spans="1:7" x14ac:dyDescent="0.3">
      <c r="A285" s="2">
        <f t="shared" si="24"/>
        <v>46209.89583333402</v>
      </c>
      <c r="B285">
        <v>7.9</v>
      </c>
      <c r="C285" s="2">
        <f t="shared" si="20"/>
        <v>46209</v>
      </c>
      <c r="D285" s="1">
        <f t="shared" si="21"/>
        <v>21.5</v>
      </c>
      <c r="E285" t="str">
        <f t="shared" si="22"/>
        <v>Monday</v>
      </c>
      <c r="F285">
        <f>Assumptions!$B$2</f>
        <v>0.5</v>
      </c>
      <c r="G285">
        <f t="shared" si="23"/>
        <v>3.95</v>
      </c>
    </row>
    <row r="286" spans="1:7" x14ac:dyDescent="0.3">
      <c r="A286" s="2">
        <f t="shared" si="24"/>
        <v>46209.916666667355</v>
      </c>
      <c r="B286">
        <v>5.5</v>
      </c>
      <c r="C286" s="2">
        <f t="shared" si="20"/>
        <v>46209</v>
      </c>
      <c r="D286" s="1">
        <f t="shared" si="21"/>
        <v>22</v>
      </c>
      <c r="E286" t="str">
        <f t="shared" si="22"/>
        <v>Monday</v>
      </c>
      <c r="F286">
        <f>Assumptions!$B$2</f>
        <v>0.5</v>
      </c>
      <c r="G286">
        <f t="shared" si="23"/>
        <v>2.75</v>
      </c>
    </row>
    <row r="287" spans="1:7" x14ac:dyDescent="0.3">
      <c r="A287" s="2">
        <f t="shared" si="24"/>
        <v>46209.937500000691</v>
      </c>
      <c r="B287">
        <v>4.8</v>
      </c>
      <c r="C287" s="2">
        <f t="shared" si="20"/>
        <v>46209</v>
      </c>
      <c r="D287" s="1">
        <f t="shared" si="21"/>
        <v>22.5</v>
      </c>
      <c r="E287" t="str">
        <f t="shared" si="22"/>
        <v>Monday</v>
      </c>
      <c r="F287">
        <f>Assumptions!$B$2</f>
        <v>0.5</v>
      </c>
      <c r="G287">
        <f t="shared" si="23"/>
        <v>2.4</v>
      </c>
    </row>
    <row r="288" spans="1:7" x14ac:dyDescent="0.3">
      <c r="A288" s="2">
        <f t="shared" si="24"/>
        <v>46209.958333334027</v>
      </c>
      <c r="B288">
        <v>6.5</v>
      </c>
      <c r="C288" s="2">
        <f t="shared" si="20"/>
        <v>46209</v>
      </c>
      <c r="D288" s="1">
        <f t="shared" si="21"/>
        <v>23</v>
      </c>
      <c r="E288" t="str">
        <f t="shared" si="22"/>
        <v>Monday</v>
      </c>
      <c r="F288">
        <f>Assumptions!$B$2</f>
        <v>0.5</v>
      </c>
      <c r="G288">
        <f t="shared" si="23"/>
        <v>3.25</v>
      </c>
    </row>
    <row r="289" spans="1:7" x14ac:dyDescent="0.3">
      <c r="A289" s="2">
        <f t="shared" si="24"/>
        <v>46209.979166667363</v>
      </c>
      <c r="B289">
        <v>3.4</v>
      </c>
      <c r="C289" s="2">
        <f t="shared" si="20"/>
        <v>46209</v>
      </c>
      <c r="D289" s="1">
        <f t="shared" si="21"/>
        <v>23.5</v>
      </c>
      <c r="E289" t="str">
        <f t="shared" si="22"/>
        <v>Monday</v>
      </c>
      <c r="F289">
        <f>Assumptions!$B$2</f>
        <v>0.5</v>
      </c>
      <c r="G289">
        <f t="shared" si="23"/>
        <v>1.7</v>
      </c>
    </row>
    <row r="290" spans="1:7" x14ac:dyDescent="0.3">
      <c r="A290" s="2">
        <f t="shared" si="24"/>
        <v>46210.000000000698</v>
      </c>
      <c r="B290">
        <v>2</v>
      </c>
      <c r="C290" s="2">
        <f t="shared" si="20"/>
        <v>46210</v>
      </c>
      <c r="D290" s="1">
        <f t="shared" si="21"/>
        <v>0</v>
      </c>
      <c r="E290" t="str">
        <f t="shared" si="22"/>
        <v>Tuesday</v>
      </c>
      <c r="F290">
        <f>Assumptions!$B$2</f>
        <v>0.5</v>
      </c>
      <c r="G290">
        <f t="shared" si="23"/>
        <v>1</v>
      </c>
    </row>
    <row r="291" spans="1:7" x14ac:dyDescent="0.3">
      <c r="A291" s="2">
        <f t="shared" si="24"/>
        <v>46210.020833334034</v>
      </c>
      <c r="B291">
        <v>3</v>
      </c>
      <c r="C291" s="2">
        <f t="shared" si="20"/>
        <v>46210</v>
      </c>
      <c r="D291" s="1">
        <f t="shared" si="21"/>
        <v>0.5</v>
      </c>
      <c r="E291" t="str">
        <f t="shared" si="22"/>
        <v>Tuesday</v>
      </c>
      <c r="F291">
        <f>Assumptions!$B$2</f>
        <v>0.5</v>
      </c>
      <c r="G291">
        <f t="shared" si="23"/>
        <v>1.5</v>
      </c>
    </row>
    <row r="292" spans="1:7" x14ac:dyDescent="0.3">
      <c r="A292" s="2">
        <f t="shared" si="24"/>
        <v>46210.04166666737</v>
      </c>
      <c r="B292">
        <v>2.6</v>
      </c>
      <c r="C292" s="2">
        <f t="shared" si="20"/>
        <v>46210</v>
      </c>
      <c r="D292" s="1">
        <f t="shared" si="21"/>
        <v>1</v>
      </c>
      <c r="E292" t="str">
        <f t="shared" si="22"/>
        <v>Tuesday</v>
      </c>
      <c r="F292">
        <f>Assumptions!$B$2</f>
        <v>0.5</v>
      </c>
      <c r="G292">
        <f t="shared" si="23"/>
        <v>1.3</v>
      </c>
    </row>
    <row r="293" spans="1:7" x14ac:dyDescent="0.3">
      <c r="A293" s="2">
        <f t="shared" si="24"/>
        <v>46210.062500000706</v>
      </c>
      <c r="B293">
        <v>1.8</v>
      </c>
      <c r="C293" s="2">
        <f t="shared" si="20"/>
        <v>46210</v>
      </c>
      <c r="D293" s="1">
        <f t="shared" si="21"/>
        <v>1.5</v>
      </c>
      <c r="E293" t="str">
        <f t="shared" si="22"/>
        <v>Tuesday</v>
      </c>
      <c r="F293">
        <f>Assumptions!$B$2</f>
        <v>0.5</v>
      </c>
      <c r="G293">
        <f t="shared" si="23"/>
        <v>0.9</v>
      </c>
    </row>
    <row r="294" spans="1:7" x14ac:dyDescent="0.3">
      <c r="A294" s="2">
        <f t="shared" si="24"/>
        <v>46210.083333334042</v>
      </c>
      <c r="B294">
        <v>2.4</v>
      </c>
      <c r="C294" s="2">
        <f t="shared" si="20"/>
        <v>46210</v>
      </c>
      <c r="D294" s="1">
        <f t="shared" si="21"/>
        <v>2</v>
      </c>
      <c r="E294" t="str">
        <f t="shared" si="22"/>
        <v>Tuesday</v>
      </c>
      <c r="F294">
        <f>Assumptions!$B$2</f>
        <v>0.5</v>
      </c>
      <c r="G294">
        <f t="shared" si="23"/>
        <v>1.2</v>
      </c>
    </row>
    <row r="295" spans="1:7" x14ac:dyDescent="0.3">
      <c r="A295" s="2">
        <f t="shared" si="24"/>
        <v>46210.104166667377</v>
      </c>
      <c r="B295">
        <v>2.9</v>
      </c>
      <c r="C295" s="2">
        <f t="shared" si="20"/>
        <v>46210</v>
      </c>
      <c r="D295" s="1">
        <f t="shared" si="21"/>
        <v>2.5</v>
      </c>
      <c r="E295" t="str">
        <f t="shared" si="22"/>
        <v>Tuesday</v>
      </c>
      <c r="F295">
        <f>Assumptions!$B$2</f>
        <v>0.5</v>
      </c>
      <c r="G295">
        <f t="shared" si="23"/>
        <v>1.45</v>
      </c>
    </row>
    <row r="296" spans="1:7" x14ac:dyDescent="0.3">
      <c r="A296" s="2">
        <f t="shared" si="24"/>
        <v>46210.125000000713</v>
      </c>
      <c r="B296">
        <v>2.5</v>
      </c>
      <c r="C296" s="2">
        <f t="shared" si="20"/>
        <v>46210</v>
      </c>
      <c r="D296" s="1">
        <f t="shared" si="21"/>
        <v>3</v>
      </c>
      <c r="E296" t="str">
        <f t="shared" si="22"/>
        <v>Tuesday</v>
      </c>
      <c r="F296">
        <f>Assumptions!$B$2</f>
        <v>0.5</v>
      </c>
      <c r="G296">
        <f t="shared" si="23"/>
        <v>1.25</v>
      </c>
    </row>
    <row r="297" spans="1:7" x14ac:dyDescent="0.3">
      <c r="A297" s="2">
        <f t="shared" si="24"/>
        <v>46210.145833334049</v>
      </c>
      <c r="B297">
        <v>2.6</v>
      </c>
      <c r="C297" s="2">
        <f t="shared" si="20"/>
        <v>46210</v>
      </c>
      <c r="D297" s="1">
        <f t="shared" si="21"/>
        <v>3.5</v>
      </c>
      <c r="E297" t="str">
        <f t="shared" si="22"/>
        <v>Tuesday</v>
      </c>
      <c r="F297">
        <f>Assumptions!$B$2</f>
        <v>0.5</v>
      </c>
      <c r="G297">
        <f t="shared" si="23"/>
        <v>1.3</v>
      </c>
    </row>
    <row r="298" spans="1:7" x14ac:dyDescent="0.3">
      <c r="A298" s="2">
        <f t="shared" si="24"/>
        <v>46210.166666667385</v>
      </c>
      <c r="B298">
        <v>2.6</v>
      </c>
      <c r="C298" s="2">
        <f t="shared" si="20"/>
        <v>46210</v>
      </c>
      <c r="D298" s="1">
        <f t="shared" si="21"/>
        <v>4</v>
      </c>
      <c r="E298" t="str">
        <f t="shared" si="22"/>
        <v>Tuesday</v>
      </c>
      <c r="F298">
        <f>Assumptions!$B$2</f>
        <v>0.5</v>
      </c>
      <c r="G298">
        <f t="shared" si="23"/>
        <v>1.3</v>
      </c>
    </row>
    <row r="299" spans="1:7" x14ac:dyDescent="0.3">
      <c r="A299" s="2">
        <f t="shared" si="24"/>
        <v>46210.18750000072</v>
      </c>
      <c r="B299">
        <v>2.9</v>
      </c>
      <c r="C299" s="2">
        <f t="shared" si="20"/>
        <v>46210</v>
      </c>
      <c r="D299" s="1">
        <f t="shared" si="21"/>
        <v>4.5</v>
      </c>
      <c r="E299" t="str">
        <f t="shared" si="22"/>
        <v>Tuesday</v>
      </c>
      <c r="F299">
        <f>Assumptions!$B$2</f>
        <v>0.5</v>
      </c>
      <c r="G299">
        <f t="shared" si="23"/>
        <v>1.45</v>
      </c>
    </row>
    <row r="300" spans="1:7" x14ac:dyDescent="0.3">
      <c r="A300" s="2">
        <f t="shared" si="24"/>
        <v>46210.208333334056</v>
      </c>
      <c r="B300">
        <v>2</v>
      </c>
      <c r="C300" s="2">
        <f t="shared" si="20"/>
        <v>46210</v>
      </c>
      <c r="D300" s="1">
        <f t="shared" si="21"/>
        <v>5</v>
      </c>
      <c r="E300" t="str">
        <f t="shared" si="22"/>
        <v>Tuesday</v>
      </c>
      <c r="F300">
        <f>Assumptions!$B$2</f>
        <v>0.5</v>
      </c>
      <c r="G300">
        <f t="shared" si="23"/>
        <v>1</v>
      </c>
    </row>
    <row r="301" spans="1:7" x14ac:dyDescent="0.3">
      <c r="A301" s="2">
        <f t="shared" si="24"/>
        <v>46210.229166667392</v>
      </c>
      <c r="B301">
        <v>2.4</v>
      </c>
      <c r="C301" s="2">
        <f t="shared" si="20"/>
        <v>46210</v>
      </c>
      <c r="D301" s="1">
        <f t="shared" si="21"/>
        <v>5.5</v>
      </c>
      <c r="E301" t="str">
        <f t="shared" si="22"/>
        <v>Tuesday</v>
      </c>
      <c r="F301">
        <f>Assumptions!$B$2</f>
        <v>0.5</v>
      </c>
      <c r="G301">
        <f t="shared" si="23"/>
        <v>1.2</v>
      </c>
    </row>
    <row r="302" spans="1:7" x14ac:dyDescent="0.3">
      <c r="A302" s="2">
        <f t="shared" si="24"/>
        <v>46210.250000000728</v>
      </c>
      <c r="B302">
        <v>7.2</v>
      </c>
      <c r="C302" s="2">
        <f t="shared" si="20"/>
        <v>46210</v>
      </c>
      <c r="D302" s="1">
        <f t="shared" si="21"/>
        <v>6</v>
      </c>
      <c r="E302" t="str">
        <f t="shared" si="22"/>
        <v>Tuesday</v>
      </c>
      <c r="F302">
        <f>Assumptions!$B$2</f>
        <v>0.5</v>
      </c>
      <c r="G302">
        <f t="shared" si="23"/>
        <v>3.6</v>
      </c>
    </row>
    <row r="303" spans="1:7" x14ac:dyDescent="0.3">
      <c r="A303" s="2">
        <f t="shared" si="24"/>
        <v>46210.270833334063</v>
      </c>
      <c r="B303">
        <v>4.0999999999999996</v>
      </c>
      <c r="C303" s="2">
        <f t="shared" si="20"/>
        <v>46210</v>
      </c>
      <c r="D303" s="1">
        <f t="shared" si="21"/>
        <v>6.5</v>
      </c>
      <c r="E303" t="str">
        <f t="shared" si="22"/>
        <v>Tuesday</v>
      </c>
      <c r="F303">
        <f>Assumptions!$B$2</f>
        <v>0.5</v>
      </c>
      <c r="G303">
        <f t="shared" si="23"/>
        <v>2.0499999999999998</v>
      </c>
    </row>
    <row r="304" spans="1:7" x14ac:dyDescent="0.3">
      <c r="A304" s="2">
        <f t="shared" si="24"/>
        <v>46210.291666667399</v>
      </c>
      <c r="B304">
        <v>4.5</v>
      </c>
      <c r="C304" s="2">
        <f t="shared" si="20"/>
        <v>46210</v>
      </c>
      <c r="D304" s="1">
        <f t="shared" si="21"/>
        <v>7</v>
      </c>
      <c r="E304" t="str">
        <f t="shared" si="22"/>
        <v>Tuesday</v>
      </c>
      <c r="F304">
        <f>Assumptions!$B$2</f>
        <v>0.5</v>
      </c>
      <c r="G304">
        <f t="shared" si="23"/>
        <v>2.25</v>
      </c>
    </row>
    <row r="305" spans="1:7" x14ac:dyDescent="0.3">
      <c r="A305" s="2">
        <f t="shared" si="24"/>
        <v>46210.312500000735</v>
      </c>
      <c r="B305">
        <v>4.3</v>
      </c>
      <c r="C305" s="2">
        <f t="shared" si="20"/>
        <v>46210</v>
      </c>
      <c r="D305" s="1">
        <f t="shared" si="21"/>
        <v>7.5</v>
      </c>
      <c r="E305" t="str">
        <f t="shared" si="22"/>
        <v>Tuesday</v>
      </c>
      <c r="F305">
        <f>Assumptions!$B$2</f>
        <v>0.5</v>
      </c>
      <c r="G305">
        <f t="shared" si="23"/>
        <v>2.15</v>
      </c>
    </row>
    <row r="306" spans="1:7" x14ac:dyDescent="0.3">
      <c r="A306" s="2">
        <f t="shared" si="24"/>
        <v>46210.333333334071</v>
      </c>
      <c r="B306">
        <v>18.899999999999999</v>
      </c>
      <c r="C306" s="2">
        <f t="shared" si="20"/>
        <v>46210</v>
      </c>
      <c r="D306" s="1">
        <f t="shared" si="21"/>
        <v>8</v>
      </c>
      <c r="E306" t="str">
        <f t="shared" si="22"/>
        <v>Tuesday</v>
      </c>
      <c r="F306">
        <f>Assumptions!$B$2</f>
        <v>0.5</v>
      </c>
      <c r="G306">
        <f t="shared" si="23"/>
        <v>9.4499999999999993</v>
      </c>
    </row>
    <row r="307" spans="1:7" x14ac:dyDescent="0.3">
      <c r="A307" s="2">
        <f t="shared" si="24"/>
        <v>46210.354166667406</v>
      </c>
      <c r="B307">
        <v>17</v>
      </c>
      <c r="C307" s="2">
        <f t="shared" si="20"/>
        <v>46210</v>
      </c>
      <c r="D307" s="1">
        <f t="shared" si="21"/>
        <v>8.5</v>
      </c>
      <c r="E307" t="str">
        <f t="shared" si="22"/>
        <v>Tuesday</v>
      </c>
      <c r="F307">
        <f>Assumptions!$B$2</f>
        <v>0.5</v>
      </c>
      <c r="G307">
        <f t="shared" si="23"/>
        <v>8.5</v>
      </c>
    </row>
    <row r="308" spans="1:7" x14ac:dyDescent="0.3">
      <c r="A308" s="2">
        <f t="shared" si="24"/>
        <v>46210.375000000742</v>
      </c>
      <c r="B308">
        <v>12.2</v>
      </c>
      <c r="C308" s="2">
        <f t="shared" si="20"/>
        <v>46210</v>
      </c>
      <c r="D308" s="1">
        <f t="shared" si="21"/>
        <v>9</v>
      </c>
      <c r="E308" t="str">
        <f t="shared" si="22"/>
        <v>Tuesday</v>
      </c>
      <c r="F308">
        <f>Assumptions!$B$2</f>
        <v>0.5</v>
      </c>
      <c r="G308">
        <f t="shared" si="23"/>
        <v>6.1</v>
      </c>
    </row>
    <row r="309" spans="1:7" x14ac:dyDescent="0.3">
      <c r="A309" s="2">
        <f t="shared" si="24"/>
        <v>46210.395833334078</v>
      </c>
      <c r="B309">
        <v>16.7</v>
      </c>
      <c r="C309" s="2">
        <f t="shared" si="20"/>
        <v>46210</v>
      </c>
      <c r="D309" s="1">
        <f t="shared" si="21"/>
        <v>9.5</v>
      </c>
      <c r="E309" t="str">
        <f t="shared" si="22"/>
        <v>Tuesday</v>
      </c>
      <c r="F309">
        <f>Assumptions!$B$2</f>
        <v>0.5</v>
      </c>
      <c r="G309">
        <f t="shared" si="23"/>
        <v>8.35</v>
      </c>
    </row>
    <row r="310" spans="1:7" x14ac:dyDescent="0.3">
      <c r="A310" s="2">
        <f t="shared" si="24"/>
        <v>46210.416666667414</v>
      </c>
      <c r="B310">
        <v>12.9</v>
      </c>
      <c r="C310" s="2">
        <f t="shared" si="20"/>
        <v>46210</v>
      </c>
      <c r="D310" s="1">
        <f t="shared" si="21"/>
        <v>10</v>
      </c>
      <c r="E310" t="str">
        <f t="shared" si="22"/>
        <v>Tuesday</v>
      </c>
      <c r="F310">
        <f>Assumptions!$B$2</f>
        <v>0.5</v>
      </c>
      <c r="G310">
        <f t="shared" si="23"/>
        <v>6.45</v>
      </c>
    </row>
    <row r="311" spans="1:7" x14ac:dyDescent="0.3">
      <c r="A311" s="2">
        <f t="shared" si="24"/>
        <v>46210.437500000749</v>
      </c>
      <c r="B311">
        <v>16.3</v>
      </c>
      <c r="C311" s="2">
        <f t="shared" si="20"/>
        <v>46210</v>
      </c>
      <c r="D311" s="1">
        <f t="shared" si="21"/>
        <v>10.5</v>
      </c>
      <c r="E311" t="str">
        <f t="shared" si="22"/>
        <v>Tuesday</v>
      </c>
      <c r="F311">
        <f>Assumptions!$B$2</f>
        <v>0.5</v>
      </c>
      <c r="G311">
        <f t="shared" si="23"/>
        <v>8.15</v>
      </c>
    </row>
    <row r="312" spans="1:7" x14ac:dyDescent="0.3">
      <c r="A312" s="2">
        <f t="shared" si="24"/>
        <v>46210.458333334085</v>
      </c>
      <c r="B312">
        <v>15.5</v>
      </c>
      <c r="C312" s="2">
        <f t="shared" si="20"/>
        <v>46210</v>
      </c>
      <c r="D312" s="1">
        <f t="shared" si="21"/>
        <v>11</v>
      </c>
      <c r="E312" t="str">
        <f t="shared" si="22"/>
        <v>Tuesday</v>
      </c>
      <c r="F312">
        <f>Assumptions!$B$2</f>
        <v>0.5</v>
      </c>
      <c r="G312">
        <f t="shared" si="23"/>
        <v>7.75</v>
      </c>
    </row>
    <row r="313" spans="1:7" x14ac:dyDescent="0.3">
      <c r="A313" s="2">
        <f t="shared" si="24"/>
        <v>46210.479166667421</v>
      </c>
      <c r="B313">
        <v>19.7</v>
      </c>
      <c r="C313" s="2">
        <f t="shared" si="20"/>
        <v>46210</v>
      </c>
      <c r="D313" s="1">
        <f t="shared" si="21"/>
        <v>11.5</v>
      </c>
      <c r="E313" t="str">
        <f t="shared" si="22"/>
        <v>Tuesday</v>
      </c>
      <c r="F313">
        <f>Assumptions!$B$2</f>
        <v>0.5</v>
      </c>
      <c r="G313">
        <f t="shared" si="23"/>
        <v>9.85</v>
      </c>
    </row>
    <row r="314" spans="1:7" x14ac:dyDescent="0.3">
      <c r="A314" s="2">
        <f t="shared" si="24"/>
        <v>46210.500000000757</v>
      </c>
      <c r="B314">
        <v>29.4</v>
      </c>
      <c r="C314" s="2">
        <f t="shared" si="20"/>
        <v>46210</v>
      </c>
      <c r="D314" s="1">
        <f t="shared" si="21"/>
        <v>12</v>
      </c>
      <c r="E314" t="str">
        <f t="shared" si="22"/>
        <v>Tuesday</v>
      </c>
      <c r="F314">
        <f>Assumptions!$B$2</f>
        <v>0.5</v>
      </c>
      <c r="G314">
        <f t="shared" si="23"/>
        <v>14.7</v>
      </c>
    </row>
    <row r="315" spans="1:7" x14ac:dyDescent="0.3">
      <c r="A315" s="2">
        <f t="shared" si="24"/>
        <v>46210.520833334092</v>
      </c>
      <c r="B315">
        <v>25.6</v>
      </c>
      <c r="C315" s="2">
        <f t="shared" si="20"/>
        <v>46210</v>
      </c>
      <c r="D315" s="1">
        <f t="shared" si="21"/>
        <v>12.5</v>
      </c>
      <c r="E315" t="str">
        <f t="shared" si="22"/>
        <v>Tuesday</v>
      </c>
      <c r="F315">
        <f>Assumptions!$B$2</f>
        <v>0.5</v>
      </c>
      <c r="G315">
        <f t="shared" si="23"/>
        <v>12.8</v>
      </c>
    </row>
    <row r="316" spans="1:7" x14ac:dyDescent="0.3">
      <c r="A316" s="2">
        <f t="shared" si="24"/>
        <v>46210.541666667428</v>
      </c>
      <c r="B316">
        <v>21</v>
      </c>
      <c r="C316" s="2">
        <f t="shared" si="20"/>
        <v>46210</v>
      </c>
      <c r="D316" s="1">
        <f t="shared" si="21"/>
        <v>13</v>
      </c>
      <c r="E316" t="str">
        <f t="shared" si="22"/>
        <v>Tuesday</v>
      </c>
      <c r="F316">
        <f>Assumptions!$B$2</f>
        <v>0.5</v>
      </c>
      <c r="G316">
        <f t="shared" si="23"/>
        <v>10.5</v>
      </c>
    </row>
    <row r="317" spans="1:7" x14ac:dyDescent="0.3">
      <c r="A317" s="2">
        <f t="shared" si="24"/>
        <v>46210.562500000764</v>
      </c>
      <c r="B317">
        <v>30.3</v>
      </c>
      <c r="C317" s="2">
        <f t="shared" si="20"/>
        <v>46210</v>
      </c>
      <c r="D317" s="1">
        <f t="shared" si="21"/>
        <v>13.5</v>
      </c>
      <c r="E317" t="str">
        <f t="shared" si="22"/>
        <v>Tuesday</v>
      </c>
      <c r="F317">
        <f>Assumptions!$B$2</f>
        <v>0.5</v>
      </c>
      <c r="G317">
        <f t="shared" si="23"/>
        <v>15.15</v>
      </c>
    </row>
    <row r="318" spans="1:7" x14ac:dyDescent="0.3">
      <c r="A318" s="2">
        <f t="shared" si="24"/>
        <v>46210.5833333341</v>
      </c>
      <c r="B318">
        <v>23.3</v>
      </c>
      <c r="C318" s="2">
        <f t="shared" si="20"/>
        <v>46210</v>
      </c>
      <c r="D318" s="1">
        <f t="shared" si="21"/>
        <v>14</v>
      </c>
      <c r="E318" t="str">
        <f t="shared" si="22"/>
        <v>Tuesday</v>
      </c>
      <c r="F318">
        <f>Assumptions!$B$2</f>
        <v>0.5</v>
      </c>
      <c r="G318">
        <f t="shared" si="23"/>
        <v>11.65</v>
      </c>
    </row>
    <row r="319" spans="1:7" x14ac:dyDescent="0.3">
      <c r="A319" s="2">
        <f t="shared" si="24"/>
        <v>46210.604166667435</v>
      </c>
      <c r="B319">
        <v>23.8</v>
      </c>
      <c r="C319" s="2">
        <f t="shared" si="20"/>
        <v>46210</v>
      </c>
      <c r="D319" s="1">
        <f t="shared" si="21"/>
        <v>14.5</v>
      </c>
      <c r="E319" t="str">
        <f t="shared" si="22"/>
        <v>Tuesday</v>
      </c>
      <c r="F319">
        <f>Assumptions!$B$2</f>
        <v>0.5</v>
      </c>
      <c r="G319">
        <f t="shared" si="23"/>
        <v>11.9</v>
      </c>
    </row>
    <row r="320" spans="1:7" x14ac:dyDescent="0.3">
      <c r="A320" s="2">
        <f t="shared" si="24"/>
        <v>46210.625000000771</v>
      </c>
      <c r="B320">
        <v>20.6</v>
      </c>
      <c r="C320" s="2">
        <f t="shared" si="20"/>
        <v>46210</v>
      </c>
      <c r="D320" s="1">
        <f t="shared" si="21"/>
        <v>15</v>
      </c>
      <c r="E320" t="str">
        <f t="shared" si="22"/>
        <v>Tuesday</v>
      </c>
      <c r="F320">
        <f>Assumptions!$B$2</f>
        <v>0.5</v>
      </c>
      <c r="G320">
        <f t="shared" si="23"/>
        <v>10.3</v>
      </c>
    </row>
    <row r="321" spans="1:7" x14ac:dyDescent="0.3">
      <c r="A321" s="2">
        <f t="shared" si="24"/>
        <v>46210.645833334107</v>
      </c>
      <c r="B321">
        <v>33.9</v>
      </c>
      <c r="C321" s="2">
        <f t="shared" si="20"/>
        <v>46210</v>
      </c>
      <c r="D321" s="1">
        <f t="shared" si="21"/>
        <v>15.5</v>
      </c>
      <c r="E321" t="str">
        <f t="shared" si="22"/>
        <v>Tuesday</v>
      </c>
      <c r="F321">
        <f>Assumptions!$B$2</f>
        <v>0.5</v>
      </c>
      <c r="G321">
        <f t="shared" si="23"/>
        <v>16.95</v>
      </c>
    </row>
    <row r="322" spans="1:7" x14ac:dyDescent="0.3">
      <c r="A322" s="2">
        <f t="shared" si="24"/>
        <v>46210.666666667443</v>
      </c>
      <c r="B322">
        <v>11.7</v>
      </c>
      <c r="C322" s="2">
        <f t="shared" si="20"/>
        <v>46210</v>
      </c>
      <c r="D322" s="1">
        <f t="shared" si="21"/>
        <v>16</v>
      </c>
      <c r="E322" t="str">
        <f t="shared" si="22"/>
        <v>Tuesday</v>
      </c>
      <c r="F322">
        <f>Assumptions!$B$2</f>
        <v>0.5</v>
      </c>
      <c r="G322">
        <f t="shared" si="23"/>
        <v>5.85</v>
      </c>
    </row>
    <row r="323" spans="1:7" x14ac:dyDescent="0.3">
      <c r="A323" s="2">
        <f t="shared" si="24"/>
        <v>46210.687500000779</v>
      </c>
      <c r="B323">
        <v>19.600000000000001</v>
      </c>
      <c r="C323" s="2">
        <f t="shared" ref="C323:C386" si="25">INT(A323)</f>
        <v>46210</v>
      </c>
      <c r="D323" s="1">
        <f t="shared" ref="D323:D386" si="26">HOUR(A323)+MINUTE(A323)/60</f>
        <v>16.5</v>
      </c>
      <c r="E323" t="str">
        <f t="shared" ref="E323:E386" si="27">TEXT(A323,"dddd")</f>
        <v>Tuesday</v>
      </c>
      <c r="F323">
        <f>Assumptions!$B$2</f>
        <v>0.5</v>
      </c>
      <c r="G323">
        <f t="shared" ref="G323:G386" si="28">B323*F323</f>
        <v>9.8000000000000007</v>
      </c>
    </row>
    <row r="324" spans="1:7" x14ac:dyDescent="0.3">
      <c r="A324" s="2">
        <f t="shared" ref="A324:A387" si="29">A323+TIME(0,30,0)</f>
        <v>46210.708333334114</v>
      </c>
      <c r="B324">
        <v>18</v>
      </c>
      <c r="C324" s="2">
        <f t="shared" si="25"/>
        <v>46210</v>
      </c>
      <c r="D324" s="1">
        <f t="shared" si="26"/>
        <v>17</v>
      </c>
      <c r="E324" t="str">
        <f t="shared" si="27"/>
        <v>Tuesday</v>
      </c>
      <c r="F324">
        <f>Assumptions!$B$2</f>
        <v>0.5</v>
      </c>
      <c r="G324">
        <f t="shared" si="28"/>
        <v>9</v>
      </c>
    </row>
    <row r="325" spans="1:7" x14ac:dyDescent="0.3">
      <c r="A325" s="2">
        <f t="shared" si="29"/>
        <v>46210.72916666745</v>
      </c>
      <c r="B325">
        <v>17.2</v>
      </c>
      <c r="C325" s="2">
        <f t="shared" si="25"/>
        <v>46210</v>
      </c>
      <c r="D325" s="1">
        <f t="shared" si="26"/>
        <v>17.5</v>
      </c>
      <c r="E325" t="str">
        <f t="shared" si="27"/>
        <v>Tuesday</v>
      </c>
      <c r="F325">
        <f>Assumptions!$B$2</f>
        <v>0.5</v>
      </c>
      <c r="G325">
        <f t="shared" si="28"/>
        <v>8.6</v>
      </c>
    </row>
    <row r="326" spans="1:7" x14ac:dyDescent="0.3">
      <c r="A326" s="2">
        <f t="shared" si="29"/>
        <v>46210.750000000786</v>
      </c>
      <c r="B326">
        <v>15.3</v>
      </c>
      <c r="C326" s="2">
        <f t="shared" si="25"/>
        <v>46210</v>
      </c>
      <c r="D326" s="1">
        <f t="shared" si="26"/>
        <v>18</v>
      </c>
      <c r="E326" t="str">
        <f t="shared" si="27"/>
        <v>Tuesday</v>
      </c>
      <c r="F326">
        <f>Assumptions!$B$2</f>
        <v>0.5</v>
      </c>
      <c r="G326">
        <f t="shared" si="28"/>
        <v>7.65</v>
      </c>
    </row>
    <row r="327" spans="1:7" x14ac:dyDescent="0.3">
      <c r="A327" s="2">
        <f t="shared" si="29"/>
        <v>46210.770833334122</v>
      </c>
      <c r="B327">
        <v>14.1</v>
      </c>
      <c r="C327" s="2">
        <f t="shared" si="25"/>
        <v>46210</v>
      </c>
      <c r="D327" s="1">
        <f t="shared" si="26"/>
        <v>18.5</v>
      </c>
      <c r="E327" t="str">
        <f t="shared" si="27"/>
        <v>Tuesday</v>
      </c>
      <c r="F327">
        <f>Assumptions!$B$2</f>
        <v>0.5</v>
      </c>
      <c r="G327">
        <f t="shared" si="28"/>
        <v>7.05</v>
      </c>
    </row>
    <row r="328" spans="1:7" x14ac:dyDescent="0.3">
      <c r="A328" s="2">
        <f t="shared" si="29"/>
        <v>46210.791666667457</v>
      </c>
      <c r="B328">
        <v>4.3</v>
      </c>
      <c r="C328" s="2">
        <f t="shared" si="25"/>
        <v>46210</v>
      </c>
      <c r="D328" s="1">
        <f t="shared" si="26"/>
        <v>19</v>
      </c>
      <c r="E328" t="str">
        <f t="shared" si="27"/>
        <v>Tuesday</v>
      </c>
      <c r="F328">
        <f>Assumptions!$B$2</f>
        <v>0.5</v>
      </c>
      <c r="G328">
        <f t="shared" si="28"/>
        <v>2.15</v>
      </c>
    </row>
    <row r="329" spans="1:7" x14ac:dyDescent="0.3">
      <c r="A329" s="2">
        <f t="shared" si="29"/>
        <v>46210.812500000793</v>
      </c>
      <c r="B329">
        <v>7.4</v>
      </c>
      <c r="C329" s="2">
        <f t="shared" si="25"/>
        <v>46210</v>
      </c>
      <c r="D329" s="1">
        <f t="shared" si="26"/>
        <v>19.5</v>
      </c>
      <c r="E329" t="str">
        <f t="shared" si="27"/>
        <v>Tuesday</v>
      </c>
      <c r="F329">
        <f>Assumptions!$B$2</f>
        <v>0.5</v>
      </c>
      <c r="G329">
        <f t="shared" si="28"/>
        <v>3.7</v>
      </c>
    </row>
    <row r="330" spans="1:7" x14ac:dyDescent="0.3">
      <c r="A330" s="2">
        <f t="shared" si="29"/>
        <v>46210.833333334129</v>
      </c>
      <c r="B330">
        <v>4.9000000000000004</v>
      </c>
      <c r="C330" s="2">
        <f t="shared" si="25"/>
        <v>46210</v>
      </c>
      <c r="D330" s="1">
        <f t="shared" si="26"/>
        <v>20</v>
      </c>
      <c r="E330" t="str">
        <f t="shared" si="27"/>
        <v>Tuesday</v>
      </c>
      <c r="F330">
        <f>Assumptions!$B$2</f>
        <v>0.5</v>
      </c>
      <c r="G330">
        <f t="shared" si="28"/>
        <v>2.4500000000000002</v>
      </c>
    </row>
    <row r="331" spans="1:7" x14ac:dyDescent="0.3">
      <c r="A331" s="2">
        <f t="shared" si="29"/>
        <v>46210.854166667465</v>
      </c>
      <c r="B331">
        <v>3.5</v>
      </c>
      <c r="C331" s="2">
        <f t="shared" si="25"/>
        <v>46210</v>
      </c>
      <c r="D331" s="1">
        <f t="shared" si="26"/>
        <v>20.5</v>
      </c>
      <c r="E331" t="str">
        <f t="shared" si="27"/>
        <v>Tuesday</v>
      </c>
      <c r="F331">
        <f>Assumptions!$B$2</f>
        <v>0.5</v>
      </c>
      <c r="G331">
        <f t="shared" si="28"/>
        <v>1.75</v>
      </c>
    </row>
    <row r="332" spans="1:7" x14ac:dyDescent="0.3">
      <c r="A332" s="2">
        <f t="shared" si="29"/>
        <v>46210.8750000008</v>
      </c>
      <c r="B332">
        <v>6.1</v>
      </c>
      <c r="C332" s="2">
        <f t="shared" si="25"/>
        <v>46210</v>
      </c>
      <c r="D332" s="1">
        <f t="shared" si="26"/>
        <v>21</v>
      </c>
      <c r="E332" t="str">
        <f t="shared" si="27"/>
        <v>Tuesday</v>
      </c>
      <c r="F332">
        <f>Assumptions!$B$2</f>
        <v>0.5</v>
      </c>
      <c r="G332">
        <f t="shared" si="28"/>
        <v>3.05</v>
      </c>
    </row>
    <row r="333" spans="1:7" x14ac:dyDescent="0.3">
      <c r="A333" s="2">
        <f t="shared" si="29"/>
        <v>46210.895833334136</v>
      </c>
      <c r="B333">
        <v>3.1</v>
      </c>
      <c r="C333" s="2">
        <f t="shared" si="25"/>
        <v>46210</v>
      </c>
      <c r="D333" s="1">
        <f t="shared" si="26"/>
        <v>21.5</v>
      </c>
      <c r="E333" t="str">
        <f t="shared" si="27"/>
        <v>Tuesday</v>
      </c>
      <c r="F333">
        <f>Assumptions!$B$2</f>
        <v>0.5</v>
      </c>
      <c r="G333">
        <f t="shared" si="28"/>
        <v>1.55</v>
      </c>
    </row>
    <row r="334" spans="1:7" x14ac:dyDescent="0.3">
      <c r="A334" s="2">
        <f t="shared" si="29"/>
        <v>46210.916666667472</v>
      </c>
      <c r="B334">
        <v>4.5999999999999996</v>
      </c>
      <c r="C334" s="2">
        <f t="shared" si="25"/>
        <v>46210</v>
      </c>
      <c r="D334" s="1">
        <f t="shared" si="26"/>
        <v>22</v>
      </c>
      <c r="E334" t="str">
        <f t="shared" si="27"/>
        <v>Tuesday</v>
      </c>
      <c r="F334">
        <f>Assumptions!$B$2</f>
        <v>0.5</v>
      </c>
      <c r="G334">
        <f t="shared" si="28"/>
        <v>2.2999999999999998</v>
      </c>
    </row>
    <row r="335" spans="1:7" x14ac:dyDescent="0.3">
      <c r="A335" s="2">
        <f t="shared" si="29"/>
        <v>46210.937500000808</v>
      </c>
      <c r="B335">
        <v>7.8</v>
      </c>
      <c r="C335" s="2">
        <f t="shared" si="25"/>
        <v>46210</v>
      </c>
      <c r="D335" s="1">
        <f t="shared" si="26"/>
        <v>22.5</v>
      </c>
      <c r="E335" t="str">
        <f t="shared" si="27"/>
        <v>Tuesday</v>
      </c>
      <c r="F335">
        <f>Assumptions!$B$2</f>
        <v>0.5</v>
      </c>
      <c r="G335">
        <f t="shared" si="28"/>
        <v>3.9</v>
      </c>
    </row>
    <row r="336" spans="1:7" x14ac:dyDescent="0.3">
      <c r="A336" s="2">
        <f t="shared" si="29"/>
        <v>46210.958333334143</v>
      </c>
      <c r="B336">
        <v>7.4</v>
      </c>
      <c r="C336" s="2">
        <f t="shared" si="25"/>
        <v>46210</v>
      </c>
      <c r="D336" s="1">
        <f t="shared" si="26"/>
        <v>23</v>
      </c>
      <c r="E336" t="str">
        <f t="shared" si="27"/>
        <v>Tuesday</v>
      </c>
      <c r="F336">
        <f>Assumptions!$B$2</f>
        <v>0.5</v>
      </c>
      <c r="G336">
        <f t="shared" si="28"/>
        <v>3.7</v>
      </c>
    </row>
    <row r="337" spans="1:7" x14ac:dyDescent="0.3">
      <c r="A337" s="2">
        <f t="shared" si="29"/>
        <v>46210.979166667479</v>
      </c>
      <c r="B337">
        <v>7.3</v>
      </c>
      <c r="C337" s="2">
        <f t="shared" si="25"/>
        <v>46210</v>
      </c>
      <c r="D337" s="1">
        <f t="shared" si="26"/>
        <v>23.5</v>
      </c>
      <c r="E337" t="str">
        <f t="shared" si="27"/>
        <v>Tuesday</v>
      </c>
      <c r="F337">
        <f>Assumptions!$B$2</f>
        <v>0.5</v>
      </c>
      <c r="G337">
        <f t="shared" si="28"/>
        <v>3.65</v>
      </c>
    </row>
    <row r="338" spans="1:7" x14ac:dyDescent="0.3">
      <c r="A338" s="2">
        <f t="shared" si="29"/>
        <v>46211.000000000815</v>
      </c>
      <c r="B338">
        <v>2.4</v>
      </c>
      <c r="C338" s="2">
        <f t="shared" si="25"/>
        <v>46211</v>
      </c>
      <c r="D338" s="1">
        <f t="shared" si="26"/>
        <v>0</v>
      </c>
      <c r="E338" t="str">
        <f t="shared" si="27"/>
        <v>Wednesday</v>
      </c>
      <c r="F338">
        <f>Assumptions!$B$2</f>
        <v>0.5</v>
      </c>
      <c r="G338">
        <f t="shared" si="28"/>
        <v>1.2</v>
      </c>
    </row>
    <row r="339" spans="1:7" x14ac:dyDescent="0.3">
      <c r="A339" s="2">
        <f t="shared" si="29"/>
        <v>46211.020833334151</v>
      </c>
      <c r="B339">
        <v>2.4</v>
      </c>
      <c r="C339" s="2">
        <f t="shared" si="25"/>
        <v>46211</v>
      </c>
      <c r="D339" s="1">
        <f t="shared" si="26"/>
        <v>0.5</v>
      </c>
      <c r="E339" t="str">
        <f t="shared" si="27"/>
        <v>Wednesday</v>
      </c>
      <c r="F339">
        <f>Assumptions!$B$2</f>
        <v>0.5</v>
      </c>
      <c r="G339">
        <f t="shared" si="28"/>
        <v>1.2</v>
      </c>
    </row>
    <row r="340" spans="1:7" x14ac:dyDescent="0.3">
      <c r="A340" s="2">
        <f t="shared" si="29"/>
        <v>46211.041666667486</v>
      </c>
      <c r="B340">
        <v>2.4</v>
      </c>
      <c r="C340" s="2">
        <f t="shared" si="25"/>
        <v>46211</v>
      </c>
      <c r="D340" s="1">
        <f t="shared" si="26"/>
        <v>1</v>
      </c>
      <c r="E340" t="str">
        <f t="shared" si="27"/>
        <v>Wednesday</v>
      </c>
      <c r="F340">
        <f>Assumptions!$B$2</f>
        <v>0.5</v>
      </c>
      <c r="G340">
        <f t="shared" si="28"/>
        <v>1.2</v>
      </c>
    </row>
    <row r="341" spans="1:7" x14ac:dyDescent="0.3">
      <c r="A341" s="2">
        <f t="shared" si="29"/>
        <v>46211.062500000822</v>
      </c>
      <c r="B341">
        <v>2.7</v>
      </c>
      <c r="C341" s="2">
        <f t="shared" si="25"/>
        <v>46211</v>
      </c>
      <c r="D341" s="1">
        <f t="shared" si="26"/>
        <v>1.5</v>
      </c>
      <c r="E341" t="str">
        <f t="shared" si="27"/>
        <v>Wednesday</v>
      </c>
      <c r="F341">
        <f>Assumptions!$B$2</f>
        <v>0.5</v>
      </c>
      <c r="G341">
        <f t="shared" si="28"/>
        <v>1.35</v>
      </c>
    </row>
    <row r="342" spans="1:7" x14ac:dyDescent="0.3">
      <c r="A342" s="2">
        <f t="shared" si="29"/>
        <v>46211.083333334158</v>
      </c>
      <c r="B342">
        <v>2</v>
      </c>
      <c r="C342" s="2">
        <f t="shared" si="25"/>
        <v>46211</v>
      </c>
      <c r="D342" s="1">
        <f t="shared" si="26"/>
        <v>2</v>
      </c>
      <c r="E342" t="str">
        <f t="shared" si="27"/>
        <v>Wednesday</v>
      </c>
      <c r="F342">
        <f>Assumptions!$B$2</f>
        <v>0.5</v>
      </c>
      <c r="G342">
        <f t="shared" si="28"/>
        <v>1</v>
      </c>
    </row>
    <row r="343" spans="1:7" x14ac:dyDescent="0.3">
      <c r="A343" s="2">
        <f t="shared" si="29"/>
        <v>46211.104166667494</v>
      </c>
      <c r="B343">
        <v>1.8</v>
      </c>
      <c r="C343" s="2">
        <f t="shared" si="25"/>
        <v>46211</v>
      </c>
      <c r="D343" s="1">
        <f t="shared" si="26"/>
        <v>2.5</v>
      </c>
      <c r="E343" t="str">
        <f t="shared" si="27"/>
        <v>Wednesday</v>
      </c>
      <c r="F343">
        <f>Assumptions!$B$2</f>
        <v>0.5</v>
      </c>
      <c r="G343">
        <f t="shared" si="28"/>
        <v>0.9</v>
      </c>
    </row>
    <row r="344" spans="1:7" x14ac:dyDescent="0.3">
      <c r="A344" s="2">
        <f t="shared" si="29"/>
        <v>46211.125000000829</v>
      </c>
      <c r="B344">
        <v>2.6</v>
      </c>
      <c r="C344" s="2">
        <f t="shared" si="25"/>
        <v>46211</v>
      </c>
      <c r="D344" s="1">
        <f t="shared" si="26"/>
        <v>3</v>
      </c>
      <c r="E344" t="str">
        <f t="shared" si="27"/>
        <v>Wednesday</v>
      </c>
      <c r="F344">
        <f>Assumptions!$B$2</f>
        <v>0.5</v>
      </c>
      <c r="G344">
        <f t="shared" si="28"/>
        <v>1.3</v>
      </c>
    </row>
    <row r="345" spans="1:7" x14ac:dyDescent="0.3">
      <c r="A345" s="2">
        <f t="shared" si="29"/>
        <v>46211.145833334165</v>
      </c>
      <c r="B345">
        <v>1.8</v>
      </c>
      <c r="C345" s="2">
        <f t="shared" si="25"/>
        <v>46211</v>
      </c>
      <c r="D345" s="1">
        <f t="shared" si="26"/>
        <v>3.5</v>
      </c>
      <c r="E345" t="str">
        <f t="shared" si="27"/>
        <v>Wednesday</v>
      </c>
      <c r="F345">
        <f>Assumptions!$B$2</f>
        <v>0.5</v>
      </c>
      <c r="G345">
        <f t="shared" si="28"/>
        <v>0.9</v>
      </c>
    </row>
    <row r="346" spans="1:7" x14ac:dyDescent="0.3">
      <c r="A346" s="2">
        <f t="shared" si="29"/>
        <v>46211.166666667501</v>
      </c>
      <c r="B346">
        <v>3</v>
      </c>
      <c r="C346" s="2">
        <f t="shared" si="25"/>
        <v>46211</v>
      </c>
      <c r="D346" s="1">
        <f t="shared" si="26"/>
        <v>4</v>
      </c>
      <c r="E346" t="str">
        <f t="shared" si="27"/>
        <v>Wednesday</v>
      </c>
      <c r="F346">
        <f>Assumptions!$B$2</f>
        <v>0.5</v>
      </c>
      <c r="G346">
        <f t="shared" si="28"/>
        <v>1.5</v>
      </c>
    </row>
    <row r="347" spans="1:7" x14ac:dyDescent="0.3">
      <c r="A347" s="2">
        <f t="shared" si="29"/>
        <v>46211.187500000837</v>
      </c>
      <c r="B347">
        <v>2.7</v>
      </c>
      <c r="C347" s="2">
        <f t="shared" si="25"/>
        <v>46211</v>
      </c>
      <c r="D347" s="1">
        <f t="shared" si="26"/>
        <v>4.5</v>
      </c>
      <c r="E347" t="str">
        <f t="shared" si="27"/>
        <v>Wednesday</v>
      </c>
      <c r="F347">
        <f>Assumptions!$B$2</f>
        <v>0.5</v>
      </c>
      <c r="G347">
        <f t="shared" si="28"/>
        <v>1.35</v>
      </c>
    </row>
    <row r="348" spans="1:7" x14ac:dyDescent="0.3">
      <c r="A348" s="2">
        <f t="shared" si="29"/>
        <v>46211.208333334172</v>
      </c>
      <c r="B348">
        <v>1.9</v>
      </c>
      <c r="C348" s="2">
        <f t="shared" si="25"/>
        <v>46211</v>
      </c>
      <c r="D348" s="1">
        <f t="shared" si="26"/>
        <v>5</v>
      </c>
      <c r="E348" t="str">
        <f t="shared" si="27"/>
        <v>Wednesday</v>
      </c>
      <c r="F348">
        <f>Assumptions!$B$2</f>
        <v>0.5</v>
      </c>
      <c r="G348">
        <f t="shared" si="28"/>
        <v>0.95</v>
      </c>
    </row>
    <row r="349" spans="1:7" x14ac:dyDescent="0.3">
      <c r="A349" s="2">
        <f t="shared" si="29"/>
        <v>46211.229166667508</v>
      </c>
      <c r="B349">
        <v>2.2000000000000002</v>
      </c>
      <c r="C349" s="2">
        <f t="shared" si="25"/>
        <v>46211</v>
      </c>
      <c r="D349" s="1">
        <f t="shared" si="26"/>
        <v>5.5</v>
      </c>
      <c r="E349" t="str">
        <f t="shared" si="27"/>
        <v>Wednesday</v>
      </c>
      <c r="F349">
        <f>Assumptions!$B$2</f>
        <v>0.5</v>
      </c>
      <c r="G349">
        <f t="shared" si="28"/>
        <v>1.1000000000000001</v>
      </c>
    </row>
    <row r="350" spans="1:7" x14ac:dyDescent="0.3">
      <c r="A350" s="2">
        <f t="shared" si="29"/>
        <v>46211.250000000844</v>
      </c>
      <c r="B350">
        <v>5.7</v>
      </c>
      <c r="C350" s="2">
        <f t="shared" si="25"/>
        <v>46211</v>
      </c>
      <c r="D350" s="1">
        <f t="shared" si="26"/>
        <v>6</v>
      </c>
      <c r="E350" t="str">
        <f t="shared" si="27"/>
        <v>Wednesday</v>
      </c>
      <c r="F350">
        <f>Assumptions!$B$2</f>
        <v>0.5</v>
      </c>
      <c r="G350">
        <f t="shared" si="28"/>
        <v>2.85</v>
      </c>
    </row>
    <row r="351" spans="1:7" x14ac:dyDescent="0.3">
      <c r="A351" s="2">
        <f t="shared" si="29"/>
        <v>46211.27083333418</v>
      </c>
      <c r="B351">
        <v>4.5999999999999996</v>
      </c>
      <c r="C351" s="2">
        <f t="shared" si="25"/>
        <v>46211</v>
      </c>
      <c r="D351" s="1">
        <f t="shared" si="26"/>
        <v>6.5</v>
      </c>
      <c r="E351" t="str">
        <f t="shared" si="27"/>
        <v>Wednesday</v>
      </c>
      <c r="F351">
        <f>Assumptions!$B$2</f>
        <v>0.5</v>
      </c>
      <c r="G351">
        <f t="shared" si="28"/>
        <v>2.2999999999999998</v>
      </c>
    </row>
    <row r="352" spans="1:7" x14ac:dyDescent="0.3">
      <c r="A352" s="2">
        <f t="shared" si="29"/>
        <v>46211.291666667516</v>
      </c>
      <c r="B352">
        <v>7.8</v>
      </c>
      <c r="C352" s="2">
        <f t="shared" si="25"/>
        <v>46211</v>
      </c>
      <c r="D352" s="1">
        <f t="shared" si="26"/>
        <v>7</v>
      </c>
      <c r="E352" t="str">
        <f t="shared" si="27"/>
        <v>Wednesday</v>
      </c>
      <c r="F352">
        <f>Assumptions!$B$2</f>
        <v>0.5</v>
      </c>
      <c r="G352">
        <f t="shared" si="28"/>
        <v>3.9</v>
      </c>
    </row>
    <row r="353" spans="1:7" x14ac:dyDescent="0.3">
      <c r="A353" s="2">
        <f t="shared" si="29"/>
        <v>46211.312500000851</v>
      </c>
      <c r="B353">
        <v>4.3</v>
      </c>
      <c r="C353" s="2">
        <f t="shared" si="25"/>
        <v>46211</v>
      </c>
      <c r="D353" s="1">
        <f t="shared" si="26"/>
        <v>7.5</v>
      </c>
      <c r="E353" t="str">
        <f t="shared" si="27"/>
        <v>Wednesday</v>
      </c>
      <c r="F353">
        <f>Assumptions!$B$2</f>
        <v>0.5</v>
      </c>
      <c r="G353">
        <f t="shared" si="28"/>
        <v>2.15</v>
      </c>
    </row>
    <row r="354" spans="1:7" x14ac:dyDescent="0.3">
      <c r="A354" s="2">
        <f t="shared" si="29"/>
        <v>46211.333333334187</v>
      </c>
      <c r="B354">
        <v>20.7</v>
      </c>
      <c r="C354" s="2">
        <f t="shared" si="25"/>
        <v>46211</v>
      </c>
      <c r="D354" s="1">
        <f t="shared" si="26"/>
        <v>8</v>
      </c>
      <c r="E354" t="str">
        <f t="shared" si="27"/>
        <v>Wednesday</v>
      </c>
      <c r="F354">
        <f>Assumptions!$B$2</f>
        <v>0.5</v>
      </c>
      <c r="G354">
        <f t="shared" si="28"/>
        <v>10.35</v>
      </c>
    </row>
    <row r="355" spans="1:7" x14ac:dyDescent="0.3">
      <c r="A355" s="2">
        <f t="shared" si="29"/>
        <v>46211.354166667523</v>
      </c>
      <c r="B355">
        <v>13</v>
      </c>
      <c r="C355" s="2">
        <f t="shared" si="25"/>
        <v>46211</v>
      </c>
      <c r="D355" s="1">
        <f t="shared" si="26"/>
        <v>8.5</v>
      </c>
      <c r="E355" t="str">
        <f t="shared" si="27"/>
        <v>Wednesday</v>
      </c>
      <c r="F355">
        <f>Assumptions!$B$2</f>
        <v>0.5</v>
      </c>
      <c r="G355">
        <f t="shared" si="28"/>
        <v>6.5</v>
      </c>
    </row>
    <row r="356" spans="1:7" x14ac:dyDescent="0.3">
      <c r="A356" s="2">
        <f t="shared" si="29"/>
        <v>46211.375000000859</v>
      </c>
      <c r="B356">
        <v>14.1</v>
      </c>
      <c r="C356" s="2">
        <f t="shared" si="25"/>
        <v>46211</v>
      </c>
      <c r="D356" s="1">
        <f t="shared" si="26"/>
        <v>9</v>
      </c>
      <c r="E356" t="str">
        <f t="shared" si="27"/>
        <v>Wednesday</v>
      </c>
      <c r="F356">
        <f>Assumptions!$B$2</f>
        <v>0.5</v>
      </c>
      <c r="G356">
        <f t="shared" si="28"/>
        <v>7.05</v>
      </c>
    </row>
    <row r="357" spans="1:7" x14ac:dyDescent="0.3">
      <c r="A357" s="2">
        <f t="shared" si="29"/>
        <v>46211.395833334194</v>
      </c>
      <c r="B357">
        <v>15.2</v>
      </c>
      <c r="C357" s="2">
        <f t="shared" si="25"/>
        <v>46211</v>
      </c>
      <c r="D357" s="1">
        <f t="shared" si="26"/>
        <v>9.5</v>
      </c>
      <c r="E357" t="str">
        <f t="shared" si="27"/>
        <v>Wednesday</v>
      </c>
      <c r="F357">
        <f>Assumptions!$B$2</f>
        <v>0.5</v>
      </c>
      <c r="G357">
        <f t="shared" si="28"/>
        <v>7.6</v>
      </c>
    </row>
    <row r="358" spans="1:7" x14ac:dyDescent="0.3">
      <c r="A358" s="2">
        <f t="shared" si="29"/>
        <v>46211.41666666753</v>
      </c>
      <c r="B358">
        <v>21.3</v>
      </c>
      <c r="C358" s="2">
        <f t="shared" si="25"/>
        <v>46211</v>
      </c>
      <c r="D358" s="1">
        <f t="shared" si="26"/>
        <v>10</v>
      </c>
      <c r="E358" t="str">
        <f t="shared" si="27"/>
        <v>Wednesday</v>
      </c>
      <c r="F358">
        <f>Assumptions!$B$2</f>
        <v>0.5</v>
      </c>
      <c r="G358">
        <f t="shared" si="28"/>
        <v>10.65</v>
      </c>
    </row>
    <row r="359" spans="1:7" x14ac:dyDescent="0.3">
      <c r="A359" s="2">
        <f t="shared" si="29"/>
        <v>46211.437500000866</v>
      </c>
      <c r="B359">
        <v>19.3</v>
      </c>
      <c r="C359" s="2">
        <f t="shared" si="25"/>
        <v>46211</v>
      </c>
      <c r="D359" s="1">
        <f t="shared" si="26"/>
        <v>10.5</v>
      </c>
      <c r="E359" t="str">
        <f t="shared" si="27"/>
        <v>Wednesday</v>
      </c>
      <c r="F359">
        <f>Assumptions!$B$2</f>
        <v>0.5</v>
      </c>
      <c r="G359">
        <f t="shared" si="28"/>
        <v>9.65</v>
      </c>
    </row>
    <row r="360" spans="1:7" x14ac:dyDescent="0.3">
      <c r="A360" s="2">
        <f t="shared" si="29"/>
        <v>46211.458333334202</v>
      </c>
      <c r="B360">
        <v>15.3</v>
      </c>
      <c r="C360" s="2">
        <f t="shared" si="25"/>
        <v>46211</v>
      </c>
      <c r="D360" s="1">
        <f t="shared" si="26"/>
        <v>11</v>
      </c>
      <c r="E360" t="str">
        <f t="shared" si="27"/>
        <v>Wednesday</v>
      </c>
      <c r="F360">
        <f>Assumptions!$B$2</f>
        <v>0.5</v>
      </c>
      <c r="G360">
        <f t="shared" si="28"/>
        <v>7.65</v>
      </c>
    </row>
    <row r="361" spans="1:7" x14ac:dyDescent="0.3">
      <c r="A361" s="2">
        <f t="shared" si="29"/>
        <v>46211.479166667537</v>
      </c>
      <c r="B361">
        <v>18.899999999999999</v>
      </c>
      <c r="C361" s="2">
        <f t="shared" si="25"/>
        <v>46211</v>
      </c>
      <c r="D361" s="1">
        <f t="shared" si="26"/>
        <v>11.5</v>
      </c>
      <c r="E361" t="str">
        <f t="shared" si="27"/>
        <v>Wednesday</v>
      </c>
      <c r="F361">
        <f>Assumptions!$B$2</f>
        <v>0.5</v>
      </c>
      <c r="G361">
        <f t="shared" si="28"/>
        <v>9.4499999999999993</v>
      </c>
    </row>
    <row r="362" spans="1:7" x14ac:dyDescent="0.3">
      <c r="A362" s="2">
        <f t="shared" si="29"/>
        <v>46211.500000000873</v>
      </c>
      <c r="B362">
        <v>33.1</v>
      </c>
      <c r="C362" s="2">
        <f t="shared" si="25"/>
        <v>46211</v>
      </c>
      <c r="D362" s="1">
        <f t="shared" si="26"/>
        <v>12</v>
      </c>
      <c r="E362" t="str">
        <f t="shared" si="27"/>
        <v>Wednesday</v>
      </c>
      <c r="F362">
        <f>Assumptions!$B$2</f>
        <v>0.5</v>
      </c>
      <c r="G362">
        <f t="shared" si="28"/>
        <v>16.55</v>
      </c>
    </row>
    <row r="363" spans="1:7" x14ac:dyDescent="0.3">
      <c r="A363" s="2">
        <f t="shared" si="29"/>
        <v>46211.520833334209</v>
      </c>
      <c r="B363">
        <v>23.5</v>
      </c>
      <c r="C363" s="2">
        <f t="shared" si="25"/>
        <v>46211</v>
      </c>
      <c r="D363" s="1">
        <f t="shared" si="26"/>
        <v>12.5</v>
      </c>
      <c r="E363" t="str">
        <f t="shared" si="27"/>
        <v>Wednesday</v>
      </c>
      <c r="F363">
        <f>Assumptions!$B$2</f>
        <v>0.5</v>
      </c>
      <c r="G363">
        <f t="shared" si="28"/>
        <v>11.75</v>
      </c>
    </row>
    <row r="364" spans="1:7" x14ac:dyDescent="0.3">
      <c r="A364" s="2">
        <f t="shared" si="29"/>
        <v>46211.541666667545</v>
      </c>
      <c r="B364">
        <v>27.6</v>
      </c>
      <c r="C364" s="2">
        <f t="shared" si="25"/>
        <v>46211</v>
      </c>
      <c r="D364" s="1">
        <f t="shared" si="26"/>
        <v>13</v>
      </c>
      <c r="E364" t="str">
        <f t="shared" si="27"/>
        <v>Wednesday</v>
      </c>
      <c r="F364">
        <f>Assumptions!$B$2</f>
        <v>0.5</v>
      </c>
      <c r="G364">
        <f t="shared" si="28"/>
        <v>13.8</v>
      </c>
    </row>
    <row r="365" spans="1:7" x14ac:dyDescent="0.3">
      <c r="A365" s="2">
        <f t="shared" si="29"/>
        <v>46211.56250000088</v>
      </c>
      <c r="B365">
        <v>30.1</v>
      </c>
      <c r="C365" s="2">
        <f t="shared" si="25"/>
        <v>46211</v>
      </c>
      <c r="D365" s="1">
        <f t="shared" si="26"/>
        <v>13.5</v>
      </c>
      <c r="E365" t="str">
        <f t="shared" si="27"/>
        <v>Wednesday</v>
      </c>
      <c r="F365">
        <f>Assumptions!$B$2</f>
        <v>0.5</v>
      </c>
      <c r="G365">
        <f t="shared" si="28"/>
        <v>15.05</v>
      </c>
    </row>
    <row r="366" spans="1:7" x14ac:dyDescent="0.3">
      <c r="A366" s="2">
        <f t="shared" si="29"/>
        <v>46211.583333334216</v>
      </c>
      <c r="B366">
        <v>18.5</v>
      </c>
      <c r="C366" s="2">
        <f t="shared" si="25"/>
        <v>46211</v>
      </c>
      <c r="D366" s="1">
        <f t="shared" si="26"/>
        <v>14</v>
      </c>
      <c r="E366" t="str">
        <f t="shared" si="27"/>
        <v>Wednesday</v>
      </c>
      <c r="F366">
        <f>Assumptions!$B$2</f>
        <v>0.5</v>
      </c>
      <c r="G366">
        <f t="shared" si="28"/>
        <v>9.25</v>
      </c>
    </row>
    <row r="367" spans="1:7" x14ac:dyDescent="0.3">
      <c r="A367" s="2">
        <f t="shared" si="29"/>
        <v>46211.604166667552</v>
      </c>
      <c r="B367">
        <v>34.1</v>
      </c>
      <c r="C367" s="2">
        <f t="shared" si="25"/>
        <v>46211</v>
      </c>
      <c r="D367" s="1">
        <f t="shared" si="26"/>
        <v>14.5</v>
      </c>
      <c r="E367" t="str">
        <f t="shared" si="27"/>
        <v>Wednesday</v>
      </c>
      <c r="F367">
        <f>Assumptions!$B$2</f>
        <v>0.5</v>
      </c>
      <c r="G367">
        <f t="shared" si="28"/>
        <v>17.05</v>
      </c>
    </row>
    <row r="368" spans="1:7" x14ac:dyDescent="0.3">
      <c r="A368" s="2">
        <f t="shared" si="29"/>
        <v>46211.625000000888</v>
      </c>
      <c r="B368">
        <v>31.2</v>
      </c>
      <c r="C368" s="2">
        <f t="shared" si="25"/>
        <v>46211</v>
      </c>
      <c r="D368" s="1">
        <f t="shared" si="26"/>
        <v>15</v>
      </c>
      <c r="E368" t="str">
        <f t="shared" si="27"/>
        <v>Wednesday</v>
      </c>
      <c r="F368">
        <f>Assumptions!$B$2</f>
        <v>0.5</v>
      </c>
      <c r="G368">
        <f t="shared" si="28"/>
        <v>15.6</v>
      </c>
    </row>
    <row r="369" spans="1:7" x14ac:dyDescent="0.3">
      <c r="A369" s="2">
        <f t="shared" si="29"/>
        <v>46211.645833334223</v>
      </c>
      <c r="B369">
        <v>23.3</v>
      </c>
      <c r="C369" s="2">
        <f t="shared" si="25"/>
        <v>46211</v>
      </c>
      <c r="D369" s="1">
        <f t="shared" si="26"/>
        <v>15.5</v>
      </c>
      <c r="E369" t="str">
        <f t="shared" si="27"/>
        <v>Wednesday</v>
      </c>
      <c r="F369">
        <f>Assumptions!$B$2</f>
        <v>0.5</v>
      </c>
      <c r="G369">
        <f t="shared" si="28"/>
        <v>11.65</v>
      </c>
    </row>
    <row r="370" spans="1:7" x14ac:dyDescent="0.3">
      <c r="A370" s="2">
        <f t="shared" si="29"/>
        <v>46211.666666667559</v>
      </c>
      <c r="B370">
        <v>19.3</v>
      </c>
      <c r="C370" s="2">
        <f t="shared" si="25"/>
        <v>46211</v>
      </c>
      <c r="D370" s="1">
        <f t="shared" si="26"/>
        <v>16</v>
      </c>
      <c r="E370" t="str">
        <f t="shared" si="27"/>
        <v>Wednesday</v>
      </c>
      <c r="F370">
        <f>Assumptions!$B$2</f>
        <v>0.5</v>
      </c>
      <c r="G370">
        <f t="shared" si="28"/>
        <v>9.65</v>
      </c>
    </row>
    <row r="371" spans="1:7" x14ac:dyDescent="0.3">
      <c r="A371" s="2">
        <f t="shared" si="29"/>
        <v>46211.687500000895</v>
      </c>
      <c r="B371">
        <v>17.399999999999999</v>
      </c>
      <c r="C371" s="2">
        <f t="shared" si="25"/>
        <v>46211</v>
      </c>
      <c r="D371" s="1">
        <f t="shared" si="26"/>
        <v>16.5</v>
      </c>
      <c r="E371" t="str">
        <f t="shared" si="27"/>
        <v>Wednesday</v>
      </c>
      <c r="F371">
        <f>Assumptions!$B$2</f>
        <v>0.5</v>
      </c>
      <c r="G371">
        <f t="shared" si="28"/>
        <v>8.6999999999999993</v>
      </c>
    </row>
    <row r="372" spans="1:7" x14ac:dyDescent="0.3">
      <c r="A372" s="2">
        <f t="shared" si="29"/>
        <v>46211.708333334231</v>
      </c>
      <c r="B372">
        <v>15.1</v>
      </c>
      <c r="C372" s="2">
        <f t="shared" si="25"/>
        <v>46211</v>
      </c>
      <c r="D372" s="1">
        <f t="shared" si="26"/>
        <v>17</v>
      </c>
      <c r="E372" t="str">
        <f t="shared" si="27"/>
        <v>Wednesday</v>
      </c>
      <c r="F372">
        <f>Assumptions!$B$2</f>
        <v>0.5</v>
      </c>
      <c r="G372">
        <f t="shared" si="28"/>
        <v>7.55</v>
      </c>
    </row>
    <row r="373" spans="1:7" x14ac:dyDescent="0.3">
      <c r="A373" s="2">
        <f t="shared" si="29"/>
        <v>46211.729166667566</v>
      </c>
      <c r="B373">
        <v>17.8</v>
      </c>
      <c r="C373" s="2">
        <f t="shared" si="25"/>
        <v>46211</v>
      </c>
      <c r="D373" s="1">
        <f t="shared" si="26"/>
        <v>17.5</v>
      </c>
      <c r="E373" t="str">
        <f t="shared" si="27"/>
        <v>Wednesday</v>
      </c>
      <c r="F373">
        <f>Assumptions!$B$2</f>
        <v>0.5</v>
      </c>
      <c r="G373">
        <f t="shared" si="28"/>
        <v>8.9</v>
      </c>
    </row>
    <row r="374" spans="1:7" x14ac:dyDescent="0.3">
      <c r="A374" s="2">
        <f t="shared" si="29"/>
        <v>46211.750000000902</v>
      </c>
      <c r="B374">
        <v>13.9</v>
      </c>
      <c r="C374" s="2">
        <f t="shared" si="25"/>
        <v>46211</v>
      </c>
      <c r="D374" s="1">
        <f t="shared" si="26"/>
        <v>18</v>
      </c>
      <c r="E374" t="str">
        <f t="shared" si="27"/>
        <v>Wednesday</v>
      </c>
      <c r="F374">
        <f>Assumptions!$B$2</f>
        <v>0.5</v>
      </c>
      <c r="G374">
        <f t="shared" si="28"/>
        <v>6.95</v>
      </c>
    </row>
    <row r="375" spans="1:7" x14ac:dyDescent="0.3">
      <c r="A375" s="2">
        <f t="shared" si="29"/>
        <v>46211.770833334238</v>
      </c>
      <c r="B375">
        <v>11.9</v>
      </c>
      <c r="C375" s="2">
        <f t="shared" si="25"/>
        <v>46211</v>
      </c>
      <c r="D375" s="1">
        <f t="shared" si="26"/>
        <v>18.5</v>
      </c>
      <c r="E375" t="str">
        <f t="shared" si="27"/>
        <v>Wednesday</v>
      </c>
      <c r="F375">
        <f>Assumptions!$B$2</f>
        <v>0.5</v>
      </c>
      <c r="G375">
        <f t="shared" si="28"/>
        <v>5.95</v>
      </c>
    </row>
    <row r="376" spans="1:7" x14ac:dyDescent="0.3">
      <c r="A376" s="2">
        <f t="shared" si="29"/>
        <v>46211.791666667574</v>
      </c>
      <c r="B376">
        <v>7.9</v>
      </c>
      <c r="C376" s="2">
        <f t="shared" si="25"/>
        <v>46211</v>
      </c>
      <c r="D376" s="1">
        <f t="shared" si="26"/>
        <v>19</v>
      </c>
      <c r="E376" t="str">
        <f t="shared" si="27"/>
        <v>Wednesday</v>
      </c>
      <c r="F376">
        <f>Assumptions!$B$2</f>
        <v>0.5</v>
      </c>
      <c r="G376">
        <f t="shared" si="28"/>
        <v>3.95</v>
      </c>
    </row>
    <row r="377" spans="1:7" x14ac:dyDescent="0.3">
      <c r="A377" s="2">
        <f t="shared" si="29"/>
        <v>46211.812500000909</v>
      </c>
      <c r="B377">
        <v>6.8</v>
      </c>
      <c r="C377" s="2">
        <f t="shared" si="25"/>
        <v>46211</v>
      </c>
      <c r="D377" s="1">
        <f t="shared" si="26"/>
        <v>19.5</v>
      </c>
      <c r="E377" t="str">
        <f t="shared" si="27"/>
        <v>Wednesday</v>
      </c>
      <c r="F377">
        <f>Assumptions!$B$2</f>
        <v>0.5</v>
      </c>
      <c r="G377">
        <f t="shared" si="28"/>
        <v>3.4</v>
      </c>
    </row>
    <row r="378" spans="1:7" x14ac:dyDescent="0.3">
      <c r="A378" s="2">
        <f t="shared" si="29"/>
        <v>46211.833333334245</v>
      </c>
      <c r="B378">
        <v>7.4</v>
      </c>
      <c r="C378" s="2">
        <f t="shared" si="25"/>
        <v>46211</v>
      </c>
      <c r="D378" s="1">
        <f t="shared" si="26"/>
        <v>20</v>
      </c>
      <c r="E378" t="str">
        <f t="shared" si="27"/>
        <v>Wednesday</v>
      </c>
      <c r="F378">
        <f>Assumptions!$B$2</f>
        <v>0.5</v>
      </c>
      <c r="G378">
        <f t="shared" si="28"/>
        <v>3.7</v>
      </c>
    </row>
    <row r="379" spans="1:7" x14ac:dyDescent="0.3">
      <c r="A379" s="2">
        <f t="shared" si="29"/>
        <v>46211.854166667581</v>
      </c>
      <c r="B379">
        <v>7.6</v>
      </c>
      <c r="C379" s="2">
        <f t="shared" si="25"/>
        <v>46211</v>
      </c>
      <c r="D379" s="1">
        <f t="shared" si="26"/>
        <v>20.5</v>
      </c>
      <c r="E379" t="str">
        <f t="shared" si="27"/>
        <v>Wednesday</v>
      </c>
      <c r="F379">
        <f>Assumptions!$B$2</f>
        <v>0.5</v>
      </c>
      <c r="G379">
        <f t="shared" si="28"/>
        <v>3.8</v>
      </c>
    </row>
    <row r="380" spans="1:7" x14ac:dyDescent="0.3">
      <c r="A380" s="2">
        <f t="shared" si="29"/>
        <v>46211.875000000917</v>
      </c>
      <c r="B380">
        <v>3.2</v>
      </c>
      <c r="C380" s="2">
        <f t="shared" si="25"/>
        <v>46211</v>
      </c>
      <c r="D380" s="1">
        <f t="shared" si="26"/>
        <v>21</v>
      </c>
      <c r="E380" t="str">
        <f t="shared" si="27"/>
        <v>Wednesday</v>
      </c>
      <c r="F380">
        <f>Assumptions!$B$2</f>
        <v>0.5</v>
      </c>
      <c r="G380">
        <f t="shared" si="28"/>
        <v>1.6</v>
      </c>
    </row>
    <row r="381" spans="1:7" x14ac:dyDescent="0.3">
      <c r="A381" s="2">
        <f t="shared" si="29"/>
        <v>46211.895833334253</v>
      </c>
      <c r="B381">
        <v>8</v>
      </c>
      <c r="C381" s="2">
        <f t="shared" si="25"/>
        <v>46211</v>
      </c>
      <c r="D381" s="1">
        <f t="shared" si="26"/>
        <v>21.5</v>
      </c>
      <c r="E381" t="str">
        <f t="shared" si="27"/>
        <v>Wednesday</v>
      </c>
      <c r="F381">
        <f>Assumptions!$B$2</f>
        <v>0.5</v>
      </c>
      <c r="G381">
        <f t="shared" si="28"/>
        <v>4</v>
      </c>
    </row>
    <row r="382" spans="1:7" x14ac:dyDescent="0.3">
      <c r="A382" s="2">
        <f t="shared" si="29"/>
        <v>46211.916666667588</v>
      </c>
      <c r="B382">
        <v>3.5</v>
      </c>
      <c r="C382" s="2">
        <f t="shared" si="25"/>
        <v>46211</v>
      </c>
      <c r="D382" s="1">
        <f t="shared" si="26"/>
        <v>22</v>
      </c>
      <c r="E382" t="str">
        <f t="shared" si="27"/>
        <v>Wednesday</v>
      </c>
      <c r="F382">
        <f>Assumptions!$B$2</f>
        <v>0.5</v>
      </c>
      <c r="G382">
        <f t="shared" si="28"/>
        <v>1.75</v>
      </c>
    </row>
    <row r="383" spans="1:7" x14ac:dyDescent="0.3">
      <c r="A383" s="2">
        <f t="shared" si="29"/>
        <v>46211.937500000924</v>
      </c>
      <c r="B383">
        <v>7.8</v>
      </c>
      <c r="C383" s="2">
        <f t="shared" si="25"/>
        <v>46211</v>
      </c>
      <c r="D383" s="1">
        <f t="shared" si="26"/>
        <v>22.5</v>
      </c>
      <c r="E383" t="str">
        <f t="shared" si="27"/>
        <v>Wednesday</v>
      </c>
      <c r="F383">
        <f>Assumptions!$B$2</f>
        <v>0.5</v>
      </c>
      <c r="G383">
        <f t="shared" si="28"/>
        <v>3.9</v>
      </c>
    </row>
    <row r="384" spans="1:7" x14ac:dyDescent="0.3">
      <c r="A384" s="2">
        <f t="shared" si="29"/>
        <v>46211.95833333426</v>
      </c>
      <c r="B384">
        <v>3.6</v>
      </c>
      <c r="C384" s="2">
        <f t="shared" si="25"/>
        <v>46211</v>
      </c>
      <c r="D384" s="1">
        <f t="shared" si="26"/>
        <v>23</v>
      </c>
      <c r="E384" t="str">
        <f t="shared" si="27"/>
        <v>Wednesday</v>
      </c>
      <c r="F384">
        <f>Assumptions!$B$2</f>
        <v>0.5</v>
      </c>
      <c r="G384">
        <f t="shared" si="28"/>
        <v>1.8</v>
      </c>
    </row>
    <row r="385" spans="1:7" x14ac:dyDescent="0.3">
      <c r="A385" s="2">
        <f t="shared" si="29"/>
        <v>46211.979166667596</v>
      </c>
      <c r="B385">
        <v>4.0999999999999996</v>
      </c>
      <c r="C385" s="2">
        <f t="shared" si="25"/>
        <v>46211</v>
      </c>
      <c r="D385" s="1">
        <f t="shared" si="26"/>
        <v>23.5</v>
      </c>
      <c r="E385" t="str">
        <f t="shared" si="27"/>
        <v>Wednesday</v>
      </c>
      <c r="F385">
        <f>Assumptions!$B$2</f>
        <v>0.5</v>
      </c>
      <c r="G385">
        <f t="shared" si="28"/>
        <v>2.0499999999999998</v>
      </c>
    </row>
    <row r="386" spans="1:7" x14ac:dyDescent="0.3">
      <c r="A386" s="2">
        <f t="shared" si="29"/>
        <v>46212.000000000931</v>
      </c>
      <c r="B386">
        <v>2.8</v>
      </c>
      <c r="C386" s="2">
        <f t="shared" si="25"/>
        <v>46212</v>
      </c>
      <c r="D386" s="1">
        <f t="shared" si="26"/>
        <v>0</v>
      </c>
      <c r="E386" t="str">
        <f t="shared" si="27"/>
        <v>Thursday</v>
      </c>
      <c r="F386">
        <f>Assumptions!$B$2</f>
        <v>0.5</v>
      </c>
      <c r="G386">
        <f t="shared" si="28"/>
        <v>1.4</v>
      </c>
    </row>
    <row r="387" spans="1:7" x14ac:dyDescent="0.3">
      <c r="A387" s="2">
        <f t="shared" si="29"/>
        <v>46212.020833334267</v>
      </c>
      <c r="B387">
        <v>2.7</v>
      </c>
      <c r="C387" s="2">
        <f t="shared" ref="C387:C450" si="30">INT(A387)</f>
        <v>46212</v>
      </c>
      <c r="D387" s="1">
        <f t="shared" ref="D387:D450" si="31">HOUR(A387)+MINUTE(A387)/60</f>
        <v>0.5</v>
      </c>
      <c r="E387" t="str">
        <f t="shared" ref="E387:E450" si="32">TEXT(A387,"dddd")</f>
        <v>Thursday</v>
      </c>
      <c r="F387">
        <f>Assumptions!$B$2</f>
        <v>0.5</v>
      </c>
      <c r="G387">
        <f t="shared" ref="G387:G450" si="33">B387*F387</f>
        <v>1.35</v>
      </c>
    </row>
    <row r="388" spans="1:7" x14ac:dyDescent="0.3">
      <c r="A388" s="2">
        <f t="shared" ref="A388:A451" si="34">A387+TIME(0,30,0)</f>
        <v>46212.041666667603</v>
      </c>
      <c r="B388">
        <v>2.2999999999999998</v>
      </c>
      <c r="C388" s="2">
        <f t="shared" si="30"/>
        <v>46212</v>
      </c>
      <c r="D388" s="1">
        <f t="shared" si="31"/>
        <v>1</v>
      </c>
      <c r="E388" t="str">
        <f t="shared" si="32"/>
        <v>Thursday</v>
      </c>
      <c r="F388">
        <f>Assumptions!$B$2</f>
        <v>0.5</v>
      </c>
      <c r="G388">
        <f t="shared" si="33"/>
        <v>1.1499999999999999</v>
      </c>
    </row>
    <row r="389" spans="1:7" x14ac:dyDescent="0.3">
      <c r="A389" s="2">
        <f t="shared" si="34"/>
        <v>46212.062500000939</v>
      </c>
      <c r="B389">
        <v>2.6</v>
      </c>
      <c r="C389" s="2">
        <f t="shared" si="30"/>
        <v>46212</v>
      </c>
      <c r="D389" s="1">
        <f t="shared" si="31"/>
        <v>1.5</v>
      </c>
      <c r="E389" t="str">
        <f t="shared" si="32"/>
        <v>Thursday</v>
      </c>
      <c r="F389">
        <f>Assumptions!$B$2</f>
        <v>0.5</v>
      </c>
      <c r="G389">
        <f t="shared" si="33"/>
        <v>1.3</v>
      </c>
    </row>
    <row r="390" spans="1:7" x14ac:dyDescent="0.3">
      <c r="A390" s="2">
        <f t="shared" si="34"/>
        <v>46212.083333334274</v>
      </c>
      <c r="B390">
        <v>2.1</v>
      </c>
      <c r="C390" s="2">
        <f t="shared" si="30"/>
        <v>46212</v>
      </c>
      <c r="D390" s="1">
        <f t="shared" si="31"/>
        <v>2</v>
      </c>
      <c r="E390" t="str">
        <f t="shared" si="32"/>
        <v>Thursday</v>
      </c>
      <c r="F390">
        <f>Assumptions!$B$2</f>
        <v>0.5</v>
      </c>
      <c r="G390">
        <f t="shared" si="33"/>
        <v>1.05</v>
      </c>
    </row>
    <row r="391" spans="1:7" x14ac:dyDescent="0.3">
      <c r="A391" s="2">
        <f t="shared" si="34"/>
        <v>46212.10416666761</v>
      </c>
      <c r="B391">
        <v>2.6</v>
      </c>
      <c r="C391" s="2">
        <f t="shared" si="30"/>
        <v>46212</v>
      </c>
      <c r="D391" s="1">
        <f t="shared" si="31"/>
        <v>2.5</v>
      </c>
      <c r="E391" t="str">
        <f t="shared" si="32"/>
        <v>Thursday</v>
      </c>
      <c r="F391">
        <f>Assumptions!$B$2</f>
        <v>0.5</v>
      </c>
      <c r="G391">
        <f t="shared" si="33"/>
        <v>1.3</v>
      </c>
    </row>
    <row r="392" spans="1:7" x14ac:dyDescent="0.3">
      <c r="A392" s="2">
        <f t="shared" si="34"/>
        <v>46212.125000000946</v>
      </c>
      <c r="B392">
        <v>2.1</v>
      </c>
      <c r="C392" s="2">
        <f t="shared" si="30"/>
        <v>46212</v>
      </c>
      <c r="D392" s="1">
        <f t="shared" si="31"/>
        <v>3</v>
      </c>
      <c r="E392" t="str">
        <f t="shared" si="32"/>
        <v>Thursday</v>
      </c>
      <c r="F392">
        <f>Assumptions!$B$2</f>
        <v>0.5</v>
      </c>
      <c r="G392">
        <f t="shared" si="33"/>
        <v>1.05</v>
      </c>
    </row>
    <row r="393" spans="1:7" x14ac:dyDescent="0.3">
      <c r="A393" s="2">
        <f t="shared" si="34"/>
        <v>46212.145833334282</v>
      </c>
      <c r="B393">
        <v>1.9</v>
      </c>
      <c r="C393" s="2">
        <f t="shared" si="30"/>
        <v>46212</v>
      </c>
      <c r="D393" s="1">
        <f t="shared" si="31"/>
        <v>3.5</v>
      </c>
      <c r="E393" t="str">
        <f t="shared" si="32"/>
        <v>Thursday</v>
      </c>
      <c r="F393">
        <f>Assumptions!$B$2</f>
        <v>0.5</v>
      </c>
      <c r="G393">
        <f t="shared" si="33"/>
        <v>0.95</v>
      </c>
    </row>
    <row r="394" spans="1:7" x14ac:dyDescent="0.3">
      <c r="A394" s="2">
        <f t="shared" si="34"/>
        <v>46212.166666667617</v>
      </c>
      <c r="B394">
        <v>2.9</v>
      </c>
      <c r="C394" s="2">
        <f t="shared" si="30"/>
        <v>46212</v>
      </c>
      <c r="D394" s="1">
        <f t="shared" si="31"/>
        <v>4</v>
      </c>
      <c r="E394" t="str">
        <f t="shared" si="32"/>
        <v>Thursday</v>
      </c>
      <c r="F394">
        <f>Assumptions!$B$2</f>
        <v>0.5</v>
      </c>
      <c r="G394">
        <f t="shared" si="33"/>
        <v>1.45</v>
      </c>
    </row>
    <row r="395" spans="1:7" x14ac:dyDescent="0.3">
      <c r="A395" s="2">
        <f t="shared" si="34"/>
        <v>46212.187500000953</v>
      </c>
      <c r="B395">
        <v>2.2000000000000002</v>
      </c>
      <c r="C395" s="2">
        <f t="shared" si="30"/>
        <v>46212</v>
      </c>
      <c r="D395" s="1">
        <f t="shared" si="31"/>
        <v>4.5</v>
      </c>
      <c r="E395" t="str">
        <f t="shared" si="32"/>
        <v>Thursday</v>
      </c>
      <c r="F395">
        <f>Assumptions!$B$2</f>
        <v>0.5</v>
      </c>
      <c r="G395">
        <f t="shared" si="33"/>
        <v>1.1000000000000001</v>
      </c>
    </row>
    <row r="396" spans="1:7" x14ac:dyDescent="0.3">
      <c r="A396" s="2">
        <f t="shared" si="34"/>
        <v>46212.208333334289</v>
      </c>
      <c r="B396">
        <v>2.6</v>
      </c>
      <c r="C396" s="2">
        <f t="shared" si="30"/>
        <v>46212</v>
      </c>
      <c r="D396" s="1">
        <f t="shared" si="31"/>
        <v>5</v>
      </c>
      <c r="E396" t="str">
        <f t="shared" si="32"/>
        <v>Thursday</v>
      </c>
      <c r="F396">
        <f>Assumptions!$B$2</f>
        <v>0.5</v>
      </c>
      <c r="G396">
        <f t="shared" si="33"/>
        <v>1.3</v>
      </c>
    </row>
    <row r="397" spans="1:7" x14ac:dyDescent="0.3">
      <c r="A397" s="2">
        <f t="shared" si="34"/>
        <v>46212.229166667625</v>
      </c>
      <c r="B397">
        <v>3</v>
      </c>
      <c r="C397" s="2">
        <f t="shared" si="30"/>
        <v>46212</v>
      </c>
      <c r="D397" s="1">
        <f t="shared" si="31"/>
        <v>5.5</v>
      </c>
      <c r="E397" t="str">
        <f t="shared" si="32"/>
        <v>Thursday</v>
      </c>
      <c r="F397">
        <f>Assumptions!$B$2</f>
        <v>0.5</v>
      </c>
      <c r="G397">
        <f t="shared" si="33"/>
        <v>1.5</v>
      </c>
    </row>
    <row r="398" spans="1:7" x14ac:dyDescent="0.3">
      <c r="A398" s="2">
        <f t="shared" si="34"/>
        <v>46212.25000000096</v>
      </c>
      <c r="B398">
        <v>4.4000000000000004</v>
      </c>
      <c r="C398" s="2">
        <f t="shared" si="30"/>
        <v>46212</v>
      </c>
      <c r="D398" s="1">
        <f t="shared" si="31"/>
        <v>6</v>
      </c>
      <c r="E398" t="str">
        <f t="shared" si="32"/>
        <v>Thursday</v>
      </c>
      <c r="F398">
        <f>Assumptions!$B$2</f>
        <v>0.5</v>
      </c>
      <c r="G398">
        <f t="shared" si="33"/>
        <v>2.2000000000000002</v>
      </c>
    </row>
    <row r="399" spans="1:7" x14ac:dyDescent="0.3">
      <c r="A399" s="2">
        <f t="shared" si="34"/>
        <v>46212.270833334296</v>
      </c>
      <c r="B399">
        <v>5.2</v>
      </c>
      <c r="C399" s="2">
        <f t="shared" si="30"/>
        <v>46212</v>
      </c>
      <c r="D399" s="1">
        <f t="shared" si="31"/>
        <v>6.5</v>
      </c>
      <c r="E399" t="str">
        <f t="shared" si="32"/>
        <v>Thursday</v>
      </c>
      <c r="F399">
        <f>Assumptions!$B$2</f>
        <v>0.5</v>
      </c>
      <c r="G399">
        <f t="shared" si="33"/>
        <v>2.6</v>
      </c>
    </row>
    <row r="400" spans="1:7" x14ac:dyDescent="0.3">
      <c r="A400" s="2">
        <f t="shared" si="34"/>
        <v>46212.291666667632</v>
      </c>
      <c r="B400">
        <v>7.6</v>
      </c>
      <c r="C400" s="2">
        <f t="shared" si="30"/>
        <v>46212</v>
      </c>
      <c r="D400" s="1">
        <f t="shared" si="31"/>
        <v>7</v>
      </c>
      <c r="E400" t="str">
        <f t="shared" si="32"/>
        <v>Thursday</v>
      </c>
      <c r="F400">
        <f>Assumptions!$B$2</f>
        <v>0.5</v>
      </c>
      <c r="G400">
        <f t="shared" si="33"/>
        <v>3.8</v>
      </c>
    </row>
    <row r="401" spans="1:7" x14ac:dyDescent="0.3">
      <c r="A401" s="2">
        <f t="shared" si="34"/>
        <v>46212.312500000968</v>
      </c>
      <c r="B401">
        <v>4.9000000000000004</v>
      </c>
      <c r="C401" s="2">
        <f t="shared" si="30"/>
        <v>46212</v>
      </c>
      <c r="D401" s="1">
        <f t="shared" si="31"/>
        <v>7.5</v>
      </c>
      <c r="E401" t="str">
        <f t="shared" si="32"/>
        <v>Thursday</v>
      </c>
      <c r="F401">
        <f>Assumptions!$B$2</f>
        <v>0.5</v>
      </c>
      <c r="G401">
        <f t="shared" si="33"/>
        <v>2.4500000000000002</v>
      </c>
    </row>
    <row r="402" spans="1:7" x14ac:dyDescent="0.3">
      <c r="A402" s="2">
        <f t="shared" si="34"/>
        <v>46212.333333334303</v>
      </c>
      <c r="B402">
        <v>17.399999999999999</v>
      </c>
      <c r="C402" s="2">
        <f t="shared" si="30"/>
        <v>46212</v>
      </c>
      <c r="D402" s="1">
        <f t="shared" si="31"/>
        <v>8</v>
      </c>
      <c r="E402" t="str">
        <f t="shared" si="32"/>
        <v>Thursday</v>
      </c>
      <c r="F402">
        <f>Assumptions!$B$2</f>
        <v>0.5</v>
      </c>
      <c r="G402">
        <f t="shared" si="33"/>
        <v>8.6999999999999993</v>
      </c>
    </row>
    <row r="403" spans="1:7" x14ac:dyDescent="0.3">
      <c r="A403" s="2">
        <f t="shared" si="34"/>
        <v>46212.354166667639</v>
      </c>
      <c r="B403">
        <v>20.9</v>
      </c>
      <c r="C403" s="2">
        <f t="shared" si="30"/>
        <v>46212</v>
      </c>
      <c r="D403" s="1">
        <f t="shared" si="31"/>
        <v>8.5</v>
      </c>
      <c r="E403" t="str">
        <f t="shared" si="32"/>
        <v>Thursday</v>
      </c>
      <c r="F403">
        <f>Assumptions!$B$2</f>
        <v>0.5</v>
      </c>
      <c r="G403">
        <f t="shared" si="33"/>
        <v>10.45</v>
      </c>
    </row>
    <row r="404" spans="1:7" x14ac:dyDescent="0.3">
      <c r="A404" s="2">
        <f t="shared" si="34"/>
        <v>46212.375000000975</v>
      </c>
      <c r="B404">
        <v>16.899999999999999</v>
      </c>
      <c r="C404" s="2">
        <f t="shared" si="30"/>
        <v>46212</v>
      </c>
      <c r="D404" s="1">
        <f t="shared" si="31"/>
        <v>9</v>
      </c>
      <c r="E404" t="str">
        <f t="shared" si="32"/>
        <v>Thursday</v>
      </c>
      <c r="F404">
        <f>Assumptions!$B$2</f>
        <v>0.5</v>
      </c>
      <c r="G404">
        <f t="shared" si="33"/>
        <v>8.4499999999999993</v>
      </c>
    </row>
    <row r="405" spans="1:7" x14ac:dyDescent="0.3">
      <c r="A405" s="2">
        <f t="shared" si="34"/>
        <v>46212.395833334311</v>
      </c>
      <c r="B405">
        <v>16.8</v>
      </c>
      <c r="C405" s="2">
        <f t="shared" si="30"/>
        <v>46212</v>
      </c>
      <c r="D405" s="1">
        <f t="shared" si="31"/>
        <v>9.5</v>
      </c>
      <c r="E405" t="str">
        <f t="shared" si="32"/>
        <v>Thursday</v>
      </c>
      <c r="F405">
        <f>Assumptions!$B$2</f>
        <v>0.5</v>
      </c>
      <c r="G405">
        <f t="shared" si="33"/>
        <v>8.4</v>
      </c>
    </row>
    <row r="406" spans="1:7" x14ac:dyDescent="0.3">
      <c r="A406" s="2">
        <f t="shared" si="34"/>
        <v>46212.416666667646</v>
      </c>
      <c r="B406">
        <v>21.1</v>
      </c>
      <c r="C406" s="2">
        <f t="shared" si="30"/>
        <v>46212</v>
      </c>
      <c r="D406" s="1">
        <f t="shared" si="31"/>
        <v>10</v>
      </c>
      <c r="E406" t="str">
        <f t="shared" si="32"/>
        <v>Thursday</v>
      </c>
      <c r="F406">
        <f>Assumptions!$B$2</f>
        <v>0.5</v>
      </c>
      <c r="G406">
        <f t="shared" si="33"/>
        <v>10.55</v>
      </c>
    </row>
    <row r="407" spans="1:7" x14ac:dyDescent="0.3">
      <c r="A407" s="2">
        <f t="shared" si="34"/>
        <v>46212.437500000982</v>
      </c>
      <c r="B407">
        <v>17.5</v>
      </c>
      <c r="C407" s="2">
        <f t="shared" si="30"/>
        <v>46212</v>
      </c>
      <c r="D407" s="1">
        <f t="shared" si="31"/>
        <v>10.5</v>
      </c>
      <c r="E407" t="str">
        <f t="shared" si="32"/>
        <v>Thursday</v>
      </c>
      <c r="F407">
        <f>Assumptions!$B$2</f>
        <v>0.5</v>
      </c>
      <c r="G407">
        <f t="shared" si="33"/>
        <v>8.75</v>
      </c>
    </row>
    <row r="408" spans="1:7" x14ac:dyDescent="0.3">
      <c r="A408" s="2">
        <f t="shared" si="34"/>
        <v>46212.458333334318</v>
      </c>
      <c r="B408">
        <v>18.8</v>
      </c>
      <c r="C408" s="2">
        <f t="shared" si="30"/>
        <v>46212</v>
      </c>
      <c r="D408" s="1">
        <f t="shared" si="31"/>
        <v>11</v>
      </c>
      <c r="E408" t="str">
        <f t="shared" si="32"/>
        <v>Thursday</v>
      </c>
      <c r="F408">
        <f>Assumptions!$B$2</f>
        <v>0.5</v>
      </c>
      <c r="G408">
        <f t="shared" si="33"/>
        <v>9.4</v>
      </c>
    </row>
    <row r="409" spans="1:7" x14ac:dyDescent="0.3">
      <c r="A409" s="2">
        <f t="shared" si="34"/>
        <v>46212.479166667654</v>
      </c>
      <c r="B409">
        <v>19</v>
      </c>
      <c r="C409" s="2">
        <f t="shared" si="30"/>
        <v>46212</v>
      </c>
      <c r="D409" s="1">
        <f t="shared" si="31"/>
        <v>11.5</v>
      </c>
      <c r="E409" t="str">
        <f t="shared" si="32"/>
        <v>Thursday</v>
      </c>
      <c r="F409">
        <f>Assumptions!$B$2</f>
        <v>0.5</v>
      </c>
      <c r="G409">
        <f t="shared" si="33"/>
        <v>9.5</v>
      </c>
    </row>
    <row r="410" spans="1:7" x14ac:dyDescent="0.3">
      <c r="A410" s="2">
        <f t="shared" si="34"/>
        <v>46212.50000000099</v>
      </c>
      <c r="B410">
        <v>23.1</v>
      </c>
      <c r="C410" s="2">
        <f t="shared" si="30"/>
        <v>46212</v>
      </c>
      <c r="D410" s="1">
        <f t="shared" si="31"/>
        <v>12</v>
      </c>
      <c r="E410" t="str">
        <f t="shared" si="32"/>
        <v>Thursday</v>
      </c>
      <c r="F410">
        <f>Assumptions!$B$2</f>
        <v>0.5</v>
      </c>
      <c r="G410">
        <f t="shared" si="33"/>
        <v>11.55</v>
      </c>
    </row>
    <row r="411" spans="1:7" x14ac:dyDescent="0.3">
      <c r="A411" s="2">
        <f t="shared" si="34"/>
        <v>46212.520833334325</v>
      </c>
      <c r="B411">
        <v>29.6</v>
      </c>
      <c r="C411" s="2">
        <f t="shared" si="30"/>
        <v>46212</v>
      </c>
      <c r="D411" s="1">
        <f t="shared" si="31"/>
        <v>12.5</v>
      </c>
      <c r="E411" t="str">
        <f t="shared" si="32"/>
        <v>Thursday</v>
      </c>
      <c r="F411">
        <f>Assumptions!$B$2</f>
        <v>0.5</v>
      </c>
      <c r="G411">
        <f t="shared" si="33"/>
        <v>14.8</v>
      </c>
    </row>
    <row r="412" spans="1:7" x14ac:dyDescent="0.3">
      <c r="A412" s="2">
        <f t="shared" si="34"/>
        <v>46212.541666667661</v>
      </c>
      <c r="B412">
        <v>22.7</v>
      </c>
      <c r="C412" s="2">
        <f t="shared" si="30"/>
        <v>46212</v>
      </c>
      <c r="D412" s="1">
        <f t="shared" si="31"/>
        <v>13</v>
      </c>
      <c r="E412" t="str">
        <f t="shared" si="32"/>
        <v>Thursday</v>
      </c>
      <c r="F412">
        <f>Assumptions!$B$2</f>
        <v>0.5</v>
      </c>
      <c r="G412">
        <f t="shared" si="33"/>
        <v>11.35</v>
      </c>
    </row>
    <row r="413" spans="1:7" x14ac:dyDescent="0.3">
      <c r="A413" s="2">
        <f t="shared" si="34"/>
        <v>46212.562500000997</v>
      </c>
      <c r="B413">
        <v>34.4</v>
      </c>
      <c r="C413" s="2">
        <f t="shared" si="30"/>
        <v>46212</v>
      </c>
      <c r="D413" s="1">
        <f t="shared" si="31"/>
        <v>13.5</v>
      </c>
      <c r="E413" t="str">
        <f t="shared" si="32"/>
        <v>Thursday</v>
      </c>
      <c r="F413">
        <f>Assumptions!$B$2</f>
        <v>0.5</v>
      </c>
      <c r="G413">
        <f t="shared" si="33"/>
        <v>17.2</v>
      </c>
    </row>
    <row r="414" spans="1:7" x14ac:dyDescent="0.3">
      <c r="A414" s="2">
        <f t="shared" si="34"/>
        <v>46212.583333334333</v>
      </c>
      <c r="B414">
        <v>31.5</v>
      </c>
      <c r="C414" s="2">
        <f t="shared" si="30"/>
        <v>46212</v>
      </c>
      <c r="D414" s="1">
        <f t="shared" si="31"/>
        <v>14</v>
      </c>
      <c r="E414" t="str">
        <f t="shared" si="32"/>
        <v>Thursday</v>
      </c>
      <c r="F414">
        <f>Assumptions!$B$2</f>
        <v>0.5</v>
      </c>
      <c r="G414">
        <f t="shared" si="33"/>
        <v>15.75</v>
      </c>
    </row>
    <row r="415" spans="1:7" x14ac:dyDescent="0.3">
      <c r="A415" s="2">
        <f t="shared" si="34"/>
        <v>46212.604166667668</v>
      </c>
      <c r="B415">
        <v>29.4</v>
      </c>
      <c r="C415" s="2">
        <f t="shared" si="30"/>
        <v>46212</v>
      </c>
      <c r="D415" s="1">
        <f t="shared" si="31"/>
        <v>14.5</v>
      </c>
      <c r="E415" t="str">
        <f t="shared" si="32"/>
        <v>Thursday</v>
      </c>
      <c r="F415">
        <f>Assumptions!$B$2</f>
        <v>0.5</v>
      </c>
      <c r="G415">
        <f t="shared" si="33"/>
        <v>14.7</v>
      </c>
    </row>
    <row r="416" spans="1:7" x14ac:dyDescent="0.3">
      <c r="A416" s="2">
        <f t="shared" si="34"/>
        <v>46212.625000001004</v>
      </c>
      <c r="B416">
        <v>21.5</v>
      </c>
      <c r="C416" s="2">
        <f t="shared" si="30"/>
        <v>46212</v>
      </c>
      <c r="D416" s="1">
        <f t="shared" si="31"/>
        <v>15</v>
      </c>
      <c r="E416" t="str">
        <f t="shared" si="32"/>
        <v>Thursday</v>
      </c>
      <c r="F416">
        <f>Assumptions!$B$2</f>
        <v>0.5</v>
      </c>
      <c r="G416">
        <f t="shared" si="33"/>
        <v>10.75</v>
      </c>
    </row>
    <row r="417" spans="1:7" x14ac:dyDescent="0.3">
      <c r="A417" s="2">
        <f t="shared" si="34"/>
        <v>46212.64583333434</v>
      </c>
      <c r="B417">
        <v>30.7</v>
      </c>
      <c r="C417" s="2">
        <f t="shared" si="30"/>
        <v>46212</v>
      </c>
      <c r="D417" s="1">
        <f t="shared" si="31"/>
        <v>15.5</v>
      </c>
      <c r="E417" t="str">
        <f t="shared" si="32"/>
        <v>Thursday</v>
      </c>
      <c r="F417">
        <f>Assumptions!$B$2</f>
        <v>0.5</v>
      </c>
      <c r="G417">
        <f t="shared" si="33"/>
        <v>15.35</v>
      </c>
    </row>
    <row r="418" spans="1:7" x14ac:dyDescent="0.3">
      <c r="A418" s="2">
        <f t="shared" si="34"/>
        <v>46212.666666667676</v>
      </c>
      <c r="B418">
        <v>17.8</v>
      </c>
      <c r="C418" s="2">
        <f t="shared" si="30"/>
        <v>46212</v>
      </c>
      <c r="D418" s="1">
        <f t="shared" si="31"/>
        <v>16</v>
      </c>
      <c r="E418" t="str">
        <f t="shared" si="32"/>
        <v>Thursday</v>
      </c>
      <c r="F418">
        <f>Assumptions!$B$2</f>
        <v>0.5</v>
      </c>
      <c r="G418">
        <f t="shared" si="33"/>
        <v>8.9</v>
      </c>
    </row>
    <row r="419" spans="1:7" x14ac:dyDescent="0.3">
      <c r="A419" s="2">
        <f t="shared" si="34"/>
        <v>46212.687500001011</v>
      </c>
      <c r="B419">
        <v>18.7</v>
      </c>
      <c r="C419" s="2">
        <f t="shared" si="30"/>
        <v>46212</v>
      </c>
      <c r="D419" s="1">
        <f t="shared" si="31"/>
        <v>16.5</v>
      </c>
      <c r="E419" t="str">
        <f t="shared" si="32"/>
        <v>Thursday</v>
      </c>
      <c r="F419">
        <f>Assumptions!$B$2</f>
        <v>0.5</v>
      </c>
      <c r="G419">
        <f t="shared" si="33"/>
        <v>9.35</v>
      </c>
    </row>
    <row r="420" spans="1:7" x14ac:dyDescent="0.3">
      <c r="A420" s="2">
        <f t="shared" si="34"/>
        <v>46212.708333334347</v>
      </c>
      <c r="B420">
        <v>12</v>
      </c>
      <c r="C420" s="2">
        <f t="shared" si="30"/>
        <v>46212</v>
      </c>
      <c r="D420" s="1">
        <f t="shared" si="31"/>
        <v>17</v>
      </c>
      <c r="E420" t="str">
        <f t="shared" si="32"/>
        <v>Thursday</v>
      </c>
      <c r="F420">
        <f>Assumptions!$B$2</f>
        <v>0.5</v>
      </c>
      <c r="G420">
        <f t="shared" si="33"/>
        <v>6</v>
      </c>
    </row>
    <row r="421" spans="1:7" x14ac:dyDescent="0.3">
      <c r="A421" s="2">
        <f t="shared" si="34"/>
        <v>46212.729166667683</v>
      </c>
      <c r="B421">
        <v>14.9</v>
      </c>
      <c r="C421" s="2">
        <f t="shared" si="30"/>
        <v>46212</v>
      </c>
      <c r="D421" s="1">
        <f t="shared" si="31"/>
        <v>17.5</v>
      </c>
      <c r="E421" t="str">
        <f t="shared" si="32"/>
        <v>Thursday</v>
      </c>
      <c r="F421">
        <f>Assumptions!$B$2</f>
        <v>0.5</v>
      </c>
      <c r="G421">
        <f t="shared" si="33"/>
        <v>7.45</v>
      </c>
    </row>
    <row r="422" spans="1:7" x14ac:dyDescent="0.3">
      <c r="A422" s="2">
        <f t="shared" si="34"/>
        <v>46212.750000001019</v>
      </c>
      <c r="B422">
        <v>19.100000000000001</v>
      </c>
      <c r="C422" s="2">
        <f t="shared" si="30"/>
        <v>46212</v>
      </c>
      <c r="D422" s="1">
        <f t="shared" si="31"/>
        <v>18</v>
      </c>
      <c r="E422" t="str">
        <f t="shared" si="32"/>
        <v>Thursday</v>
      </c>
      <c r="F422">
        <f>Assumptions!$B$2</f>
        <v>0.5</v>
      </c>
      <c r="G422">
        <f t="shared" si="33"/>
        <v>9.5500000000000007</v>
      </c>
    </row>
    <row r="423" spans="1:7" x14ac:dyDescent="0.3">
      <c r="A423" s="2">
        <f t="shared" si="34"/>
        <v>46212.770833334354</v>
      </c>
      <c r="B423">
        <v>11.6</v>
      </c>
      <c r="C423" s="2">
        <f t="shared" si="30"/>
        <v>46212</v>
      </c>
      <c r="D423" s="1">
        <f t="shared" si="31"/>
        <v>18.5</v>
      </c>
      <c r="E423" t="str">
        <f t="shared" si="32"/>
        <v>Thursday</v>
      </c>
      <c r="F423">
        <f>Assumptions!$B$2</f>
        <v>0.5</v>
      </c>
      <c r="G423">
        <f t="shared" si="33"/>
        <v>5.8</v>
      </c>
    </row>
    <row r="424" spans="1:7" x14ac:dyDescent="0.3">
      <c r="A424" s="2">
        <f t="shared" si="34"/>
        <v>46212.79166666769</v>
      </c>
      <c r="B424">
        <v>4.4000000000000004</v>
      </c>
      <c r="C424" s="2">
        <f t="shared" si="30"/>
        <v>46212</v>
      </c>
      <c r="D424" s="1">
        <f t="shared" si="31"/>
        <v>19</v>
      </c>
      <c r="E424" t="str">
        <f t="shared" si="32"/>
        <v>Thursday</v>
      </c>
      <c r="F424">
        <f>Assumptions!$B$2</f>
        <v>0.5</v>
      </c>
      <c r="G424">
        <f t="shared" si="33"/>
        <v>2.2000000000000002</v>
      </c>
    </row>
    <row r="425" spans="1:7" x14ac:dyDescent="0.3">
      <c r="A425" s="2">
        <f t="shared" si="34"/>
        <v>46212.812500001026</v>
      </c>
      <c r="B425">
        <v>4.4000000000000004</v>
      </c>
      <c r="C425" s="2">
        <f t="shared" si="30"/>
        <v>46212</v>
      </c>
      <c r="D425" s="1">
        <f t="shared" si="31"/>
        <v>19.5</v>
      </c>
      <c r="E425" t="str">
        <f t="shared" si="32"/>
        <v>Thursday</v>
      </c>
      <c r="F425">
        <f>Assumptions!$B$2</f>
        <v>0.5</v>
      </c>
      <c r="G425">
        <f t="shared" si="33"/>
        <v>2.2000000000000002</v>
      </c>
    </row>
    <row r="426" spans="1:7" x14ac:dyDescent="0.3">
      <c r="A426" s="2">
        <f t="shared" si="34"/>
        <v>46212.833333334362</v>
      </c>
      <c r="B426">
        <v>4.2</v>
      </c>
      <c r="C426" s="2">
        <f t="shared" si="30"/>
        <v>46212</v>
      </c>
      <c r="D426" s="1">
        <f t="shared" si="31"/>
        <v>20</v>
      </c>
      <c r="E426" t="str">
        <f t="shared" si="32"/>
        <v>Thursday</v>
      </c>
      <c r="F426">
        <f>Assumptions!$B$2</f>
        <v>0.5</v>
      </c>
      <c r="G426">
        <f t="shared" si="33"/>
        <v>2.1</v>
      </c>
    </row>
    <row r="427" spans="1:7" x14ac:dyDescent="0.3">
      <c r="A427" s="2">
        <f t="shared" si="34"/>
        <v>46212.854166667697</v>
      </c>
      <c r="B427">
        <v>4.5</v>
      </c>
      <c r="C427" s="2">
        <f t="shared" si="30"/>
        <v>46212</v>
      </c>
      <c r="D427" s="1">
        <f t="shared" si="31"/>
        <v>20.5</v>
      </c>
      <c r="E427" t="str">
        <f t="shared" si="32"/>
        <v>Thursday</v>
      </c>
      <c r="F427">
        <f>Assumptions!$B$2</f>
        <v>0.5</v>
      </c>
      <c r="G427">
        <f t="shared" si="33"/>
        <v>2.25</v>
      </c>
    </row>
    <row r="428" spans="1:7" x14ac:dyDescent="0.3">
      <c r="A428" s="2">
        <f t="shared" si="34"/>
        <v>46212.875000001033</v>
      </c>
      <c r="B428">
        <v>4.0999999999999996</v>
      </c>
      <c r="C428" s="2">
        <f t="shared" si="30"/>
        <v>46212</v>
      </c>
      <c r="D428" s="1">
        <f t="shared" si="31"/>
        <v>21</v>
      </c>
      <c r="E428" t="str">
        <f t="shared" si="32"/>
        <v>Thursday</v>
      </c>
      <c r="F428">
        <f>Assumptions!$B$2</f>
        <v>0.5</v>
      </c>
      <c r="G428">
        <f t="shared" si="33"/>
        <v>2.0499999999999998</v>
      </c>
    </row>
    <row r="429" spans="1:7" x14ac:dyDescent="0.3">
      <c r="A429" s="2">
        <f t="shared" si="34"/>
        <v>46212.895833334369</v>
      </c>
      <c r="B429">
        <v>6.6</v>
      </c>
      <c r="C429" s="2">
        <f t="shared" si="30"/>
        <v>46212</v>
      </c>
      <c r="D429" s="1">
        <f t="shared" si="31"/>
        <v>21.5</v>
      </c>
      <c r="E429" t="str">
        <f t="shared" si="32"/>
        <v>Thursday</v>
      </c>
      <c r="F429">
        <f>Assumptions!$B$2</f>
        <v>0.5</v>
      </c>
      <c r="G429">
        <f t="shared" si="33"/>
        <v>3.3</v>
      </c>
    </row>
    <row r="430" spans="1:7" x14ac:dyDescent="0.3">
      <c r="A430" s="2">
        <f t="shared" si="34"/>
        <v>46212.916666667705</v>
      </c>
      <c r="B430">
        <v>5.3</v>
      </c>
      <c r="C430" s="2">
        <f t="shared" si="30"/>
        <v>46212</v>
      </c>
      <c r="D430" s="1">
        <f t="shared" si="31"/>
        <v>22</v>
      </c>
      <c r="E430" t="str">
        <f t="shared" si="32"/>
        <v>Thursday</v>
      </c>
      <c r="F430">
        <f>Assumptions!$B$2</f>
        <v>0.5</v>
      </c>
      <c r="G430">
        <f t="shared" si="33"/>
        <v>2.65</v>
      </c>
    </row>
    <row r="431" spans="1:7" x14ac:dyDescent="0.3">
      <c r="A431" s="2">
        <f t="shared" si="34"/>
        <v>46212.93750000104</v>
      </c>
      <c r="B431">
        <v>7.2</v>
      </c>
      <c r="C431" s="2">
        <f t="shared" si="30"/>
        <v>46212</v>
      </c>
      <c r="D431" s="1">
        <f t="shared" si="31"/>
        <v>22.5</v>
      </c>
      <c r="E431" t="str">
        <f t="shared" si="32"/>
        <v>Thursday</v>
      </c>
      <c r="F431">
        <f>Assumptions!$B$2</f>
        <v>0.5</v>
      </c>
      <c r="G431">
        <f t="shared" si="33"/>
        <v>3.6</v>
      </c>
    </row>
    <row r="432" spans="1:7" x14ac:dyDescent="0.3">
      <c r="A432" s="2">
        <f t="shared" si="34"/>
        <v>46212.958333334376</v>
      </c>
      <c r="B432">
        <v>6</v>
      </c>
      <c r="C432" s="2">
        <f t="shared" si="30"/>
        <v>46212</v>
      </c>
      <c r="D432" s="1">
        <f t="shared" si="31"/>
        <v>23</v>
      </c>
      <c r="E432" t="str">
        <f t="shared" si="32"/>
        <v>Thursday</v>
      </c>
      <c r="F432">
        <f>Assumptions!$B$2</f>
        <v>0.5</v>
      </c>
      <c r="G432">
        <f t="shared" si="33"/>
        <v>3</v>
      </c>
    </row>
    <row r="433" spans="1:7" x14ac:dyDescent="0.3">
      <c r="A433" s="2">
        <f t="shared" si="34"/>
        <v>46212.979166667712</v>
      </c>
      <c r="B433">
        <v>5.0999999999999996</v>
      </c>
      <c r="C433" s="2">
        <f t="shared" si="30"/>
        <v>46212</v>
      </c>
      <c r="D433" s="1">
        <f t="shared" si="31"/>
        <v>23.5</v>
      </c>
      <c r="E433" t="str">
        <f t="shared" si="32"/>
        <v>Thursday</v>
      </c>
      <c r="F433">
        <f>Assumptions!$B$2</f>
        <v>0.5</v>
      </c>
      <c r="G433">
        <f t="shared" si="33"/>
        <v>2.5499999999999998</v>
      </c>
    </row>
    <row r="434" spans="1:7" x14ac:dyDescent="0.3">
      <c r="A434" s="2">
        <f t="shared" si="34"/>
        <v>46213.000000001048</v>
      </c>
      <c r="B434">
        <v>2.4</v>
      </c>
      <c r="C434" s="2">
        <f t="shared" si="30"/>
        <v>46213</v>
      </c>
      <c r="D434" s="1">
        <f t="shared" si="31"/>
        <v>0</v>
      </c>
      <c r="E434" t="str">
        <f t="shared" si="32"/>
        <v>Friday</v>
      </c>
      <c r="F434">
        <f>Assumptions!$B$2</f>
        <v>0.5</v>
      </c>
      <c r="G434">
        <f t="shared" si="33"/>
        <v>1.2</v>
      </c>
    </row>
    <row r="435" spans="1:7" x14ac:dyDescent="0.3">
      <c r="A435" s="2">
        <f t="shared" si="34"/>
        <v>46213.020833334383</v>
      </c>
      <c r="B435">
        <v>3</v>
      </c>
      <c r="C435" s="2">
        <f t="shared" si="30"/>
        <v>46213</v>
      </c>
      <c r="D435" s="1">
        <f t="shared" si="31"/>
        <v>0.5</v>
      </c>
      <c r="E435" t="str">
        <f t="shared" si="32"/>
        <v>Friday</v>
      </c>
      <c r="F435">
        <f>Assumptions!$B$2</f>
        <v>0.5</v>
      </c>
      <c r="G435">
        <f t="shared" si="33"/>
        <v>1.5</v>
      </c>
    </row>
    <row r="436" spans="1:7" x14ac:dyDescent="0.3">
      <c r="A436" s="2">
        <f t="shared" si="34"/>
        <v>46213.041666667719</v>
      </c>
      <c r="B436">
        <v>2.5</v>
      </c>
      <c r="C436" s="2">
        <f t="shared" si="30"/>
        <v>46213</v>
      </c>
      <c r="D436" s="1">
        <f t="shared" si="31"/>
        <v>1</v>
      </c>
      <c r="E436" t="str">
        <f t="shared" si="32"/>
        <v>Friday</v>
      </c>
      <c r="F436">
        <f>Assumptions!$B$2</f>
        <v>0.5</v>
      </c>
      <c r="G436">
        <f t="shared" si="33"/>
        <v>1.25</v>
      </c>
    </row>
    <row r="437" spans="1:7" x14ac:dyDescent="0.3">
      <c r="A437" s="2">
        <f t="shared" si="34"/>
        <v>46213.062500001055</v>
      </c>
      <c r="B437">
        <v>1.9</v>
      </c>
      <c r="C437" s="2">
        <f t="shared" si="30"/>
        <v>46213</v>
      </c>
      <c r="D437" s="1">
        <f t="shared" si="31"/>
        <v>1.5</v>
      </c>
      <c r="E437" t="str">
        <f t="shared" si="32"/>
        <v>Friday</v>
      </c>
      <c r="F437">
        <f>Assumptions!$B$2</f>
        <v>0.5</v>
      </c>
      <c r="G437">
        <f t="shared" si="33"/>
        <v>0.95</v>
      </c>
    </row>
    <row r="438" spans="1:7" x14ac:dyDescent="0.3">
      <c r="A438" s="2">
        <f t="shared" si="34"/>
        <v>46213.083333334391</v>
      </c>
      <c r="B438">
        <v>1.9</v>
      </c>
      <c r="C438" s="2">
        <f t="shared" si="30"/>
        <v>46213</v>
      </c>
      <c r="D438" s="1">
        <f t="shared" si="31"/>
        <v>2</v>
      </c>
      <c r="E438" t="str">
        <f t="shared" si="32"/>
        <v>Friday</v>
      </c>
      <c r="F438">
        <f>Assumptions!$B$2</f>
        <v>0.5</v>
      </c>
      <c r="G438">
        <f t="shared" si="33"/>
        <v>0.95</v>
      </c>
    </row>
    <row r="439" spans="1:7" x14ac:dyDescent="0.3">
      <c r="A439" s="2">
        <f t="shared" si="34"/>
        <v>46213.104166667727</v>
      </c>
      <c r="B439">
        <v>2.2000000000000002</v>
      </c>
      <c r="C439" s="2">
        <f t="shared" si="30"/>
        <v>46213</v>
      </c>
      <c r="D439" s="1">
        <f t="shared" si="31"/>
        <v>2.5</v>
      </c>
      <c r="E439" t="str">
        <f t="shared" si="32"/>
        <v>Friday</v>
      </c>
      <c r="F439">
        <f>Assumptions!$B$2</f>
        <v>0.5</v>
      </c>
      <c r="G439">
        <f t="shared" si="33"/>
        <v>1.1000000000000001</v>
      </c>
    </row>
    <row r="440" spans="1:7" x14ac:dyDescent="0.3">
      <c r="A440" s="2">
        <f t="shared" si="34"/>
        <v>46213.125000001062</v>
      </c>
      <c r="B440">
        <v>1.8</v>
      </c>
      <c r="C440" s="2">
        <f t="shared" si="30"/>
        <v>46213</v>
      </c>
      <c r="D440" s="1">
        <f t="shared" si="31"/>
        <v>3</v>
      </c>
      <c r="E440" t="str">
        <f t="shared" si="32"/>
        <v>Friday</v>
      </c>
      <c r="F440">
        <f>Assumptions!$B$2</f>
        <v>0.5</v>
      </c>
      <c r="G440">
        <f t="shared" si="33"/>
        <v>0.9</v>
      </c>
    </row>
    <row r="441" spans="1:7" x14ac:dyDescent="0.3">
      <c r="A441" s="2">
        <f t="shared" si="34"/>
        <v>46213.145833334398</v>
      </c>
      <c r="B441">
        <v>2.2000000000000002</v>
      </c>
      <c r="C441" s="2">
        <f t="shared" si="30"/>
        <v>46213</v>
      </c>
      <c r="D441" s="1">
        <f t="shared" si="31"/>
        <v>3.5</v>
      </c>
      <c r="E441" t="str">
        <f t="shared" si="32"/>
        <v>Friday</v>
      </c>
      <c r="F441">
        <f>Assumptions!$B$2</f>
        <v>0.5</v>
      </c>
      <c r="G441">
        <f t="shared" si="33"/>
        <v>1.1000000000000001</v>
      </c>
    </row>
    <row r="442" spans="1:7" x14ac:dyDescent="0.3">
      <c r="A442" s="2">
        <f t="shared" si="34"/>
        <v>46213.166666667734</v>
      </c>
      <c r="B442">
        <v>2.2000000000000002</v>
      </c>
      <c r="C442" s="2">
        <f t="shared" si="30"/>
        <v>46213</v>
      </c>
      <c r="D442" s="1">
        <f t="shared" si="31"/>
        <v>4</v>
      </c>
      <c r="E442" t="str">
        <f t="shared" si="32"/>
        <v>Friday</v>
      </c>
      <c r="F442">
        <f>Assumptions!$B$2</f>
        <v>0.5</v>
      </c>
      <c r="G442">
        <f t="shared" si="33"/>
        <v>1.1000000000000001</v>
      </c>
    </row>
    <row r="443" spans="1:7" x14ac:dyDescent="0.3">
      <c r="A443" s="2">
        <f t="shared" si="34"/>
        <v>46213.18750000107</v>
      </c>
      <c r="B443">
        <v>2</v>
      </c>
      <c r="C443" s="2">
        <f t="shared" si="30"/>
        <v>46213</v>
      </c>
      <c r="D443" s="1">
        <f t="shared" si="31"/>
        <v>4.5</v>
      </c>
      <c r="E443" t="str">
        <f t="shared" si="32"/>
        <v>Friday</v>
      </c>
      <c r="F443">
        <f>Assumptions!$B$2</f>
        <v>0.5</v>
      </c>
      <c r="G443">
        <f t="shared" si="33"/>
        <v>1</v>
      </c>
    </row>
    <row r="444" spans="1:7" x14ac:dyDescent="0.3">
      <c r="A444" s="2">
        <f t="shared" si="34"/>
        <v>46213.208333334405</v>
      </c>
      <c r="B444">
        <v>2.1</v>
      </c>
      <c r="C444" s="2">
        <f t="shared" si="30"/>
        <v>46213</v>
      </c>
      <c r="D444" s="1">
        <f t="shared" si="31"/>
        <v>5</v>
      </c>
      <c r="E444" t="str">
        <f t="shared" si="32"/>
        <v>Friday</v>
      </c>
      <c r="F444">
        <f>Assumptions!$B$2</f>
        <v>0.5</v>
      </c>
      <c r="G444">
        <f t="shared" si="33"/>
        <v>1.05</v>
      </c>
    </row>
    <row r="445" spans="1:7" x14ac:dyDescent="0.3">
      <c r="A445" s="2">
        <f t="shared" si="34"/>
        <v>46213.229166667741</v>
      </c>
      <c r="B445">
        <v>2.2999999999999998</v>
      </c>
      <c r="C445" s="2">
        <f t="shared" si="30"/>
        <v>46213</v>
      </c>
      <c r="D445" s="1">
        <f t="shared" si="31"/>
        <v>5.5</v>
      </c>
      <c r="E445" t="str">
        <f t="shared" si="32"/>
        <v>Friday</v>
      </c>
      <c r="F445">
        <f>Assumptions!$B$2</f>
        <v>0.5</v>
      </c>
      <c r="G445">
        <f t="shared" si="33"/>
        <v>1.1499999999999999</v>
      </c>
    </row>
    <row r="446" spans="1:7" x14ac:dyDescent="0.3">
      <c r="A446" s="2">
        <f t="shared" si="34"/>
        <v>46213.250000001077</v>
      </c>
      <c r="B446">
        <v>7.8</v>
      </c>
      <c r="C446" s="2">
        <f t="shared" si="30"/>
        <v>46213</v>
      </c>
      <c r="D446" s="1">
        <f t="shared" si="31"/>
        <v>6</v>
      </c>
      <c r="E446" t="str">
        <f t="shared" si="32"/>
        <v>Friday</v>
      </c>
      <c r="F446">
        <f>Assumptions!$B$2</f>
        <v>0.5</v>
      </c>
      <c r="G446">
        <f t="shared" si="33"/>
        <v>3.9</v>
      </c>
    </row>
    <row r="447" spans="1:7" x14ac:dyDescent="0.3">
      <c r="A447" s="2">
        <f t="shared" si="34"/>
        <v>46213.270833334413</v>
      </c>
      <c r="B447">
        <v>5</v>
      </c>
      <c r="C447" s="2">
        <f t="shared" si="30"/>
        <v>46213</v>
      </c>
      <c r="D447" s="1">
        <f t="shared" si="31"/>
        <v>6.5</v>
      </c>
      <c r="E447" t="str">
        <f t="shared" si="32"/>
        <v>Friday</v>
      </c>
      <c r="F447">
        <f>Assumptions!$B$2</f>
        <v>0.5</v>
      </c>
      <c r="G447">
        <f t="shared" si="33"/>
        <v>2.5</v>
      </c>
    </row>
    <row r="448" spans="1:7" x14ac:dyDescent="0.3">
      <c r="A448" s="2">
        <f t="shared" si="34"/>
        <v>46213.291666667748</v>
      </c>
      <c r="B448">
        <v>5.9</v>
      </c>
      <c r="C448" s="2">
        <f t="shared" si="30"/>
        <v>46213</v>
      </c>
      <c r="D448" s="1">
        <f t="shared" si="31"/>
        <v>7</v>
      </c>
      <c r="E448" t="str">
        <f t="shared" si="32"/>
        <v>Friday</v>
      </c>
      <c r="F448">
        <f>Assumptions!$B$2</f>
        <v>0.5</v>
      </c>
      <c r="G448">
        <f t="shared" si="33"/>
        <v>2.95</v>
      </c>
    </row>
    <row r="449" spans="1:7" x14ac:dyDescent="0.3">
      <c r="A449" s="2">
        <f t="shared" si="34"/>
        <v>46213.312500001084</v>
      </c>
      <c r="B449">
        <v>7.2</v>
      </c>
      <c r="C449" s="2">
        <f t="shared" si="30"/>
        <v>46213</v>
      </c>
      <c r="D449" s="1">
        <f t="shared" si="31"/>
        <v>7.5</v>
      </c>
      <c r="E449" t="str">
        <f t="shared" si="32"/>
        <v>Friday</v>
      </c>
      <c r="F449">
        <f>Assumptions!$B$2</f>
        <v>0.5</v>
      </c>
      <c r="G449">
        <f t="shared" si="33"/>
        <v>3.6</v>
      </c>
    </row>
    <row r="450" spans="1:7" x14ac:dyDescent="0.3">
      <c r="A450" s="2">
        <f t="shared" si="34"/>
        <v>46213.33333333442</v>
      </c>
      <c r="B450">
        <v>14.8</v>
      </c>
      <c r="C450" s="2">
        <f t="shared" si="30"/>
        <v>46213</v>
      </c>
      <c r="D450" s="1">
        <f t="shared" si="31"/>
        <v>8</v>
      </c>
      <c r="E450" t="str">
        <f t="shared" si="32"/>
        <v>Friday</v>
      </c>
      <c r="F450">
        <f>Assumptions!$B$2</f>
        <v>0.5</v>
      </c>
      <c r="G450">
        <f t="shared" si="33"/>
        <v>7.4</v>
      </c>
    </row>
    <row r="451" spans="1:7" x14ac:dyDescent="0.3">
      <c r="A451" s="2">
        <f t="shared" si="34"/>
        <v>46213.354166667756</v>
      </c>
      <c r="B451">
        <v>22</v>
      </c>
      <c r="C451" s="2">
        <f t="shared" ref="C451:C514" si="35">INT(A451)</f>
        <v>46213</v>
      </c>
      <c r="D451" s="1">
        <f t="shared" ref="D451:D514" si="36">HOUR(A451)+MINUTE(A451)/60</f>
        <v>8.5</v>
      </c>
      <c r="E451" t="str">
        <f t="shared" ref="E451:E514" si="37">TEXT(A451,"dddd")</f>
        <v>Friday</v>
      </c>
      <c r="F451">
        <f>Assumptions!$B$2</f>
        <v>0.5</v>
      </c>
      <c r="G451">
        <f t="shared" ref="G451:G514" si="38">B451*F451</f>
        <v>11</v>
      </c>
    </row>
    <row r="452" spans="1:7" x14ac:dyDescent="0.3">
      <c r="A452" s="2">
        <f t="shared" ref="A452:A515" si="39">A451+TIME(0,30,0)</f>
        <v>46213.375000001091</v>
      </c>
      <c r="B452">
        <v>14.8</v>
      </c>
      <c r="C452" s="2">
        <f t="shared" si="35"/>
        <v>46213</v>
      </c>
      <c r="D452" s="1">
        <f t="shared" si="36"/>
        <v>9</v>
      </c>
      <c r="E452" t="str">
        <f t="shared" si="37"/>
        <v>Friday</v>
      </c>
      <c r="F452">
        <f>Assumptions!$B$2</f>
        <v>0.5</v>
      </c>
      <c r="G452">
        <f t="shared" si="38"/>
        <v>7.4</v>
      </c>
    </row>
    <row r="453" spans="1:7" x14ac:dyDescent="0.3">
      <c r="A453" s="2">
        <f t="shared" si="39"/>
        <v>46213.395833334427</v>
      </c>
      <c r="B453">
        <v>15.1</v>
      </c>
      <c r="C453" s="2">
        <f t="shared" si="35"/>
        <v>46213</v>
      </c>
      <c r="D453" s="1">
        <f t="shared" si="36"/>
        <v>9.5</v>
      </c>
      <c r="E453" t="str">
        <f t="shared" si="37"/>
        <v>Friday</v>
      </c>
      <c r="F453">
        <f>Assumptions!$B$2</f>
        <v>0.5</v>
      </c>
      <c r="G453">
        <f t="shared" si="38"/>
        <v>7.55</v>
      </c>
    </row>
    <row r="454" spans="1:7" x14ac:dyDescent="0.3">
      <c r="A454" s="2">
        <f t="shared" si="39"/>
        <v>46213.416666667763</v>
      </c>
      <c r="B454">
        <v>18.600000000000001</v>
      </c>
      <c r="C454" s="2">
        <f t="shared" si="35"/>
        <v>46213</v>
      </c>
      <c r="D454" s="1">
        <f t="shared" si="36"/>
        <v>10</v>
      </c>
      <c r="E454" t="str">
        <f t="shared" si="37"/>
        <v>Friday</v>
      </c>
      <c r="F454">
        <f>Assumptions!$B$2</f>
        <v>0.5</v>
      </c>
      <c r="G454">
        <f t="shared" si="38"/>
        <v>9.3000000000000007</v>
      </c>
    </row>
    <row r="455" spans="1:7" x14ac:dyDescent="0.3">
      <c r="A455" s="2">
        <f t="shared" si="39"/>
        <v>46213.437500001099</v>
      </c>
      <c r="B455">
        <v>12.1</v>
      </c>
      <c r="C455" s="2">
        <f t="shared" si="35"/>
        <v>46213</v>
      </c>
      <c r="D455" s="1">
        <f t="shared" si="36"/>
        <v>10.5</v>
      </c>
      <c r="E455" t="str">
        <f t="shared" si="37"/>
        <v>Friday</v>
      </c>
      <c r="F455">
        <f>Assumptions!$B$2</f>
        <v>0.5</v>
      </c>
      <c r="G455">
        <f t="shared" si="38"/>
        <v>6.05</v>
      </c>
    </row>
    <row r="456" spans="1:7" x14ac:dyDescent="0.3">
      <c r="A456" s="2">
        <f t="shared" si="39"/>
        <v>46213.458333334434</v>
      </c>
      <c r="B456">
        <v>18.7</v>
      </c>
      <c r="C456" s="2">
        <f t="shared" si="35"/>
        <v>46213</v>
      </c>
      <c r="D456" s="1">
        <f t="shared" si="36"/>
        <v>11</v>
      </c>
      <c r="E456" t="str">
        <f t="shared" si="37"/>
        <v>Friday</v>
      </c>
      <c r="F456">
        <f>Assumptions!$B$2</f>
        <v>0.5</v>
      </c>
      <c r="G456">
        <f t="shared" si="38"/>
        <v>9.35</v>
      </c>
    </row>
    <row r="457" spans="1:7" x14ac:dyDescent="0.3">
      <c r="A457" s="2">
        <f t="shared" si="39"/>
        <v>46213.47916666777</v>
      </c>
      <c r="B457">
        <v>14.7</v>
      </c>
      <c r="C457" s="2">
        <f t="shared" si="35"/>
        <v>46213</v>
      </c>
      <c r="D457" s="1">
        <f t="shared" si="36"/>
        <v>11.5</v>
      </c>
      <c r="E457" t="str">
        <f t="shared" si="37"/>
        <v>Friday</v>
      </c>
      <c r="F457">
        <f>Assumptions!$B$2</f>
        <v>0.5</v>
      </c>
      <c r="G457">
        <f t="shared" si="38"/>
        <v>7.35</v>
      </c>
    </row>
    <row r="458" spans="1:7" x14ac:dyDescent="0.3">
      <c r="A458" s="2">
        <f t="shared" si="39"/>
        <v>46213.500000001106</v>
      </c>
      <c r="B458">
        <v>33</v>
      </c>
      <c r="C458" s="2">
        <f t="shared" si="35"/>
        <v>46213</v>
      </c>
      <c r="D458" s="1">
        <f t="shared" si="36"/>
        <v>12</v>
      </c>
      <c r="E458" t="str">
        <f t="shared" si="37"/>
        <v>Friday</v>
      </c>
      <c r="F458">
        <f>Assumptions!$B$2</f>
        <v>0.5</v>
      </c>
      <c r="G458">
        <f t="shared" si="38"/>
        <v>16.5</v>
      </c>
    </row>
    <row r="459" spans="1:7" x14ac:dyDescent="0.3">
      <c r="A459" s="2">
        <f t="shared" si="39"/>
        <v>46213.520833334442</v>
      </c>
      <c r="B459">
        <v>34.1</v>
      </c>
      <c r="C459" s="2">
        <f t="shared" si="35"/>
        <v>46213</v>
      </c>
      <c r="D459" s="1">
        <f t="shared" si="36"/>
        <v>12.5</v>
      </c>
      <c r="E459" t="str">
        <f t="shared" si="37"/>
        <v>Friday</v>
      </c>
      <c r="F459">
        <f>Assumptions!$B$2</f>
        <v>0.5</v>
      </c>
      <c r="G459">
        <f t="shared" si="38"/>
        <v>17.05</v>
      </c>
    </row>
    <row r="460" spans="1:7" x14ac:dyDescent="0.3">
      <c r="A460" s="2">
        <f t="shared" si="39"/>
        <v>46213.541666667777</v>
      </c>
      <c r="B460">
        <v>26.1</v>
      </c>
      <c r="C460" s="2">
        <f t="shared" si="35"/>
        <v>46213</v>
      </c>
      <c r="D460" s="1">
        <f t="shared" si="36"/>
        <v>13</v>
      </c>
      <c r="E460" t="str">
        <f t="shared" si="37"/>
        <v>Friday</v>
      </c>
      <c r="F460">
        <f>Assumptions!$B$2</f>
        <v>0.5</v>
      </c>
      <c r="G460">
        <f t="shared" si="38"/>
        <v>13.05</v>
      </c>
    </row>
    <row r="461" spans="1:7" x14ac:dyDescent="0.3">
      <c r="A461" s="2">
        <f t="shared" si="39"/>
        <v>46213.562500001113</v>
      </c>
      <c r="B461">
        <v>29.6</v>
      </c>
      <c r="C461" s="2">
        <f t="shared" si="35"/>
        <v>46213</v>
      </c>
      <c r="D461" s="1">
        <f t="shared" si="36"/>
        <v>13.5</v>
      </c>
      <c r="E461" t="str">
        <f t="shared" si="37"/>
        <v>Friday</v>
      </c>
      <c r="F461">
        <f>Assumptions!$B$2</f>
        <v>0.5</v>
      </c>
      <c r="G461">
        <f t="shared" si="38"/>
        <v>14.8</v>
      </c>
    </row>
    <row r="462" spans="1:7" x14ac:dyDescent="0.3">
      <c r="A462" s="2">
        <f t="shared" si="39"/>
        <v>46213.583333334449</v>
      </c>
      <c r="B462">
        <v>33.1</v>
      </c>
      <c r="C462" s="2">
        <f t="shared" si="35"/>
        <v>46213</v>
      </c>
      <c r="D462" s="1">
        <f t="shared" si="36"/>
        <v>14</v>
      </c>
      <c r="E462" t="str">
        <f t="shared" si="37"/>
        <v>Friday</v>
      </c>
      <c r="F462">
        <f>Assumptions!$B$2</f>
        <v>0.5</v>
      </c>
      <c r="G462">
        <f t="shared" si="38"/>
        <v>16.55</v>
      </c>
    </row>
    <row r="463" spans="1:7" x14ac:dyDescent="0.3">
      <c r="A463" s="2">
        <f t="shared" si="39"/>
        <v>46213.604166667785</v>
      </c>
      <c r="B463">
        <v>19.2</v>
      </c>
      <c r="C463" s="2">
        <f t="shared" si="35"/>
        <v>46213</v>
      </c>
      <c r="D463" s="1">
        <f t="shared" si="36"/>
        <v>14.5</v>
      </c>
      <c r="E463" t="str">
        <f t="shared" si="37"/>
        <v>Friday</v>
      </c>
      <c r="F463">
        <f>Assumptions!$B$2</f>
        <v>0.5</v>
      </c>
      <c r="G463">
        <f t="shared" si="38"/>
        <v>9.6</v>
      </c>
    </row>
    <row r="464" spans="1:7" x14ac:dyDescent="0.3">
      <c r="A464" s="2">
        <f t="shared" si="39"/>
        <v>46213.62500000112</v>
      </c>
      <c r="B464">
        <v>19.2</v>
      </c>
      <c r="C464" s="2">
        <f t="shared" si="35"/>
        <v>46213</v>
      </c>
      <c r="D464" s="1">
        <f t="shared" si="36"/>
        <v>15</v>
      </c>
      <c r="E464" t="str">
        <f t="shared" si="37"/>
        <v>Friday</v>
      </c>
      <c r="F464">
        <f>Assumptions!$B$2</f>
        <v>0.5</v>
      </c>
      <c r="G464">
        <f t="shared" si="38"/>
        <v>9.6</v>
      </c>
    </row>
    <row r="465" spans="1:7" x14ac:dyDescent="0.3">
      <c r="A465" s="2">
        <f t="shared" si="39"/>
        <v>46213.645833334456</v>
      </c>
      <c r="B465">
        <v>25.4</v>
      </c>
      <c r="C465" s="2">
        <f t="shared" si="35"/>
        <v>46213</v>
      </c>
      <c r="D465" s="1">
        <f t="shared" si="36"/>
        <v>15.5</v>
      </c>
      <c r="E465" t="str">
        <f t="shared" si="37"/>
        <v>Friday</v>
      </c>
      <c r="F465">
        <f>Assumptions!$B$2</f>
        <v>0.5</v>
      </c>
      <c r="G465">
        <f t="shared" si="38"/>
        <v>12.7</v>
      </c>
    </row>
    <row r="466" spans="1:7" x14ac:dyDescent="0.3">
      <c r="A466" s="2">
        <f t="shared" si="39"/>
        <v>46213.666666667792</v>
      </c>
      <c r="B466">
        <v>13</v>
      </c>
      <c r="C466" s="2">
        <f t="shared" si="35"/>
        <v>46213</v>
      </c>
      <c r="D466" s="1">
        <f t="shared" si="36"/>
        <v>16</v>
      </c>
      <c r="E466" t="str">
        <f t="shared" si="37"/>
        <v>Friday</v>
      </c>
      <c r="F466">
        <f>Assumptions!$B$2</f>
        <v>0.5</v>
      </c>
      <c r="G466">
        <f t="shared" si="38"/>
        <v>6.5</v>
      </c>
    </row>
    <row r="467" spans="1:7" x14ac:dyDescent="0.3">
      <c r="A467" s="2">
        <f t="shared" si="39"/>
        <v>46213.687500001128</v>
      </c>
      <c r="B467">
        <v>14.4</v>
      </c>
      <c r="C467" s="2">
        <f t="shared" si="35"/>
        <v>46213</v>
      </c>
      <c r="D467" s="1">
        <f t="shared" si="36"/>
        <v>16.5</v>
      </c>
      <c r="E467" t="str">
        <f t="shared" si="37"/>
        <v>Friday</v>
      </c>
      <c r="F467">
        <f>Assumptions!$B$2</f>
        <v>0.5</v>
      </c>
      <c r="G467">
        <f t="shared" si="38"/>
        <v>7.2</v>
      </c>
    </row>
    <row r="468" spans="1:7" x14ac:dyDescent="0.3">
      <c r="A468" s="2">
        <f t="shared" si="39"/>
        <v>46213.708333334464</v>
      </c>
      <c r="B468">
        <v>14.9</v>
      </c>
      <c r="C468" s="2">
        <f t="shared" si="35"/>
        <v>46213</v>
      </c>
      <c r="D468" s="1">
        <f t="shared" si="36"/>
        <v>17</v>
      </c>
      <c r="E468" t="str">
        <f t="shared" si="37"/>
        <v>Friday</v>
      </c>
      <c r="F468">
        <f>Assumptions!$B$2</f>
        <v>0.5</v>
      </c>
      <c r="G468">
        <f t="shared" si="38"/>
        <v>7.45</v>
      </c>
    </row>
    <row r="469" spans="1:7" x14ac:dyDescent="0.3">
      <c r="A469" s="2">
        <f t="shared" si="39"/>
        <v>46213.729166667799</v>
      </c>
      <c r="B469">
        <v>18.2</v>
      </c>
      <c r="C469" s="2">
        <f t="shared" si="35"/>
        <v>46213</v>
      </c>
      <c r="D469" s="1">
        <f t="shared" si="36"/>
        <v>17.5</v>
      </c>
      <c r="E469" t="str">
        <f t="shared" si="37"/>
        <v>Friday</v>
      </c>
      <c r="F469">
        <f>Assumptions!$B$2</f>
        <v>0.5</v>
      </c>
      <c r="G469">
        <f t="shared" si="38"/>
        <v>9.1</v>
      </c>
    </row>
    <row r="470" spans="1:7" x14ac:dyDescent="0.3">
      <c r="A470" s="2">
        <f t="shared" si="39"/>
        <v>46213.750000001135</v>
      </c>
      <c r="B470">
        <v>19.3</v>
      </c>
      <c r="C470" s="2">
        <f t="shared" si="35"/>
        <v>46213</v>
      </c>
      <c r="D470" s="1">
        <f t="shared" si="36"/>
        <v>18</v>
      </c>
      <c r="E470" t="str">
        <f t="shared" si="37"/>
        <v>Friday</v>
      </c>
      <c r="F470">
        <f>Assumptions!$B$2</f>
        <v>0.5</v>
      </c>
      <c r="G470">
        <f t="shared" si="38"/>
        <v>9.65</v>
      </c>
    </row>
    <row r="471" spans="1:7" x14ac:dyDescent="0.3">
      <c r="A471" s="2">
        <f t="shared" si="39"/>
        <v>46213.770833334471</v>
      </c>
      <c r="B471">
        <v>14.8</v>
      </c>
      <c r="C471" s="2">
        <f t="shared" si="35"/>
        <v>46213</v>
      </c>
      <c r="D471" s="1">
        <f t="shared" si="36"/>
        <v>18.5</v>
      </c>
      <c r="E471" t="str">
        <f t="shared" si="37"/>
        <v>Friday</v>
      </c>
      <c r="F471">
        <f>Assumptions!$B$2</f>
        <v>0.5</v>
      </c>
      <c r="G471">
        <f t="shared" si="38"/>
        <v>7.4</v>
      </c>
    </row>
    <row r="472" spans="1:7" x14ac:dyDescent="0.3">
      <c r="A472" s="2">
        <f t="shared" si="39"/>
        <v>46213.791666667807</v>
      </c>
      <c r="B472">
        <v>5.8</v>
      </c>
      <c r="C472" s="2">
        <f t="shared" si="35"/>
        <v>46213</v>
      </c>
      <c r="D472" s="1">
        <f t="shared" si="36"/>
        <v>19</v>
      </c>
      <c r="E472" t="str">
        <f t="shared" si="37"/>
        <v>Friday</v>
      </c>
      <c r="F472">
        <f>Assumptions!$B$2</f>
        <v>0.5</v>
      </c>
      <c r="G472">
        <f t="shared" si="38"/>
        <v>2.9</v>
      </c>
    </row>
    <row r="473" spans="1:7" x14ac:dyDescent="0.3">
      <c r="A473" s="2">
        <f t="shared" si="39"/>
        <v>46213.812500001142</v>
      </c>
      <c r="B473">
        <v>3.8</v>
      </c>
      <c r="C473" s="2">
        <f t="shared" si="35"/>
        <v>46213</v>
      </c>
      <c r="D473" s="1">
        <f t="shared" si="36"/>
        <v>19.5</v>
      </c>
      <c r="E473" t="str">
        <f t="shared" si="37"/>
        <v>Friday</v>
      </c>
      <c r="F473">
        <f>Assumptions!$B$2</f>
        <v>0.5</v>
      </c>
      <c r="G473">
        <f t="shared" si="38"/>
        <v>1.9</v>
      </c>
    </row>
    <row r="474" spans="1:7" x14ac:dyDescent="0.3">
      <c r="A474" s="2">
        <f t="shared" si="39"/>
        <v>46213.833333334478</v>
      </c>
      <c r="B474">
        <v>5.4</v>
      </c>
      <c r="C474" s="2">
        <f t="shared" si="35"/>
        <v>46213</v>
      </c>
      <c r="D474" s="1">
        <f t="shared" si="36"/>
        <v>20</v>
      </c>
      <c r="E474" t="str">
        <f t="shared" si="37"/>
        <v>Friday</v>
      </c>
      <c r="F474">
        <f>Assumptions!$B$2</f>
        <v>0.5</v>
      </c>
      <c r="G474">
        <f t="shared" si="38"/>
        <v>2.7</v>
      </c>
    </row>
    <row r="475" spans="1:7" x14ac:dyDescent="0.3">
      <c r="A475" s="2">
        <f t="shared" si="39"/>
        <v>46213.854166667814</v>
      </c>
      <c r="B475">
        <v>7.7</v>
      </c>
      <c r="C475" s="2">
        <f t="shared" si="35"/>
        <v>46213</v>
      </c>
      <c r="D475" s="1">
        <f t="shared" si="36"/>
        <v>20.5</v>
      </c>
      <c r="E475" t="str">
        <f t="shared" si="37"/>
        <v>Friday</v>
      </c>
      <c r="F475">
        <f>Assumptions!$B$2</f>
        <v>0.5</v>
      </c>
      <c r="G475">
        <f t="shared" si="38"/>
        <v>3.85</v>
      </c>
    </row>
    <row r="476" spans="1:7" x14ac:dyDescent="0.3">
      <c r="A476" s="2">
        <f t="shared" si="39"/>
        <v>46213.87500000115</v>
      </c>
      <c r="B476">
        <v>5</v>
      </c>
      <c r="C476" s="2">
        <f t="shared" si="35"/>
        <v>46213</v>
      </c>
      <c r="D476" s="1">
        <f t="shared" si="36"/>
        <v>21</v>
      </c>
      <c r="E476" t="str">
        <f t="shared" si="37"/>
        <v>Friday</v>
      </c>
      <c r="F476">
        <f>Assumptions!$B$2</f>
        <v>0.5</v>
      </c>
      <c r="G476">
        <f t="shared" si="38"/>
        <v>2.5</v>
      </c>
    </row>
    <row r="477" spans="1:7" x14ac:dyDescent="0.3">
      <c r="A477" s="2">
        <f t="shared" si="39"/>
        <v>46213.895833334485</v>
      </c>
      <c r="B477">
        <v>7.7</v>
      </c>
      <c r="C477" s="2">
        <f t="shared" si="35"/>
        <v>46213</v>
      </c>
      <c r="D477" s="1">
        <f t="shared" si="36"/>
        <v>21.5</v>
      </c>
      <c r="E477" t="str">
        <f t="shared" si="37"/>
        <v>Friday</v>
      </c>
      <c r="F477">
        <f>Assumptions!$B$2</f>
        <v>0.5</v>
      </c>
      <c r="G477">
        <f t="shared" si="38"/>
        <v>3.85</v>
      </c>
    </row>
    <row r="478" spans="1:7" x14ac:dyDescent="0.3">
      <c r="A478" s="2">
        <f t="shared" si="39"/>
        <v>46213.916666667821</v>
      </c>
      <c r="B478">
        <v>7.8</v>
      </c>
      <c r="C478" s="2">
        <f t="shared" si="35"/>
        <v>46213</v>
      </c>
      <c r="D478" s="1">
        <f t="shared" si="36"/>
        <v>22</v>
      </c>
      <c r="E478" t="str">
        <f t="shared" si="37"/>
        <v>Friday</v>
      </c>
      <c r="F478">
        <f>Assumptions!$B$2</f>
        <v>0.5</v>
      </c>
      <c r="G478">
        <f t="shared" si="38"/>
        <v>3.9</v>
      </c>
    </row>
    <row r="479" spans="1:7" x14ac:dyDescent="0.3">
      <c r="A479" s="2">
        <f t="shared" si="39"/>
        <v>46213.937500001157</v>
      </c>
      <c r="B479">
        <v>7.8</v>
      </c>
      <c r="C479" s="2">
        <f t="shared" si="35"/>
        <v>46213</v>
      </c>
      <c r="D479" s="1">
        <f t="shared" si="36"/>
        <v>22.5</v>
      </c>
      <c r="E479" t="str">
        <f t="shared" si="37"/>
        <v>Friday</v>
      </c>
      <c r="F479">
        <f>Assumptions!$B$2</f>
        <v>0.5</v>
      </c>
      <c r="G479">
        <f t="shared" si="38"/>
        <v>3.9</v>
      </c>
    </row>
    <row r="480" spans="1:7" x14ac:dyDescent="0.3">
      <c r="A480" s="2">
        <f t="shared" si="39"/>
        <v>46213.958333334493</v>
      </c>
      <c r="B480">
        <v>4.3</v>
      </c>
      <c r="C480" s="2">
        <f t="shared" si="35"/>
        <v>46213</v>
      </c>
      <c r="D480" s="1">
        <f t="shared" si="36"/>
        <v>23</v>
      </c>
      <c r="E480" t="str">
        <f t="shared" si="37"/>
        <v>Friday</v>
      </c>
      <c r="F480">
        <f>Assumptions!$B$2</f>
        <v>0.5</v>
      </c>
      <c r="G480">
        <f t="shared" si="38"/>
        <v>2.15</v>
      </c>
    </row>
    <row r="481" spans="1:7" x14ac:dyDescent="0.3">
      <c r="A481" s="2">
        <f t="shared" si="39"/>
        <v>46213.979166667828</v>
      </c>
      <c r="B481">
        <v>5.0999999999999996</v>
      </c>
      <c r="C481" s="2">
        <f t="shared" si="35"/>
        <v>46213</v>
      </c>
      <c r="D481" s="1">
        <f t="shared" si="36"/>
        <v>23.5</v>
      </c>
      <c r="E481" t="str">
        <f t="shared" si="37"/>
        <v>Friday</v>
      </c>
      <c r="F481">
        <f>Assumptions!$B$2</f>
        <v>0.5</v>
      </c>
      <c r="G481">
        <f t="shared" si="38"/>
        <v>2.5499999999999998</v>
      </c>
    </row>
    <row r="482" spans="1:7" x14ac:dyDescent="0.3">
      <c r="A482" s="2">
        <f t="shared" si="39"/>
        <v>46214.000000001164</v>
      </c>
      <c r="B482">
        <v>3</v>
      </c>
      <c r="C482" s="2">
        <f t="shared" si="35"/>
        <v>46214</v>
      </c>
      <c r="D482" s="1">
        <f t="shared" si="36"/>
        <v>0</v>
      </c>
      <c r="E482" t="str">
        <f t="shared" si="37"/>
        <v>Saturday</v>
      </c>
      <c r="F482">
        <f>Assumptions!$B$2</f>
        <v>0.5</v>
      </c>
      <c r="G482">
        <f t="shared" si="38"/>
        <v>1.5</v>
      </c>
    </row>
    <row r="483" spans="1:7" x14ac:dyDescent="0.3">
      <c r="A483" s="2">
        <f t="shared" si="39"/>
        <v>46214.0208333345</v>
      </c>
      <c r="B483">
        <v>2.8</v>
      </c>
      <c r="C483" s="2">
        <f t="shared" si="35"/>
        <v>46214</v>
      </c>
      <c r="D483" s="1">
        <f t="shared" si="36"/>
        <v>0.5</v>
      </c>
      <c r="E483" t="str">
        <f t="shared" si="37"/>
        <v>Saturday</v>
      </c>
      <c r="F483">
        <f>Assumptions!$B$2</f>
        <v>0.5</v>
      </c>
      <c r="G483">
        <f t="shared" si="38"/>
        <v>1.4</v>
      </c>
    </row>
    <row r="484" spans="1:7" x14ac:dyDescent="0.3">
      <c r="A484" s="2">
        <f t="shared" si="39"/>
        <v>46214.041666667836</v>
      </c>
      <c r="B484">
        <v>2.8</v>
      </c>
      <c r="C484" s="2">
        <f t="shared" si="35"/>
        <v>46214</v>
      </c>
      <c r="D484" s="1">
        <f t="shared" si="36"/>
        <v>1</v>
      </c>
      <c r="E484" t="str">
        <f t="shared" si="37"/>
        <v>Saturday</v>
      </c>
      <c r="F484">
        <f>Assumptions!$B$2</f>
        <v>0.5</v>
      </c>
      <c r="G484">
        <f t="shared" si="38"/>
        <v>1.4</v>
      </c>
    </row>
    <row r="485" spans="1:7" x14ac:dyDescent="0.3">
      <c r="A485" s="2">
        <f t="shared" si="39"/>
        <v>46214.062500001171</v>
      </c>
      <c r="B485">
        <v>2.2999999999999998</v>
      </c>
      <c r="C485" s="2">
        <f t="shared" si="35"/>
        <v>46214</v>
      </c>
      <c r="D485" s="1">
        <f t="shared" si="36"/>
        <v>1.5</v>
      </c>
      <c r="E485" t="str">
        <f t="shared" si="37"/>
        <v>Saturday</v>
      </c>
      <c r="F485">
        <f>Assumptions!$B$2</f>
        <v>0.5</v>
      </c>
      <c r="G485">
        <f t="shared" si="38"/>
        <v>1.1499999999999999</v>
      </c>
    </row>
    <row r="486" spans="1:7" x14ac:dyDescent="0.3">
      <c r="A486" s="2">
        <f t="shared" si="39"/>
        <v>46214.083333334507</v>
      </c>
      <c r="B486">
        <v>2.2000000000000002</v>
      </c>
      <c r="C486" s="2">
        <f t="shared" si="35"/>
        <v>46214</v>
      </c>
      <c r="D486" s="1">
        <f t="shared" si="36"/>
        <v>2</v>
      </c>
      <c r="E486" t="str">
        <f t="shared" si="37"/>
        <v>Saturday</v>
      </c>
      <c r="F486">
        <f>Assumptions!$B$2</f>
        <v>0.5</v>
      </c>
      <c r="G486">
        <f t="shared" si="38"/>
        <v>1.1000000000000001</v>
      </c>
    </row>
    <row r="487" spans="1:7" x14ac:dyDescent="0.3">
      <c r="A487" s="2">
        <f t="shared" si="39"/>
        <v>46214.104166667843</v>
      </c>
      <c r="B487">
        <v>3</v>
      </c>
      <c r="C487" s="2">
        <f t="shared" si="35"/>
        <v>46214</v>
      </c>
      <c r="D487" s="1">
        <f t="shared" si="36"/>
        <v>2.5</v>
      </c>
      <c r="E487" t="str">
        <f t="shared" si="37"/>
        <v>Saturday</v>
      </c>
      <c r="F487">
        <f>Assumptions!$B$2</f>
        <v>0.5</v>
      </c>
      <c r="G487">
        <f t="shared" si="38"/>
        <v>1.5</v>
      </c>
    </row>
    <row r="488" spans="1:7" x14ac:dyDescent="0.3">
      <c r="A488" s="2">
        <f t="shared" si="39"/>
        <v>46214.125000001179</v>
      </c>
      <c r="B488">
        <v>2</v>
      </c>
      <c r="C488" s="2">
        <f t="shared" si="35"/>
        <v>46214</v>
      </c>
      <c r="D488" s="1">
        <f t="shared" si="36"/>
        <v>3</v>
      </c>
      <c r="E488" t="str">
        <f t="shared" si="37"/>
        <v>Saturday</v>
      </c>
      <c r="F488">
        <f>Assumptions!$B$2</f>
        <v>0.5</v>
      </c>
      <c r="G488">
        <f t="shared" si="38"/>
        <v>1</v>
      </c>
    </row>
    <row r="489" spans="1:7" x14ac:dyDescent="0.3">
      <c r="A489" s="2">
        <f t="shared" si="39"/>
        <v>46214.145833334514</v>
      </c>
      <c r="B489">
        <v>1.8</v>
      </c>
      <c r="C489" s="2">
        <f t="shared" si="35"/>
        <v>46214</v>
      </c>
      <c r="D489" s="1">
        <f t="shared" si="36"/>
        <v>3.5</v>
      </c>
      <c r="E489" t="str">
        <f t="shared" si="37"/>
        <v>Saturday</v>
      </c>
      <c r="F489">
        <f>Assumptions!$B$2</f>
        <v>0.5</v>
      </c>
      <c r="G489">
        <f t="shared" si="38"/>
        <v>0.9</v>
      </c>
    </row>
    <row r="490" spans="1:7" x14ac:dyDescent="0.3">
      <c r="A490" s="2">
        <f t="shared" si="39"/>
        <v>46214.16666666785</v>
      </c>
      <c r="B490">
        <v>3</v>
      </c>
      <c r="C490" s="2">
        <f t="shared" si="35"/>
        <v>46214</v>
      </c>
      <c r="D490" s="1">
        <f t="shared" si="36"/>
        <v>4</v>
      </c>
      <c r="E490" t="str">
        <f t="shared" si="37"/>
        <v>Saturday</v>
      </c>
      <c r="F490">
        <f>Assumptions!$B$2</f>
        <v>0.5</v>
      </c>
      <c r="G490">
        <f t="shared" si="38"/>
        <v>1.5</v>
      </c>
    </row>
    <row r="491" spans="1:7" x14ac:dyDescent="0.3">
      <c r="A491" s="2">
        <f t="shared" si="39"/>
        <v>46214.187500001186</v>
      </c>
      <c r="B491">
        <v>1.8</v>
      </c>
      <c r="C491" s="2">
        <f t="shared" si="35"/>
        <v>46214</v>
      </c>
      <c r="D491" s="1">
        <f t="shared" si="36"/>
        <v>4.5</v>
      </c>
      <c r="E491" t="str">
        <f t="shared" si="37"/>
        <v>Saturday</v>
      </c>
      <c r="F491">
        <f>Assumptions!$B$2</f>
        <v>0.5</v>
      </c>
      <c r="G491">
        <f t="shared" si="38"/>
        <v>0.9</v>
      </c>
    </row>
    <row r="492" spans="1:7" x14ac:dyDescent="0.3">
      <c r="A492" s="2">
        <f t="shared" si="39"/>
        <v>46214.208333334522</v>
      </c>
      <c r="B492">
        <v>2.8</v>
      </c>
      <c r="C492" s="2">
        <f t="shared" si="35"/>
        <v>46214</v>
      </c>
      <c r="D492" s="1">
        <f t="shared" si="36"/>
        <v>5</v>
      </c>
      <c r="E492" t="str">
        <f t="shared" si="37"/>
        <v>Saturday</v>
      </c>
      <c r="F492">
        <f>Assumptions!$B$2</f>
        <v>0.5</v>
      </c>
      <c r="G492">
        <f t="shared" si="38"/>
        <v>1.4</v>
      </c>
    </row>
    <row r="493" spans="1:7" x14ac:dyDescent="0.3">
      <c r="A493" s="2">
        <f t="shared" si="39"/>
        <v>46214.229166667857</v>
      </c>
      <c r="B493">
        <v>2.4</v>
      </c>
      <c r="C493" s="2">
        <f t="shared" si="35"/>
        <v>46214</v>
      </c>
      <c r="D493" s="1">
        <f t="shared" si="36"/>
        <v>5.5</v>
      </c>
      <c r="E493" t="str">
        <f t="shared" si="37"/>
        <v>Saturday</v>
      </c>
      <c r="F493">
        <f>Assumptions!$B$2</f>
        <v>0.5</v>
      </c>
      <c r="G493">
        <f t="shared" si="38"/>
        <v>1.2</v>
      </c>
    </row>
    <row r="494" spans="1:7" x14ac:dyDescent="0.3">
      <c r="A494" s="2">
        <f t="shared" si="39"/>
        <v>46214.250000001193</v>
      </c>
      <c r="B494">
        <v>7.6</v>
      </c>
      <c r="C494" s="2">
        <f t="shared" si="35"/>
        <v>46214</v>
      </c>
      <c r="D494" s="1">
        <f t="shared" si="36"/>
        <v>6</v>
      </c>
      <c r="E494" t="str">
        <f t="shared" si="37"/>
        <v>Saturday</v>
      </c>
      <c r="F494">
        <f>Assumptions!$B$2</f>
        <v>0.5</v>
      </c>
      <c r="G494">
        <f t="shared" si="38"/>
        <v>3.8</v>
      </c>
    </row>
    <row r="495" spans="1:7" x14ac:dyDescent="0.3">
      <c r="A495" s="2">
        <f t="shared" si="39"/>
        <v>46214.270833334529</v>
      </c>
      <c r="B495">
        <v>6.1</v>
      </c>
      <c r="C495" s="2">
        <f t="shared" si="35"/>
        <v>46214</v>
      </c>
      <c r="D495" s="1">
        <f t="shared" si="36"/>
        <v>6.5</v>
      </c>
      <c r="E495" t="str">
        <f t="shared" si="37"/>
        <v>Saturday</v>
      </c>
      <c r="F495">
        <f>Assumptions!$B$2</f>
        <v>0.5</v>
      </c>
      <c r="G495">
        <f t="shared" si="38"/>
        <v>3.05</v>
      </c>
    </row>
    <row r="496" spans="1:7" x14ac:dyDescent="0.3">
      <c r="A496" s="2">
        <f t="shared" si="39"/>
        <v>46214.291666667865</v>
      </c>
      <c r="B496">
        <v>4</v>
      </c>
      <c r="C496" s="2">
        <f t="shared" si="35"/>
        <v>46214</v>
      </c>
      <c r="D496" s="1">
        <f t="shared" si="36"/>
        <v>7</v>
      </c>
      <c r="E496" t="str">
        <f t="shared" si="37"/>
        <v>Saturday</v>
      </c>
      <c r="F496">
        <f>Assumptions!$B$2</f>
        <v>0.5</v>
      </c>
      <c r="G496">
        <f t="shared" si="38"/>
        <v>2</v>
      </c>
    </row>
    <row r="497" spans="1:7" x14ac:dyDescent="0.3">
      <c r="A497" s="2">
        <f t="shared" si="39"/>
        <v>46214.312500001201</v>
      </c>
      <c r="B497">
        <v>4.0999999999999996</v>
      </c>
      <c r="C497" s="2">
        <f t="shared" si="35"/>
        <v>46214</v>
      </c>
      <c r="D497" s="1">
        <f t="shared" si="36"/>
        <v>7.5</v>
      </c>
      <c r="E497" t="str">
        <f t="shared" si="37"/>
        <v>Saturday</v>
      </c>
      <c r="F497">
        <f>Assumptions!$B$2</f>
        <v>0.5</v>
      </c>
      <c r="G497">
        <f t="shared" si="38"/>
        <v>2.0499999999999998</v>
      </c>
    </row>
    <row r="498" spans="1:7" x14ac:dyDescent="0.3">
      <c r="A498" s="2">
        <f t="shared" si="39"/>
        <v>46214.333333334536</v>
      </c>
      <c r="B498">
        <v>19.8</v>
      </c>
      <c r="C498" s="2">
        <f t="shared" si="35"/>
        <v>46214</v>
      </c>
      <c r="D498" s="1">
        <f t="shared" si="36"/>
        <v>8</v>
      </c>
      <c r="E498" t="str">
        <f t="shared" si="37"/>
        <v>Saturday</v>
      </c>
      <c r="F498">
        <f>Assumptions!$B$2</f>
        <v>0.5</v>
      </c>
      <c r="G498">
        <f t="shared" si="38"/>
        <v>9.9</v>
      </c>
    </row>
    <row r="499" spans="1:7" x14ac:dyDescent="0.3">
      <c r="A499" s="2">
        <f t="shared" si="39"/>
        <v>46214.354166667872</v>
      </c>
      <c r="B499">
        <v>16.100000000000001</v>
      </c>
      <c r="C499" s="2">
        <f t="shared" si="35"/>
        <v>46214</v>
      </c>
      <c r="D499" s="1">
        <f t="shared" si="36"/>
        <v>8.5</v>
      </c>
      <c r="E499" t="str">
        <f t="shared" si="37"/>
        <v>Saturday</v>
      </c>
      <c r="F499">
        <f>Assumptions!$B$2</f>
        <v>0.5</v>
      </c>
      <c r="G499">
        <f t="shared" si="38"/>
        <v>8.0500000000000007</v>
      </c>
    </row>
    <row r="500" spans="1:7" x14ac:dyDescent="0.3">
      <c r="A500" s="2">
        <f t="shared" si="39"/>
        <v>46214.375000001208</v>
      </c>
      <c r="B500">
        <v>13</v>
      </c>
      <c r="C500" s="2">
        <f t="shared" si="35"/>
        <v>46214</v>
      </c>
      <c r="D500" s="1">
        <f t="shared" si="36"/>
        <v>9</v>
      </c>
      <c r="E500" t="str">
        <f t="shared" si="37"/>
        <v>Saturday</v>
      </c>
      <c r="F500">
        <f>Assumptions!$B$2</f>
        <v>0.5</v>
      </c>
      <c r="G500">
        <f t="shared" si="38"/>
        <v>6.5</v>
      </c>
    </row>
    <row r="501" spans="1:7" x14ac:dyDescent="0.3">
      <c r="A501" s="2">
        <f t="shared" si="39"/>
        <v>46214.395833334544</v>
      </c>
      <c r="B501">
        <v>19.100000000000001</v>
      </c>
      <c r="C501" s="2">
        <f t="shared" si="35"/>
        <v>46214</v>
      </c>
      <c r="D501" s="1">
        <f t="shared" si="36"/>
        <v>9.5</v>
      </c>
      <c r="E501" t="str">
        <f t="shared" si="37"/>
        <v>Saturday</v>
      </c>
      <c r="F501">
        <f>Assumptions!$B$2</f>
        <v>0.5</v>
      </c>
      <c r="G501">
        <f t="shared" si="38"/>
        <v>9.5500000000000007</v>
      </c>
    </row>
    <row r="502" spans="1:7" x14ac:dyDescent="0.3">
      <c r="A502" s="2">
        <f t="shared" si="39"/>
        <v>46214.416666667879</v>
      </c>
      <c r="B502">
        <v>18.399999999999999</v>
      </c>
      <c r="C502" s="2">
        <f t="shared" si="35"/>
        <v>46214</v>
      </c>
      <c r="D502" s="1">
        <f t="shared" si="36"/>
        <v>10</v>
      </c>
      <c r="E502" t="str">
        <f t="shared" si="37"/>
        <v>Saturday</v>
      </c>
      <c r="F502">
        <f>Assumptions!$B$2</f>
        <v>0.5</v>
      </c>
      <c r="G502">
        <f t="shared" si="38"/>
        <v>9.1999999999999993</v>
      </c>
    </row>
    <row r="503" spans="1:7" x14ac:dyDescent="0.3">
      <c r="A503" s="2">
        <f t="shared" si="39"/>
        <v>46214.437500001215</v>
      </c>
      <c r="B503">
        <v>17.399999999999999</v>
      </c>
      <c r="C503" s="2">
        <f t="shared" si="35"/>
        <v>46214</v>
      </c>
      <c r="D503" s="1">
        <f t="shared" si="36"/>
        <v>10.5</v>
      </c>
      <c r="E503" t="str">
        <f t="shared" si="37"/>
        <v>Saturday</v>
      </c>
      <c r="F503">
        <f>Assumptions!$B$2</f>
        <v>0.5</v>
      </c>
      <c r="G503">
        <f t="shared" si="38"/>
        <v>8.6999999999999993</v>
      </c>
    </row>
    <row r="504" spans="1:7" x14ac:dyDescent="0.3">
      <c r="A504" s="2">
        <f t="shared" si="39"/>
        <v>46214.458333334551</v>
      </c>
      <c r="B504">
        <v>20</v>
      </c>
      <c r="C504" s="2">
        <f t="shared" si="35"/>
        <v>46214</v>
      </c>
      <c r="D504" s="1">
        <f t="shared" si="36"/>
        <v>11</v>
      </c>
      <c r="E504" t="str">
        <f t="shared" si="37"/>
        <v>Saturday</v>
      </c>
      <c r="F504">
        <f>Assumptions!$B$2</f>
        <v>0.5</v>
      </c>
      <c r="G504">
        <f t="shared" si="38"/>
        <v>10</v>
      </c>
    </row>
    <row r="505" spans="1:7" x14ac:dyDescent="0.3">
      <c r="A505" s="2">
        <f t="shared" si="39"/>
        <v>46214.479166667887</v>
      </c>
      <c r="B505">
        <v>19.899999999999999</v>
      </c>
      <c r="C505" s="2">
        <f t="shared" si="35"/>
        <v>46214</v>
      </c>
      <c r="D505" s="1">
        <f t="shared" si="36"/>
        <v>11.5</v>
      </c>
      <c r="E505" t="str">
        <f t="shared" si="37"/>
        <v>Saturday</v>
      </c>
      <c r="F505">
        <f>Assumptions!$B$2</f>
        <v>0.5</v>
      </c>
      <c r="G505">
        <f t="shared" si="38"/>
        <v>9.9499999999999993</v>
      </c>
    </row>
    <row r="506" spans="1:7" x14ac:dyDescent="0.3">
      <c r="A506" s="2">
        <f t="shared" si="39"/>
        <v>46214.500000001222</v>
      </c>
      <c r="B506">
        <v>27.3</v>
      </c>
      <c r="C506" s="2">
        <f t="shared" si="35"/>
        <v>46214</v>
      </c>
      <c r="D506" s="1">
        <f t="shared" si="36"/>
        <v>12</v>
      </c>
      <c r="E506" t="str">
        <f t="shared" si="37"/>
        <v>Saturday</v>
      </c>
      <c r="F506">
        <f>Assumptions!$B$2</f>
        <v>0.5</v>
      </c>
      <c r="G506">
        <f t="shared" si="38"/>
        <v>13.65</v>
      </c>
    </row>
    <row r="507" spans="1:7" x14ac:dyDescent="0.3">
      <c r="A507" s="2">
        <f t="shared" si="39"/>
        <v>46214.520833334558</v>
      </c>
      <c r="B507">
        <v>22</v>
      </c>
      <c r="C507" s="2">
        <f t="shared" si="35"/>
        <v>46214</v>
      </c>
      <c r="D507" s="1">
        <f t="shared" si="36"/>
        <v>12.5</v>
      </c>
      <c r="E507" t="str">
        <f t="shared" si="37"/>
        <v>Saturday</v>
      </c>
      <c r="F507">
        <f>Assumptions!$B$2</f>
        <v>0.5</v>
      </c>
      <c r="G507">
        <f t="shared" si="38"/>
        <v>11</v>
      </c>
    </row>
    <row r="508" spans="1:7" x14ac:dyDescent="0.3">
      <c r="A508" s="2">
        <f t="shared" si="39"/>
        <v>46214.541666667894</v>
      </c>
      <c r="B508">
        <v>22.1</v>
      </c>
      <c r="C508" s="2">
        <f t="shared" si="35"/>
        <v>46214</v>
      </c>
      <c r="D508" s="1">
        <f t="shared" si="36"/>
        <v>13</v>
      </c>
      <c r="E508" t="str">
        <f t="shared" si="37"/>
        <v>Saturday</v>
      </c>
      <c r="F508">
        <f>Assumptions!$B$2</f>
        <v>0.5</v>
      </c>
      <c r="G508">
        <f t="shared" si="38"/>
        <v>11.05</v>
      </c>
    </row>
    <row r="509" spans="1:7" x14ac:dyDescent="0.3">
      <c r="A509" s="2">
        <f t="shared" si="39"/>
        <v>46214.56250000123</v>
      </c>
      <c r="B509">
        <v>20.3</v>
      </c>
      <c r="C509" s="2">
        <f t="shared" si="35"/>
        <v>46214</v>
      </c>
      <c r="D509" s="1">
        <f t="shared" si="36"/>
        <v>13.5</v>
      </c>
      <c r="E509" t="str">
        <f t="shared" si="37"/>
        <v>Saturday</v>
      </c>
      <c r="F509">
        <f>Assumptions!$B$2</f>
        <v>0.5</v>
      </c>
      <c r="G509">
        <f t="shared" si="38"/>
        <v>10.15</v>
      </c>
    </row>
    <row r="510" spans="1:7" x14ac:dyDescent="0.3">
      <c r="A510" s="2">
        <f t="shared" si="39"/>
        <v>46214.583333334565</v>
      </c>
      <c r="B510">
        <v>28.8</v>
      </c>
      <c r="C510" s="2">
        <f t="shared" si="35"/>
        <v>46214</v>
      </c>
      <c r="D510" s="1">
        <f t="shared" si="36"/>
        <v>14</v>
      </c>
      <c r="E510" t="str">
        <f t="shared" si="37"/>
        <v>Saturday</v>
      </c>
      <c r="F510">
        <f>Assumptions!$B$2</f>
        <v>0.5</v>
      </c>
      <c r="G510">
        <f t="shared" si="38"/>
        <v>14.4</v>
      </c>
    </row>
    <row r="511" spans="1:7" x14ac:dyDescent="0.3">
      <c r="A511" s="2">
        <f t="shared" si="39"/>
        <v>46214.604166667901</v>
      </c>
      <c r="B511">
        <v>34.1</v>
      </c>
      <c r="C511" s="2">
        <f t="shared" si="35"/>
        <v>46214</v>
      </c>
      <c r="D511" s="1">
        <f t="shared" si="36"/>
        <v>14.5</v>
      </c>
      <c r="E511" t="str">
        <f t="shared" si="37"/>
        <v>Saturday</v>
      </c>
      <c r="F511">
        <f>Assumptions!$B$2</f>
        <v>0.5</v>
      </c>
      <c r="G511">
        <f t="shared" si="38"/>
        <v>17.05</v>
      </c>
    </row>
    <row r="512" spans="1:7" x14ac:dyDescent="0.3">
      <c r="A512" s="2">
        <f t="shared" si="39"/>
        <v>46214.625000001237</v>
      </c>
      <c r="B512">
        <v>30.6</v>
      </c>
      <c r="C512" s="2">
        <f t="shared" si="35"/>
        <v>46214</v>
      </c>
      <c r="D512" s="1">
        <f t="shared" si="36"/>
        <v>15</v>
      </c>
      <c r="E512" t="str">
        <f t="shared" si="37"/>
        <v>Saturday</v>
      </c>
      <c r="F512">
        <f>Assumptions!$B$2</f>
        <v>0.5</v>
      </c>
      <c r="G512">
        <f t="shared" si="38"/>
        <v>15.3</v>
      </c>
    </row>
    <row r="513" spans="1:7" x14ac:dyDescent="0.3">
      <c r="A513" s="2">
        <f t="shared" si="39"/>
        <v>46214.645833334573</v>
      </c>
      <c r="B513">
        <v>25</v>
      </c>
      <c r="C513" s="2">
        <f t="shared" si="35"/>
        <v>46214</v>
      </c>
      <c r="D513" s="1">
        <f t="shared" si="36"/>
        <v>15.5</v>
      </c>
      <c r="E513" t="str">
        <f t="shared" si="37"/>
        <v>Saturday</v>
      </c>
      <c r="F513">
        <f>Assumptions!$B$2</f>
        <v>0.5</v>
      </c>
      <c r="G513">
        <f t="shared" si="38"/>
        <v>12.5</v>
      </c>
    </row>
    <row r="514" spans="1:7" x14ac:dyDescent="0.3">
      <c r="A514" s="2">
        <f t="shared" si="39"/>
        <v>46214.666666667908</v>
      </c>
      <c r="B514">
        <v>17.8</v>
      </c>
      <c r="C514" s="2">
        <f t="shared" si="35"/>
        <v>46214</v>
      </c>
      <c r="D514" s="1">
        <f t="shared" si="36"/>
        <v>16</v>
      </c>
      <c r="E514" t="str">
        <f t="shared" si="37"/>
        <v>Saturday</v>
      </c>
      <c r="F514">
        <f>Assumptions!$B$2</f>
        <v>0.5</v>
      </c>
      <c r="G514">
        <f t="shared" si="38"/>
        <v>8.9</v>
      </c>
    </row>
    <row r="515" spans="1:7" x14ac:dyDescent="0.3">
      <c r="A515" s="2">
        <f t="shared" si="39"/>
        <v>46214.687500001244</v>
      </c>
      <c r="B515">
        <v>13.3</v>
      </c>
      <c r="C515" s="2">
        <f t="shared" ref="C515:C578" si="40">INT(A515)</f>
        <v>46214</v>
      </c>
      <c r="D515" s="1">
        <f t="shared" ref="D515:D578" si="41">HOUR(A515)+MINUTE(A515)/60</f>
        <v>16.5</v>
      </c>
      <c r="E515" t="str">
        <f t="shared" ref="E515:E578" si="42">TEXT(A515,"dddd")</f>
        <v>Saturday</v>
      </c>
      <c r="F515">
        <f>Assumptions!$B$2</f>
        <v>0.5</v>
      </c>
      <c r="G515">
        <f t="shared" ref="G515:G578" si="43">B515*F515</f>
        <v>6.65</v>
      </c>
    </row>
    <row r="516" spans="1:7" x14ac:dyDescent="0.3">
      <c r="A516" s="2">
        <f t="shared" ref="A516:A579" si="44">A515+TIME(0,30,0)</f>
        <v>46214.70833333458</v>
      </c>
      <c r="B516">
        <v>18.399999999999999</v>
      </c>
      <c r="C516" s="2">
        <f t="shared" si="40"/>
        <v>46214</v>
      </c>
      <c r="D516" s="1">
        <f t="shared" si="41"/>
        <v>17</v>
      </c>
      <c r="E516" t="str">
        <f t="shared" si="42"/>
        <v>Saturday</v>
      </c>
      <c r="F516">
        <f>Assumptions!$B$2</f>
        <v>0.5</v>
      </c>
      <c r="G516">
        <f t="shared" si="43"/>
        <v>9.1999999999999993</v>
      </c>
    </row>
    <row r="517" spans="1:7" x14ac:dyDescent="0.3">
      <c r="A517" s="2">
        <f t="shared" si="44"/>
        <v>46214.729166667916</v>
      </c>
      <c r="B517">
        <v>13</v>
      </c>
      <c r="C517" s="2">
        <f t="shared" si="40"/>
        <v>46214</v>
      </c>
      <c r="D517" s="1">
        <f t="shared" si="41"/>
        <v>17.5</v>
      </c>
      <c r="E517" t="str">
        <f t="shared" si="42"/>
        <v>Saturday</v>
      </c>
      <c r="F517">
        <f>Assumptions!$B$2</f>
        <v>0.5</v>
      </c>
      <c r="G517">
        <f t="shared" si="43"/>
        <v>6.5</v>
      </c>
    </row>
    <row r="518" spans="1:7" x14ac:dyDescent="0.3">
      <c r="A518" s="2">
        <f t="shared" si="44"/>
        <v>46214.750000001251</v>
      </c>
      <c r="B518">
        <v>15.6</v>
      </c>
      <c r="C518" s="2">
        <f t="shared" si="40"/>
        <v>46214</v>
      </c>
      <c r="D518" s="1">
        <f t="shared" si="41"/>
        <v>18</v>
      </c>
      <c r="E518" t="str">
        <f t="shared" si="42"/>
        <v>Saturday</v>
      </c>
      <c r="F518">
        <f>Assumptions!$B$2</f>
        <v>0.5</v>
      </c>
      <c r="G518">
        <f t="shared" si="43"/>
        <v>7.8</v>
      </c>
    </row>
    <row r="519" spans="1:7" x14ac:dyDescent="0.3">
      <c r="A519" s="2">
        <f t="shared" si="44"/>
        <v>46214.770833334587</v>
      </c>
      <c r="B519">
        <v>17.5</v>
      </c>
      <c r="C519" s="2">
        <f t="shared" si="40"/>
        <v>46214</v>
      </c>
      <c r="D519" s="1">
        <f t="shared" si="41"/>
        <v>18.5</v>
      </c>
      <c r="E519" t="str">
        <f t="shared" si="42"/>
        <v>Saturday</v>
      </c>
      <c r="F519">
        <f>Assumptions!$B$2</f>
        <v>0.5</v>
      </c>
      <c r="G519">
        <f t="shared" si="43"/>
        <v>8.75</v>
      </c>
    </row>
    <row r="520" spans="1:7" x14ac:dyDescent="0.3">
      <c r="A520" s="2">
        <f t="shared" si="44"/>
        <v>46214.791666667923</v>
      </c>
      <c r="B520">
        <v>4.5999999999999996</v>
      </c>
      <c r="C520" s="2">
        <f t="shared" si="40"/>
        <v>46214</v>
      </c>
      <c r="D520" s="1">
        <f t="shared" si="41"/>
        <v>19</v>
      </c>
      <c r="E520" t="str">
        <f t="shared" si="42"/>
        <v>Saturday</v>
      </c>
      <c r="F520">
        <f>Assumptions!$B$2</f>
        <v>0.5</v>
      </c>
      <c r="G520">
        <f t="shared" si="43"/>
        <v>2.2999999999999998</v>
      </c>
    </row>
    <row r="521" spans="1:7" x14ac:dyDescent="0.3">
      <c r="A521" s="2">
        <f t="shared" si="44"/>
        <v>46214.812500001259</v>
      </c>
      <c r="B521">
        <v>4.3</v>
      </c>
      <c r="C521" s="2">
        <f t="shared" si="40"/>
        <v>46214</v>
      </c>
      <c r="D521" s="1">
        <f t="shared" si="41"/>
        <v>19.5</v>
      </c>
      <c r="E521" t="str">
        <f t="shared" si="42"/>
        <v>Saturday</v>
      </c>
      <c r="F521">
        <f>Assumptions!$B$2</f>
        <v>0.5</v>
      </c>
      <c r="G521">
        <f t="shared" si="43"/>
        <v>2.15</v>
      </c>
    </row>
    <row r="522" spans="1:7" x14ac:dyDescent="0.3">
      <c r="A522" s="2">
        <f t="shared" si="44"/>
        <v>46214.833333334594</v>
      </c>
      <c r="B522">
        <v>5.6</v>
      </c>
      <c r="C522" s="2">
        <f t="shared" si="40"/>
        <v>46214</v>
      </c>
      <c r="D522" s="1">
        <f t="shared" si="41"/>
        <v>20</v>
      </c>
      <c r="E522" t="str">
        <f t="shared" si="42"/>
        <v>Saturday</v>
      </c>
      <c r="F522">
        <f>Assumptions!$B$2</f>
        <v>0.5</v>
      </c>
      <c r="G522">
        <f t="shared" si="43"/>
        <v>2.8</v>
      </c>
    </row>
    <row r="523" spans="1:7" x14ac:dyDescent="0.3">
      <c r="A523" s="2">
        <f t="shared" si="44"/>
        <v>46214.85416666793</v>
      </c>
      <c r="B523">
        <v>8</v>
      </c>
      <c r="C523" s="2">
        <f t="shared" si="40"/>
        <v>46214</v>
      </c>
      <c r="D523" s="1">
        <f t="shared" si="41"/>
        <v>20.5</v>
      </c>
      <c r="E523" t="str">
        <f t="shared" si="42"/>
        <v>Saturday</v>
      </c>
      <c r="F523">
        <f>Assumptions!$B$2</f>
        <v>0.5</v>
      </c>
      <c r="G523">
        <f t="shared" si="43"/>
        <v>4</v>
      </c>
    </row>
    <row r="524" spans="1:7" x14ac:dyDescent="0.3">
      <c r="A524" s="2">
        <f t="shared" si="44"/>
        <v>46214.875000001266</v>
      </c>
      <c r="B524">
        <v>5.3</v>
      </c>
      <c r="C524" s="2">
        <f t="shared" si="40"/>
        <v>46214</v>
      </c>
      <c r="D524" s="1">
        <f t="shared" si="41"/>
        <v>21</v>
      </c>
      <c r="E524" t="str">
        <f t="shared" si="42"/>
        <v>Saturday</v>
      </c>
      <c r="F524">
        <f>Assumptions!$B$2</f>
        <v>0.5</v>
      </c>
      <c r="G524">
        <f t="shared" si="43"/>
        <v>2.65</v>
      </c>
    </row>
    <row r="525" spans="1:7" x14ac:dyDescent="0.3">
      <c r="A525" s="2">
        <f t="shared" si="44"/>
        <v>46214.895833334602</v>
      </c>
      <c r="B525">
        <v>7.4</v>
      </c>
      <c r="C525" s="2">
        <f t="shared" si="40"/>
        <v>46214</v>
      </c>
      <c r="D525" s="1">
        <f t="shared" si="41"/>
        <v>21.5</v>
      </c>
      <c r="E525" t="str">
        <f t="shared" si="42"/>
        <v>Saturday</v>
      </c>
      <c r="F525">
        <f>Assumptions!$B$2</f>
        <v>0.5</v>
      </c>
      <c r="G525">
        <f t="shared" si="43"/>
        <v>3.7</v>
      </c>
    </row>
    <row r="526" spans="1:7" x14ac:dyDescent="0.3">
      <c r="A526" s="2">
        <f t="shared" si="44"/>
        <v>46214.916666667938</v>
      </c>
      <c r="B526">
        <v>5.9</v>
      </c>
      <c r="C526" s="2">
        <f t="shared" si="40"/>
        <v>46214</v>
      </c>
      <c r="D526" s="1">
        <f t="shared" si="41"/>
        <v>22</v>
      </c>
      <c r="E526" t="str">
        <f t="shared" si="42"/>
        <v>Saturday</v>
      </c>
      <c r="F526">
        <f>Assumptions!$B$2</f>
        <v>0.5</v>
      </c>
      <c r="G526">
        <f t="shared" si="43"/>
        <v>2.95</v>
      </c>
    </row>
    <row r="527" spans="1:7" x14ac:dyDescent="0.3">
      <c r="A527" s="2">
        <f t="shared" si="44"/>
        <v>46214.937500001273</v>
      </c>
      <c r="B527">
        <v>3.2</v>
      </c>
      <c r="C527" s="2">
        <f t="shared" si="40"/>
        <v>46214</v>
      </c>
      <c r="D527" s="1">
        <f t="shared" si="41"/>
        <v>22.5</v>
      </c>
      <c r="E527" t="str">
        <f t="shared" si="42"/>
        <v>Saturday</v>
      </c>
      <c r="F527">
        <f>Assumptions!$B$2</f>
        <v>0.5</v>
      </c>
      <c r="G527">
        <f t="shared" si="43"/>
        <v>1.6</v>
      </c>
    </row>
    <row r="528" spans="1:7" x14ac:dyDescent="0.3">
      <c r="A528" s="2">
        <f t="shared" si="44"/>
        <v>46214.958333334609</v>
      </c>
      <c r="B528">
        <v>3.9</v>
      </c>
      <c r="C528" s="2">
        <f t="shared" si="40"/>
        <v>46214</v>
      </c>
      <c r="D528" s="1">
        <f t="shared" si="41"/>
        <v>23</v>
      </c>
      <c r="E528" t="str">
        <f t="shared" si="42"/>
        <v>Saturday</v>
      </c>
      <c r="F528">
        <f>Assumptions!$B$2</f>
        <v>0.5</v>
      </c>
      <c r="G528">
        <f t="shared" si="43"/>
        <v>1.95</v>
      </c>
    </row>
    <row r="529" spans="1:7" x14ac:dyDescent="0.3">
      <c r="A529" s="2">
        <f t="shared" si="44"/>
        <v>46214.979166667945</v>
      </c>
      <c r="B529">
        <v>6.8</v>
      </c>
      <c r="C529" s="2">
        <f t="shared" si="40"/>
        <v>46214</v>
      </c>
      <c r="D529" s="1">
        <f t="shared" si="41"/>
        <v>23.5</v>
      </c>
      <c r="E529" t="str">
        <f t="shared" si="42"/>
        <v>Saturday</v>
      </c>
      <c r="F529">
        <f>Assumptions!$B$2</f>
        <v>0.5</v>
      </c>
      <c r="G529">
        <f t="shared" si="43"/>
        <v>3.4</v>
      </c>
    </row>
    <row r="530" spans="1:7" x14ac:dyDescent="0.3">
      <c r="A530" s="2">
        <f t="shared" si="44"/>
        <v>46215.000000001281</v>
      </c>
      <c r="B530">
        <v>2.4</v>
      </c>
      <c r="C530" s="2">
        <f t="shared" si="40"/>
        <v>46215</v>
      </c>
      <c r="D530" s="1">
        <f t="shared" si="41"/>
        <v>0</v>
      </c>
      <c r="E530" t="str">
        <f t="shared" si="42"/>
        <v>Sunday</v>
      </c>
      <c r="F530">
        <f>Assumptions!$B$2</f>
        <v>0.5</v>
      </c>
      <c r="G530">
        <f t="shared" si="43"/>
        <v>1.2</v>
      </c>
    </row>
    <row r="531" spans="1:7" x14ac:dyDescent="0.3">
      <c r="A531" s="2">
        <f t="shared" si="44"/>
        <v>46215.020833334616</v>
      </c>
      <c r="B531">
        <v>1.8</v>
      </c>
      <c r="C531" s="2">
        <f t="shared" si="40"/>
        <v>46215</v>
      </c>
      <c r="D531" s="1">
        <f t="shared" si="41"/>
        <v>0.5</v>
      </c>
      <c r="E531" t="str">
        <f t="shared" si="42"/>
        <v>Sunday</v>
      </c>
      <c r="F531">
        <f>Assumptions!$B$2</f>
        <v>0.5</v>
      </c>
      <c r="G531">
        <f t="shared" si="43"/>
        <v>0.9</v>
      </c>
    </row>
    <row r="532" spans="1:7" x14ac:dyDescent="0.3">
      <c r="A532" s="2">
        <f t="shared" si="44"/>
        <v>46215.041666667952</v>
      </c>
      <c r="B532">
        <v>2.2000000000000002</v>
      </c>
      <c r="C532" s="2">
        <f t="shared" si="40"/>
        <v>46215</v>
      </c>
      <c r="D532" s="1">
        <f t="shared" si="41"/>
        <v>1</v>
      </c>
      <c r="E532" t="str">
        <f t="shared" si="42"/>
        <v>Sunday</v>
      </c>
      <c r="F532">
        <f>Assumptions!$B$2</f>
        <v>0.5</v>
      </c>
      <c r="G532">
        <f t="shared" si="43"/>
        <v>1.1000000000000001</v>
      </c>
    </row>
    <row r="533" spans="1:7" x14ac:dyDescent="0.3">
      <c r="A533" s="2">
        <f t="shared" si="44"/>
        <v>46215.062500001288</v>
      </c>
      <c r="B533">
        <v>2.1</v>
      </c>
      <c r="C533" s="2">
        <f t="shared" si="40"/>
        <v>46215</v>
      </c>
      <c r="D533" s="1">
        <f t="shared" si="41"/>
        <v>1.5</v>
      </c>
      <c r="E533" t="str">
        <f t="shared" si="42"/>
        <v>Sunday</v>
      </c>
      <c r="F533">
        <f>Assumptions!$B$2</f>
        <v>0.5</v>
      </c>
      <c r="G533">
        <f t="shared" si="43"/>
        <v>1.05</v>
      </c>
    </row>
    <row r="534" spans="1:7" x14ac:dyDescent="0.3">
      <c r="A534" s="2">
        <f t="shared" si="44"/>
        <v>46215.083333334624</v>
      </c>
      <c r="B534">
        <v>1.8</v>
      </c>
      <c r="C534" s="2">
        <f t="shared" si="40"/>
        <v>46215</v>
      </c>
      <c r="D534" s="1">
        <f t="shared" si="41"/>
        <v>2</v>
      </c>
      <c r="E534" t="str">
        <f t="shared" si="42"/>
        <v>Sunday</v>
      </c>
      <c r="F534">
        <f>Assumptions!$B$2</f>
        <v>0.5</v>
      </c>
      <c r="G534">
        <f t="shared" si="43"/>
        <v>0.9</v>
      </c>
    </row>
    <row r="535" spans="1:7" x14ac:dyDescent="0.3">
      <c r="A535" s="2">
        <f t="shared" si="44"/>
        <v>46215.104166667959</v>
      </c>
      <c r="B535">
        <v>1.9</v>
      </c>
      <c r="C535" s="2">
        <f t="shared" si="40"/>
        <v>46215</v>
      </c>
      <c r="D535" s="1">
        <f t="shared" si="41"/>
        <v>2.5</v>
      </c>
      <c r="E535" t="str">
        <f t="shared" si="42"/>
        <v>Sunday</v>
      </c>
      <c r="F535">
        <f>Assumptions!$B$2</f>
        <v>0.5</v>
      </c>
      <c r="G535">
        <f t="shared" si="43"/>
        <v>0.95</v>
      </c>
    </row>
    <row r="536" spans="1:7" x14ac:dyDescent="0.3">
      <c r="A536" s="2">
        <f t="shared" si="44"/>
        <v>46215.125000001295</v>
      </c>
      <c r="B536">
        <v>2.4</v>
      </c>
      <c r="C536" s="2">
        <f t="shared" si="40"/>
        <v>46215</v>
      </c>
      <c r="D536" s="1">
        <f t="shared" si="41"/>
        <v>3</v>
      </c>
      <c r="E536" t="str">
        <f t="shared" si="42"/>
        <v>Sunday</v>
      </c>
      <c r="F536">
        <f>Assumptions!$B$2</f>
        <v>0.5</v>
      </c>
      <c r="G536">
        <f t="shared" si="43"/>
        <v>1.2</v>
      </c>
    </row>
    <row r="537" spans="1:7" x14ac:dyDescent="0.3">
      <c r="A537" s="2">
        <f t="shared" si="44"/>
        <v>46215.145833334631</v>
      </c>
      <c r="B537">
        <v>2.7</v>
      </c>
      <c r="C537" s="2">
        <f t="shared" si="40"/>
        <v>46215</v>
      </c>
      <c r="D537" s="1">
        <f t="shared" si="41"/>
        <v>3.5</v>
      </c>
      <c r="E537" t="str">
        <f t="shared" si="42"/>
        <v>Sunday</v>
      </c>
      <c r="F537">
        <f>Assumptions!$B$2</f>
        <v>0.5</v>
      </c>
      <c r="G537">
        <f t="shared" si="43"/>
        <v>1.35</v>
      </c>
    </row>
    <row r="538" spans="1:7" x14ac:dyDescent="0.3">
      <c r="A538" s="2">
        <f t="shared" si="44"/>
        <v>46215.166666667967</v>
      </c>
      <c r="B538">
        <v>2.1</v>
      </c>
      <c r="C538" s="2">
        <f t="shared" si="40"/>
        <v>46215</v>
      </c>
      <c r="D538" s="1">
        <f t="shared" si="41"/>
        <v>4</v>
      </c>
      <c r="E538" t="str">
        <f t="shared" si="42"/>
        <v>Sunday</v>
      </c>
      <c r="F538">
        <f>Assumptions!$B$2</f>
        <v>0.5</v>
      </c>
      <c r="G538">
        <f t="shared" si="43"/>
        <v>1.05</v>
      </c>
    </row>
    <row r="539" spans="1:7" x14ac:dyDescent="0.3">
      <c r="A539" s="2">
        <f t="shared" si="44"/>
        <v>46215.187500001302</v>
      </c>
      <c r="B539">
        <v>2.1</v>
      </c>
      <c r="C539" s="2">
        <f t="shared" si="40"/>
        <v>46215</v>
      </c>
      <c r="D539" s="1">
        <f t="shared" si="41"/>
        <v>4.5</v>
      </c>
      <c r="E539" t="str">
        <f t="shared" si="42"/>
        <v>Sunday</v>
      </c>
      <c r="F539">
        <f>Assumptions!$B$2</f>
        <v>0.5</v>
      </c>
      <c r="G539">
        <f t="shared" si="43"/>
        <v>1.05</v>
      </c>
    </row>
    <row r="540" spans="1:7" x14ac:dyDescent="0.3">
      <c r="A540" s="2">
        <f t="shared" si="44"/>
        <v>46215.208333334638</v>
      </c>
      <c r="B540">
        <v>2.9</v>
      </c>
      <c r="C540" s="2">
        <f t="shared" si="40"/>
        <v>46215</v>
      </c>
      <c r="D540" s="1">
        <f t="shared" si="41"/>
        <v>5</v>
      </c>
      <c r="E540" t="str">
        <f t="shared" si="42"/>
        <v>Sunday</v>
      </c>
      <c r="F540">
        <f>Assumptions!$B$2</f>
        <v>0.5</v>
      </c>
      <c r="G540">
        <f t="shared" si="43"/>
        <v>1.45</v>
      </c>
    </row>
    <row r="541" spans="1:7" x14ac:dyDescent="0.3">
      <c r="A541" s="2">
        <f t="shared" si="44"/>
        <v>46215.229166667974</v>
      </c>
      <c r="B541">
        <v>2.4</v>
      </c>
      <c r="C541" s="2">
        <f t="shared" si="40"/>
        <v>46215</v>
      </c>
      <c r="D541" s="1">
        <f t="shared" si="41"/>
        <v>5.5</v>
      </c>
      <c r="E541" t="str">
        <f t="shared" si="42"/>
        <v>Sunday</v>
      </c>
      <c r="F541">
        <f>Assumptions!$B$2</f>
        <v>0.5</v>
      </c>
      <c r="G541">
        <f t="shared" si="43"/>
        <v>1.2</v>
      </c>
    </row>
    <row r="542" spans="1:7" x14ac:dyDescent="0.3">
      <c r="A542" s="2">
        <f t="shared" si="44"/>
        <v>46215.25000000131</v>
      </c>
      <c r="B542">
        <v>5.9</v>
      </c>
      <c r="C542" s="2">
        <f t="shared" si="40"/>
        <v>46215</v>
      </c>
      <c r="D542" s="1">
        <f t="shared" si="41"/>
        <v>6</v>
      </c>
      <c r="E542" t="str">
        <f t="shared" si="42"/>
        <v>Sunday</v>
      </c>
      <c r="F542">
        <f>Assumptions!$B$2</f>
        <v>0.5</v>
      </c>
      <c r="G542">
        <f t="shared" si="43"/>
        <v>2.95</v>
      </c>
    </row>
    <row r="543" spans="1:7" x14ac:dyDescent="0.3">
      <c r="A543" s="2">
        <f t="shared" si="44"/>
        <v>46215.270833334645</v>
      </c>
      <c r="B543">
        <v>7.3</v>
      </c>
      <c r="C543" s="2">
        <f t="shared" si="40"/>
        <v>46215</v>
      </c>
      <c r="D543" s="1">
        <f t="shared" si="41"/>
        <v>6.5</v>
      </c>
      <c r="E543" t="str">
        <f t="shared" si="42"/>
        <v>Sunday</v>
      </c>
      <c r="F543">
        <f>Assumptions!$B$2</f>
        <v>0.5</v>
      </c>
      <c r="G543">
        <f t="shared" si="43"/>
        <v>3.65</v>
      </c>
    </row>
    <row r="544" spans="1:7" x14ac:dyDescent="0.3">
      <c r="A544" s="2">
        <f t="shared" si="44"/>
        <v>46215.291666667981</v>
      </c>
      <c r="B544">
        <v>6.2</v>
      </c>
      <c r="C544" s="2">
        <f t="shared" si="40"/>
        <v>46215</v>
      </c>
      <c r="D544" s="1">
        <f t="shared" si="41"/>
        <v>7</v>
      </c>
      <c r="E544" t="str">
        <f t="shared" si="42"/>
        <v>Sunday</v>
      </c>
      <c r="F544">
        <f>Assumptions!$B$2</f>
        <v>0.5</v>
      </c>
      <c r="G544">
        <f t="shared" si="43"/>
        <v>3.1</v>
      </c>
    </row>
    <row r="545" spans="1:7" x14ac:dyDescent="0.3">
      <c r="A545" s="2">
        <f t="shared" si="44"/>
        <v>46215.312500001317</v>
      </c>
      <c r="B545">
        <v>4.8</v>
      </c>
      <c r="C545" s="2">
        <f t="shared" si="40"/>
        <v>46215</v>
      </c>
      <c r="D545" s="1">
        <f t="shared" si="41"/>
        <v>7.5</v>
      </c>
      <c r="E545" t="str">
        <f t="shared" si="42"/>
        <v>Sunday</v>
      </c>
      <c r="F545">
        <f>Assumptions!$B$2</f>
        <v>0.5</v>
      </c>
      <c r="G545">
        <f t="shared" si="43"/>
        <v>2.4</v>
      </c>
    </row>
    <row r="546" spans="1:7" x14ac:dyDescent="0.3">
      <c r="A546" s="2">
        <f t="shared" si="44"/>
        <v>46215.333333334653</v>
      </c>
      <c r="B546">
        <v>19.2</v>
      </c>
      <c r="C546" s="2">
        <f t="shared" si="40"/>
        <v>46215</v>
      </c>
      <c r="D546" s="1">
        <f t="shared" si="41"/>
        <v>8</v>
      </c>
      <c r="E546" t="str">
        <f t="shared" si="42"/>
        <v>Sunday</v>
      </c>
      <c r="F546">
        <f>Assumptions!$B$2</f>
        <v>0.5</v>
      </c>
      <c r="G546">
        <f t="shared" si="43"/>
        <v>9.6</v>
      </c>
    </row>
    <row r="547" spans="1:7" x14ac:dyDescent="0.3">
      <c r="A547" s="2">
        <f t="shared" si="44"/>
        <v>46215.354166667988</v>
      </c>
      <c r="B547">
        <v>12</v>
      </c>
      <c r="C547" s="2">
        <f t="shared" si="40"/>
        <v>46215</v>
      </c>
      <c r="D547" s="1">
        <f t="shared" si="41"/>
        <v>8.5</v>
      </c>
      <c r="E547" t="str">
        <f t="shared" si="42"/>
        <v>Sunday</v>
      </c>
      <c r="F547">
        <f>Assumptions!$B$2</f>
        <v>0.5</v>
      </c>
      <c r="G547">
        <f t="shared" si="43"/>
        <v>6</v>
      </c>
    </row>
    <row r="548" spans="1:7" x14ac:dyDescent="0.3">
      <c r="A548" s="2">
        <f t="shared" si="44"/>
        <v>46215.375000001324</v>
      </c>
      <c r="B548">
        <v>12.7</v>
      </c>
      <c r="C548" s="2">
        <f t="shared" si="40"/>
        <v>46215</v>
      </c>
      <c r="D548" s="1">
        <f t="shared" si="41"/>
        <v>9</v>
      </c>
      <c r="E548" t="str">
        <f t="shared" si="42"/>
        <v>Sunday</v>
      </c>
      <c r="F548">
        <f>Assumptions!$B$2</f>
        <v>0.5</v>
      </c>
      <c r="G548">
        <f t="shared" si="43"/>
        <v>6.35</v>
      </c>
    </row>
    <row r="549" spans="1:7" x14ac:dyDescent="0.3">
      <c r="A549" s="2">
        <f t="shared" si="44"/>
        <v>46215.39583333466</v>
      </c>
      <c r="B549">
        <v>16.399999999999999</v>
      </c>
      <c r="C549" s="2">
        <f t="shared" si="40"/>
        <v>46215</v>
      </c>
      <c r="D549" s="1">
        <f t="shared" si="41"/>
        <v>9.5</v>
      </c>
      <c r="E549" t="str">
        <f t="shared" si="42"/>
        <v>Sunday</v>
      </c>
      <c r="F549">
        <f>Assumptions!$B$2</f>
        <v>0.5</v>
      </c>
      <c r="G549">
        <f t="shared" si="43"/>
        <v>8.1999999999999993</v>
      </c>
    </row>
    <row r="550" spans="1:7" x14ac:dyDescent="0.3">
      <c r="A550" s="2">
        <f t="shared" si="44"/>
        <v>46215.416666667996</v>
      </c>
      <c r="B550">
        <v>21.1</v>
      </c>
      <c r="C550" s="2">
        <f t="shared" si="40"/>
        <v>46215</v>
      </c>
      <c r="D550" s="1">
        <f t="shared" si="41"/>
        <v>10</v>
      </c>
      <c r="E550" t="str">
        <f t="shared" si="42"/>
        <v>Sunday</v>
      </c>
      <c r="F550">
        <f>Assumptions!$B$2</f>
        <v>0.5</v>
      </c>
      <c r="G550">
        <f t="shared" si="43"/>
        <v>10.55</v>
      </c>
    </row>
    <row r="551" spans="1:7" x14ac:dyDescent="0.3">
      <c r="A551" s="2">
        <f t="shared" si="44"/>
        <v>46215.437500001332</v>
      </c>
      <c r="B551">
        <v>16.100000000000001</v>
      </c>
      <c r="C551" s="2">
        <f t="shared" si="40"/>
        <v>46215</v>
      </c>
      <c r="D551" s="1">
        <f t="shared" si="41"/>
        <v>10.5</v>
      </c>
      <c r="E551" t="str">
        <f t="shared" si="42"/>
        <v>Sunday</v>
      </c>
      <c r="F551">
        <f>Assumptions!$B$2</f>
        <v>0.5</v>
      </c>
      <c r="G551">
        <f t="shared" si="43"/>
        <v>8.0500000000000007</v>
      </c>
    </row>
    <row r="552" spans="1:7" x14ac:dyDescent="0.3">
      <c r="A552" s="2">
        <f t="shared" si="44"/>
        <v>46215.458333334667</v>
      </c>
      <c r="B552">
        <v>20.100000000000001</v>
      </c>
      <c r="C552" s="2">
        <f t="shared" si="40"/>
        <v>46215</v>
      </c>
      <c r="D552" s="1">
        <f t="shared" si="41"/>
        <v>11</v>
      </c>
      <c r="E552" t="str">
        <f t="shared" si="42"/>
        <v>Sunday</v>
      </c>
      <c r="F552">
        <f>Assumptions!$B$2</f>
        <v>0.5</v>
      </c>
      <c r="G552">
        <f t="shared" si="43"/>
        <v>10.050000000000001</v>
      </c>
    </row>
    <row r="553" spans="1:7" x14ac:dyDescent="0.3">
      <c r="A553" s="2">
        <f t="shared" si="44"/>
        <v>46215.479166668003</v>
      </c>
      <c r="B553">
        <v>13.4</v>
      </c>
      <c r="C553" s="2">
        <f t="shared" si="40"/>
        <v>46215</v>
      </c>
      <c r="D553" s="1">
        <f t="shared" si="41"/>
        <v>11.5</v>
      </c>
      <c r="E553" t="str">
        <f t="shared" si="42"/>
        <v>Sunday</v>
      </c>
      <c r="F553">
        <f>Assumptions!$B$2</f>
        <v>0.5</v>
      </c>
      <c r="G553">
        <f t="shared" si="43"/>
        <v>6.7</v>
      </c>
    </row>
    <row r="554" spans="1:7" x14ac:dyDescent="0.3">
      <c r="A554" s="2">
        <f t="shared" si="44"/>
        <v>46215.500000001339</v>
      </c>
      <c r="B554">
        <v>30.5</v>
      </c>
      <c r="C554" s="2">
        <f t="shared" si="40"/>
        <v>46215</v>
      </c>
      <c r="D554" s="1">
        <f t="shared" si="41"/>
        <v>12</v>
      </c>
      <c r="E554" t="str">
        <f t="shared" si="42"/>
        <v>Sunday</v>
      </c>
      <c r="F554">
        <f>Assumptions!$B$2</f>
        <v>0.5</v>
      </c>
      <c r="G554">
        <f t="shared" si="43"/>
        <v>15.25</v>
      </c>
    </row>
    <row r="555" spans="1:7" x14ac:dyDescent="0.3">
      <c r="A555" s="2">
        <f t="shared" si="44"/>
        <v>46215.520833334675</v>
      </c>
      <c r="B555">
        <v>29.7</v>
      </c>
      <c r="C555" s="2">
        <f t="shared" si="40"/>
        <v>46215</v>
      </c>
      <c r="D555" s="1">
        <f t="shared" si="41"/>
        <v>12.5</v>
      </c>
      <c r="E555" t="str">
        <f t="shared" si="42"/>
        <v>Sunday</v>
      </c>
      <c r="F555">
        <f>Assumptions!$B$2</f>
        <v>0.5</v>
      </c>
      <c r="G555">
        <f t="shared" si="43"/>
        <v>14.85</v>
      </c>
    </row>
    <row r="556" spans="1:7" x14ac:dyDescent="0.3">
      <c r="A556" s="2">
        <f t="shared" si="44"/>
        <v>46215.54166666801</v>
      </c>
      <c r="B556">
        <v>27.4</v>
      </c>
      <c r="C556" s="2">
        <f t="shared" si="40"/>
        <v>46215</v>
      </c>
      <c r="D556" s="1">
        <f t="shared" si="41"/>
        <v>13</v>
      </c>
      <c r="E556" t="str">
        <f t="shared" si="42"/>
        <v>Sunday</v>
      </c>
      <c r="F556">
        <f>Assumptions!$B$2</f>
        <v>0.5</v>
      </c>
      <c r="G556">
        <f t="shared" si="43"/>
        <v>13.7</v>
      </c>
    </row>
    <row r="557" spans="1:7" x14ac:dyDescent="0.3">
      <c r="A557" s="2">
        <f t="shared" si="44"/>
        <v>46215.562500001346</v>
      </c>
      <c r="B557">
        <v>25.8</v>
      </c>
      <c r="C557" s="2">
        <f t="shared" si="40"/>
        <v>46215</v>
      </c>
      <c r="D557" s="1">
        <f t="shared" si="41"/>
        <v>13.5</v>
      </c>
      <c r="E557" t="str">
        <f t="shared" si="42"/>
        <v>Sunday</v>
      </c>
      <c r="F557">
        <f>Assumptions!$B$2</f>
        <v>0.5</v>
      </c>
      <c r="G557">
        <f t="shared" si="43"/>
        <v>12.9</v>
      </c>
    </row>
    <row r="558" spans="1:7" x14ac:dyDescent="0.3">
      <c r="A558" s="2">
        <f t="shared" si="44"/>
        <v>46215.583333334682</v>
      </c>
      <c r="B558">
        <v>27.3</v>
      </c>
      <c r="C558" s="2">
        <f t="shared" si="40"/>
        <v>46215</v>
      </c>
      <c r="D558" s="1">
        <f t="shared" si="41"/>
        <v>14</v>
      </c>
      <c r="E558" t="str">
        <f t="shared" si="42"/>
        <v>Sunday</v>
      </c>
      <c r="F558">
        <f>Assumptions!$B$2</f>
        <v>0.5</v>
      </c>
      <c r="G558">
        <f t="shared" si="43"/>
        <v>13.65</v>
      </c>
    </row>
    <row r="559" spans="1:7" x14ac:dyDescent="0.3">
      <c r="A559" s="2">
        <f t="shared" si="44"/>
        <v>46215.604166668018</v>
      </c>
      <c r="B559">
        <v>28.2</v>
      </c>
      <c r="C559" s="2">
        <f t="shared" si="40"/>
        <v>46215</v>
      </c>
      <c r="D559" s="1">
        <f t="shared" si="41"/>
        <v>14.5</v>
      </c>
      <c r="E559" t="str">
        <f t="shared" si="42"/>
        <v>Sunday</v>
      </c>
      <c r="F559">
        <f>Assumptions!$B$2</f>
        <v>0.5</v>
      </c>
      <c r="G559">
        <f t="shared" si="43"/>
        <v>14.1</v>
      </c>
    </row>
    <row r="560" spans="1:7" x14ac:dyDescent="0.3">
      <c r="A560" s="2">
        <f t="shared" si="44"/>
        <v>46215.625000001353</v>
      </c>
      <c r="B560">
        <v>24.3</v>
      </c>
      <c r="C560" s="2">
        <f t="shared" si="40"/>
        <v>46215</v>
      </c>
      <c r="D560" s="1">
        <f t="shared" si="41"/>
        <v>15</v>
      </c>
      <c r="E560" t="str">
        <f t="shared" si="42"/>
        <v>Sunday</v>
      </c>
      <c r="F560">
        <f>Assumptions!$B$2</f>
        <v>0.5</v>
      </c>
      <c r="G560">
        <f t="shared" si="43"/>
        <v>12.15</v>
      </c>
    </row>
    <row r="561" spans="1:7" x14ac:dyDescent="0.3">
      <c r="A561" s="2">
        <f t="shared" si="44"/>
        <v>46215.645833334689</v>
      </c>
      <c r="B561">
        <v>23.7</v>
      </c>
      <c r="C561" s="2">
        <f t="shared" si="40"/>
        <v>46215</v>
      </c>
      <c r="D561" s="1">
        <f t="shared" si="41"/>
        <v>15.5</v>
      </c>
      <c r="E561" t="str">
        <f t="shared" si="42"/>
        <v>Sunday</v>
      </c>
      <c r="F561">
        <f>Assumptions!$B$2</f>
        <v>0.5</v>
      </c>
      <c r="G561">
        <f t="shared" si="43"/>
        <v>11.85</v>
      </c>
    </row>
    <row r="562" spans="1:7" x14ac:dyDescent="0.3">
      <c r="A562" s="2">
        <f t="shared" si="44"/>
        <v>46215.666666668025</v>
      </c>
      <c r="B562">
        <v>10.3</v>
      </c>
      <c r="C562" s="2">
        <f t="shared" si="40"/>
        <v>46215</v>
      </c>
      <c r="D562" s="1">
        <f t="shared" si="41"/>
        <v>16</v>
      </c>
      <c r="E562" t="str">
        <f t="shared" si="42"/>
        <v>Sunday</v>
      </c>
      <c r="F562">
        <f>Assumptions!$B$2</f>
        <v>0.5</v>
      </c>
      <c r="G562">
        <f t="shared" si="43"/>
        <v>5.15</v>
      </c>
    </row>
    <row r="563" spans="1:7" x14ac:dyDescent="0.3">
      <c r="A563" s="2">
        <f t="shared" si="44"/>
        <v>46215.687500001361</v>
      </c>
      <c r="B563">
        <v>12.6</v>
      </c>
      <c r="C563" s="2">
        <f t="shared" si="40"/>
        <v>46215</v>
      </c>
      <c r="D563" s="1">
        <f t="shared" si="41"/>
        <v>16.5</v>
      </c>
      <c r="E563" t="str">
        <f t="shared" si="42"/>
        <v>Sunday</v>
      </c>
      <c r="F563">
        <f>Assumptions!$B$2</f>
        <v>0.5</v>
      </c>
      <c r="G563">
        <f t="shared" si="43"/>
        <v>6.3</v>
      </c>
    </row>
    <row r="564" spans="1:7" x14ac:dyDescent="0.3">
      <c r="A564" s="2">
        <f t="shared" si="44"/>
        <v>46215.708333334696</v>
      </c>
      <c r="B564">
        <v>10.7</v>
      </c>
      <c r="C564" s="2">
        <f t="shared" si="40"/>
        <v>46215</v>
      </c>
      <c r="D564" s="1">
        <f t="shared" si="41"/>
        <v>17</v>
      </c>
      <c r="E564" t="str">
        <f t="shared" si="42"/>
        <v>Sunday</v>
      </c>
      <c r="F564">
        <f>Assumptions!$B$2</f>
        <v>0.5</v>
      </c>
      <c r="G564">
        <f t="shared" si="43"/>
        <v>5.35</v>
      </c>
    </row>
    <row r="565" spans="1:7" x14ac:dyDescent="0.3">
      <c r="A565" s="2">
        <f t="shared" si="44"/>
        <v>46215.729166668032</v>
      </c>
      <c r="B565">
        <v>17.8</v>
      </c>
      <c r="C565" s="2">
        <f t="shared" si="40"/>
        <v>46215</v>
      </c>
      <c r="D565" s="1">
        <f t="shared" si="41"/>
        <v>17.5</v>
      </c>
      <c r="E565" t="str">
        <f t="shared" si="42"/>
        <v>Sunday</v>
      </c>
      <c r="F565">
        <f>Assumptions!$B$2</f>
        <v>0.5</v>
      </c>
      <c r="G565">
        <f t="shared" si="43"/>
        <v>8.9</v>
      </c>
    </row>
    <row r="566" spans="1:7" x14ac:dyDescent="0.3">
      <c r="A566" s="2">
        <f t="shared" si="44"/>
        <v>46215.750000001368</v>
      </c>
      <c r="B566">
        <v>17.399999999999999</v>
      </c>
      <c r="C566" s="2">
        <f t="shared" si="40"/>
        <v>46215</v>
      </c>
      <c r="D566" s="1">
        <f t="shared" si="41"/>
        <v>18</v>
      </c>
      <c r="E566" t="str">
        <f t="shared" si="42"/>
        <v>Sunday</v>
      </c>
      <c r="F566">
        <f>Assumptions!$B$2</f>
        <v>0.5</v>
      </c>
      <c r="G566">
        <f t="shared" si="43"/>
        <v>8.6999999999999993</v>
      </c>
    </row>
    <row r="567" spans="1:7" x14ac:dyDescent="0.3">
      <c r="A567" s="2">
        <f t="shared" si="44"/>
        <v>46215.770833334704</v>
      </c>
      <c r="B567">
        <v>11.2</v>
      </c>
      <c r="C567" s="2">
        <f t="shared" si="40"/>
        <v>46215</v>
      </c>
      <c r="D567" s="1">
        <f t="shared" si="41"/>
        <v>18.5</v>
      </c>
      <c r="E567" t="str">
        <f t="shared" si="42"/>
        <v>Sunday</v>
      </c>
      <c r="F567">
        <f>Assumptions!$B$2</f>
        <v>0.5</v>
      </c>
      <c r="G567">
        <f t="shared" si="43"/>
        <v>5.6</v>
      </c>
    </row>
    <row r="568" spans="1:7" x14ac:dyDescent="0.3">
      <c r="A568" s="2">
        <f t="shared" si="44"/>
        <v>46215.791666668039</v>
      </c>
      <c r="B568">
        <v>4.7</v>
      </c>
      <c r="C568" s="2">
        <f t="shared" si="40"/>
        <v>46215</v>
      </c>
      <c r="D568" s="1">
        <f t="shared" si="41"/>
        <v>19</v>
      </c>
      <c r="E568" t="str">
        <f t="shared" si="42"/>
        <v>Sunday</v>
      </c>
      <c r="F568">
        <f>Assumptions!$B$2</f>
        <v>0.5</v>
      </c>
      <c r="G568">
        <f t="shared" si="43"/>
        <v>2.35</v>
      </c>
    </row>
    <row r="569" spans="1:7" x14ac:dyDescent="0.3">
      <c r="A569" s="2">
        <f t="shared" si="44"/>
        <v>46215.812500001375</v>
      </c>
      <c r="B569">
        <v>7.3</v>
      </c>
      <c r="C569" s="2">
        <f t="shared" si="40"/>
        <v>46215</v>
      </c>
      <c r="D569" s="1">
        <f t="shared" si="41"/>
        <v>19.5</v>
      </c>
      <c r="E569" t="str">
        <f t="shared" si="42"/>
        <v>Sunday</v>
      </c>
      <c r="F569">
        <f>Assumptions!$B$2</f>
        <v>0.5</v>
      </c>
      <c r="G569">
        <f t="shared" si="43"/>
        <v>3.65</v>
      </c>
    </row>
    <row r="570" spans="1:7" x14ac:dyDescent="0.3">
      <c r="A570" s="2">
        <f t="shared" si="44"/>
        <v>46215.833333334711</v>
      </c>
      <c r="B570">
        <v>8</v>
      </c>
      <c r="C570" s="2">
        <f t="shared" si="40"/>
        <v>46215</v>
      </c>
      <c r="D570" s="1">
        <f t="shared" si="41"/>
        <v>20</v>
      </c>
      <c r="E570" t="str">
        <f t="shared" si="42"/>
        <v>Sunday</v>
      </c>
      <c r="F570">
        <f>Assumptions!$B$2</f>
        <v>0.5</v>
      </c>
      <c r="G570">
        <f t="shared" si="43"/>
        <v>4</v>
      </c>
    </row>
    <row r="571" spans="1:7" x14ac:dyDescent="0.3">
      <c r="A571" s="2">
        <f t="shared" si="44"/>
        <v>46215.854166668047</v>
      </c>
      <c r="B571">
        <v>5.9</v>
      </c>
      <c r="C571" s="2">
        <f t="shared" si="40"/>
        <v>46215</v>
      </c>
      <c r="D571" s="1">
        <f t="shared" si="41"/>
        <v>20.5</v>
      </c>
      <c r="E571" t="str">
        <f t="shared" si="42"/>
        <v>Sunday</v>
      </c>
      <c r="F571">
        <f>Assumptions!$B$2</f>
        <v>0.5</v>
      </c>
      <c r="G571">
        <f t="shared" si="43"/>
        <v>2.95</v>
      </c>
    </row>
    <row r="572" spans="1:7" x14ac:dyDescent="0.3">
      <c r="A572" s="2">
        <f t="shared" si="44"/>
        <v>46215.875000001382</v>
      </c>
      <c r="B572">
        <v>4.3</v>
      </c>
      <c r="C572" s="2">
        <f t="shared" si="40"/>
        <v>46215</v>
      </c>
      <c r="D572" s="1">
        <f t="shared" si="41"/>
        <v>21</v>
      </c>
      <c r="E572" t="str">
        <f t="shared" si="42"/>
        <v>Sunday</v>
      </c>
      <c r="F572">
        <f>Assumptions!$B$2</f>
        <v>0.5</v>
      </c>
      <c r="G572">
        <f t="shared" si="43"/>
        <v>2.15</v>
      </c>
    </row>
    <row r="573" spans="1:7" x14ac:dyDescent="0.3">
      <c r="A573" s="2">
        <f t="shared" si="44"/>
        <v>46215.895833334718</v>
      </c>
      <c r="B573">
        <v>5.3</v>
      </c>
      <c r="C573" s="2">
        <f t="shared" si="40"/>
        <v>46215</v>
      </c>
      <c r="D573" s="1">
        <f t="shared" si="41"/>
        <v>21.5</v>
      </c>
      <c r="E573" t="str">
        <f t="shared" si="42"/>
        <v>Sunday</v>
      </c>
      <c r="F573">
        <f>Assumptions!$B$2</f>
        <v>0.5</v>
      </c>
      <c r="G573">
        <f t="shared" si="43"/>
        <v>2.65</v>
      </c>
    </row>
    <row r="574" spans="1:7" x14ac:dyDescent="0.3">
      <c r="A574" s="2">
        <f t="shared" si="44"/>
        <v>46215.916666668054</v>
      </c>
      <c r="B574">
        <v>4.0999999999999996</v>
      </c>
      <c r="C574" s="2">
        <f t="shared" si="40"/>
        <v>46215</v>
      </c>
      <c r="D574" s="1">
        <f t="shared" si="41"/>
        <v>22</v>
      </c>
      <c r="E574" t="str">
        <f t="shared" si="42"/>
        <v>Sunday</v>
      </c>
      <c r="F574">
        <f>Assumptions!$B$2</f>
        <v>0.5</v>
      </c>
      <c r="G574">
        <f t="shared" si="43"/>
        <v>2.0499999999999998</v>
      </c>
    </row>
    <row r="575" spans="1:7" x14ac:dyDescent="0.3">
      <c r="A575" s="2">
        <f t="shared" si="44"/>
        <v>46215.93750000139</v>
      </c>
      <c r="B575">
        <v>6.6</v>
      </c>
      <c r="C575" s="2">
        <f t="shared" si="40"/>
        <v>46215</v>
      </c>
      <c r="D575" s="1">
        <f t="shared" si="41"/>
        <v>22.5</v>
      </c>
      <c r="E575" t="str">
        <f t="shared" si="42"/>
        <v>Sunday</v>
      </c>
      <c r="F575">
        <f>Assumptions!$B$2</f>
        <v>0.5</v>
      </c>
      <c r="G575">
        <f t="shared" si="43"/>
        <v>3.3</v>
      </c>
    </row>
    <row r="576" spans="1:7" x14ac:dyDescent="0.3">
      <c r="A576" s="2">
        <f t="shared" si="44"/>
        <v>46215.958333334725</v>
      </c>
      <c r="B576">
        <v>3.4</v>
      </c>
      <c r="C576" s="2">
        <f t="shared" si="40"/>
        <v>46215</v>
      </c>
      <c r="D576" s="1">
        <f t="shared" si="41"/>
        <v>23</v>
      </c>
      <c r="E576" t="str">
        <f t="shared" si="42"/>
        <v>Sunday</v>
      </c>
      <c r="F576">
        <f>Assumptions!$B$2</f>
        <v>0.5</v>
      </c>
      <c r="G576">
        <f t="shared" si="43"/>
        <v>1.7</v>
      </c>
    </row>
    <row r="577" spans="1:7" x14ac:dyDescent="0.3">
      <c r="A577" s="2">
        <f t="shared" si="44"/>
        <v>46215.979166668061</v>
      </c>
      <c r="B577">
        <v>5</v>
      </c>
      <c r="C577" s="2">
        <f t="shared" si="40"/>
        <v>46215</v>
      </c>
      <c r="D577" s="1">
        <f t="shared" si="41"/>
        <v>23.5</v>
      </c>
      <c r="E577" t="str">
        <f t="shared" si="42"/>
        <v>Sunday</v>
      </c>
      <c r="F577">
        <f>Assumptions!$B$2</f>
        <v>0.5</v>
      </c>
      <c r="G577">
        <f t="shared" si="43"/>
        <v>2.5</v>
      </c>
    </row>
    <row r="578" spans="1:7" x14ac:dyDescent="0.3">
      <c r="A578" s="2">
        <f t="shared" si="44"/>
        <v>46216.000000001397</v>
      </c>
      <c r="B578">
        <v>2.1</v>
      </c>
      <c r="C578" s="2">
        <f t="shared" si="40"/>
        <v>46216</v>
      </c>
      <c r="D578" s="1">
        <f t="shared" si="41"/>
        <v>0</v>
      </c>
      <c r="E578" t="str">
        <f t="shared" si="42"/>
        <v>Monday</v>
      </c>
      <c r="F578">
        <f>Assumptions!$B$2</f>
        <v>0.5</v>
      </c>
      <c r="G578">
        <f t="shared" si="43"/>
        <v>1.05</v>
      </c>
    </row>
    <row r="579" spans="1:7" x14ac:dyDescent="0.3">
      <c r="A579" s="2">
        <f t="shared" si="44"/>
        <v>46216.020833334733</v>
      </c>
      <c r="B579">
        <v>2.9</v>
      </c>
      <c r="C579" s="2">
        <f t="shared" ref="C579:C642" si="45">INT(A579)</f>
        <v>46216</v>
      </c>
      <c r="D579" s="1">
        <f t="shared" ref="D579:D642" si="46">HOUR(A579)+MINUTE(A579)/60</f>
        <v>0.5</v>
      </c>
      <c r="E579" t="str">
        <f t="shared" ref="E579:E642" si="47">TEXT(A579,"dddd")</f>
        <v>Monday</v>
      </c>
      <c r="F579">
        <f>Assumptions!$B$2</f>
        <v>0.5</v>
      </c>
      <c r="G579">
        <f t="shared" ref="G579:G642" si="48">B579*F579</f>
        <v>1.45</v>
      </c>
    </row>
    <row r="580" spans="1:7" x14ac:dyDescent="0.3">
      <c r="A580" s="2">
        <f t="shared" ref="A580:A643" si="49">A579+TIME(0,30,0)</f>
        <v>46216.041666668069</v>
      </c>
      <c r="B580">
        <v>2.7</v>
      </c>
      <c r="C580" s="2">
        <f t="shared" si="45"/>
        <v>46216</v>
      </c>
      <c r="D580" s="1">
        <f t="shared" si="46"/>
        <v>1</v>
      </c>
      <c r="E580" t="str">
        <f t="shared" si="47"/>
        <v>Monday</v>
      </c>
      <c r="F580">
        <f>Assumptions!$B$2</f>
        <v>0.5</v>
      </c>
      <c r="G580">
        <f t="shared" si="48"/>
        <v>1.35</v>
      </c>
    </row>
    <row r="581" spans="1:7" x14ac:dyDescent="0.3">
      <c r="A581" s="2">
        <f t="shared" si="49"/>
        <v>46216.062500001404</v>
      </c>
      <c r="B581">
        <v>2</v>
      </c>
      <c r="C581" s="2">
        <f t="shared" si="45"/>
        <v>46216</v>
      </c>
      <c r="D581" s="1">
        <f t="shared" si="46"/>
        <v>1.5</v>
      </c>
      <c r="E581" t="str">
        <f t="shared" si="47"/>
        <v>Monday</v>
      </c>
      <c r="F581">
        <f>Assumptions!$B$2</f>
        <v>0.5</v>
      </c>
      <c r="G581">
        <f t="shared" si="48"/>
        <v>1</v>
      </c>
    </row>
    <row r="582" spans="1:7" x14ac:dyDescent="0.3">
      <c r="A582" s="2">
        <f t="shared" si="49"/>
        <v>46216.08333333474</v>
      </c>
      <c r="B582">
        <v>2.5</v>
      </c>
      <c r="C582" s="2">
        <f t="shared" si="45"/>
        <v>46216</v>
      </c>
      <c r="D582" s="1">
        <f t="shared" si="46"/>
        <v>2</v>
      </c>
      <c r="E582" t="str">
        <f t="shared" si="47"/>
        <v>Monday</v>
      </c>
      <c r="F582">
        <f>Assumptions!$B$2</f>
        <v>0.5</v>
      </c>
      <c r="G582">
        <f t="shared" si="48"/>
        <v>1.25</v>
      </c>
    </row>
    <row r="583" spans="1:7" x14ac:dyDescent="0.3">
      <c r="A583" s="2">
        <f t="shared" si="49"/>
        <v>46216.104166668076</v>
      </c>
      <c r="B583">
        <v>2.8</v>
      </c>
      <c r="C583" s="2">
        <f t="shared" si="45"/>
        <v>46216</v>
      </c>
      <c r="D583" s="1">
        <f t="shared" si="46"/>
        <v>2.5</v>
      </c>
      <c r="E583" t="str">
        <f t="shared" si="47"/>
        <v>Monday</v>
      </c>
      <c r="F583">
        <f>Assumptions!$B$2</f>
        <v>0.5</v>
      </c>
      <c r="G583">
        <f t="shared" si="48"/>
        <v>1.4</v>
      </c>
    </row>
    <row r="584" spans="1:7" x14ac:dyDescent="0.3">
      <c r="A584" s="2">
        <f t="shared" si="49"/>
        <v>46216.125000001412</v>
      </c>
      <c r="B584">
        <v>2.6</v>
      </c>
      <c r="C584" s="2">
        <f t="shared" si="45"/>
        <v>46216</v>
      </c>
      <c r="D584" s="1">
        <f t="shared" si="46"/>
        <v>3</v>
      </c>
      <c r="E584" t="str">
        <f t="shared" si="47"/>
        <v>Monday</v>
      </c>
      <c r="F584">
        <f>Assumptions!$B$2</f>
        <v>0.5</v>
      </c>
      <c r="G584">
        <f t="shared" si="48"/>
        <v>1.3</v>
      </c>
    </row>
    <row r="585" spans="1:7" x14ac:dyDescent="0.3">
      <c r="A585" s="2">
        <f t="shared" si="49"/>
        <v>46216.145833334747</v>
      </c>
      <c r="B585">
        <v>2.4</v>
      </c>
      <c r="C585" s="2">
        <f t="shared" si="45"/>
        <v>46216</v>
      </c>
      <c r="D585" s="1">
        <f t="shared" si="46"/>
        <v>3.5</v>
      </c>
      <c r="E585" t="str">
        <f t="shared" si="47"/>
        <v>Monday</v>
      </c>
      <c r="F585">
        <f>Assumptions!$B$2</f>
        <v>0.5</v>
      </c>
      <c r="G585">
        <f t="shared" si="48"/>
        <v>1.2</v>
      </c>
    </row>
    <row r="586" spans="1:7" x14ac:dyDescent="0.3">
      <c r="A586" s="2">
        <f t="shared" si="49"/>
        <v>46216.166666668083</v>
      </c>
      <c r="B586">
        <v>2.9</v>
      </c>
      <c r="C586" s="2">
        <f t="shared" si="45"/>
        <v>46216</v>
      </c>
      <c r="D586" s="1">
        <f t="shared" si="46"/>
        <v>4</v>
      </c>
      <c r="E586" t="str">
        <f t="shared" si="47"/>
        <v>Monday</v>
      </c>
      <c r="F586">
        <f>Assumptions!$B$2</f>
        <v>0.5</v>
      </c>
      <c r="G586">
        <f t="shared" si="48"/>
        <v>1.45</v>
      </c>
    </row>
    <row r="587" spans="1:7" x14ac:dyDescent="0.3">
      <c r="A587" s="2">
        <f t="shared" si="49"/>
        <v>46216.187500001419</v>
      </c>
      <c r="B587">
        <v>2.8</v>
      </c>
      <c r="C587" s="2">
        <f t="shared" si="45"/>
        <v>46216</v>
      </c>
      <c r="D587" s="1">
        <f t="shared" si="46"/>
        <v>4.5</v>
      </c>
      <c r="E587" t="str">
        <f t="shared" si="47"/>
        <v>Monday</v>
      </c>
      <c r="F587">
        <f>Assumptions!$B$2</f>
        <v>0.5</v>
      </c>
      <c r="G587">
        <f t="shared" si="48"/>
        <v>1.4</v>
      </c>
    </row>
    <row r="588" spans="1:7" x14ac:dyDescent="0.3">
      <c r="A588" s="2">
        <f t="shared" si="49"/>
        <v>46216.208333334755</v>
      </c>
      <c r="B588">
        <v>2.2000000000000002</v>
      </c>
      <c r="C588" s="2">
        <f t="shared" si="45"/>
        <v>46216</v>
      </c>
      <c r="D588" s="1">
        <f t="shared" si="46"/>
        <v>5</v>
      </c>
      <c r="E588" t="str">
        <f t="shared" si="47"/>
        <v>Monday</v>
      </c>
      <c r="F588">
        <f>Assumptions!$B$2</f>
        <v>0.5</v>
      </c>
      <c r="G588">
        <f t="shared" si="48"/>
        <v>1.1000000000000001</v>
      </c>
    </row>
    <row r="589" spans="1:7" x14ac:dyDescent="0.3">
      <c r="A589" s="2">
        <f t="shared" si="49"/>
        <v>46216.22916666809</v>
      </c>
      <c r="B589">
        <v>2.4</v>
      </c>
      <c r="C589" s="2">
        <f t="shared" si="45"/>
        <v>46216</v>
      </c>
      <c r="D589" s="1">
        <f t="shared" si="46"/>
        <v>5.5</v>
      </c>
      <c r="E589" t="str">
        <f t="shared" si="47"/>
        <v>Monday</v>
      </c>
      <c r="F589">
        <f>Assumptions!$B$2</f>
        <v>0.5</v>
      </c>
      <c r="G589">
        <f t="shared" si="48"/>
        <v>1.2</v>
      </c>
    </row>
    <row r="590" spans="1:7" x14ac:dyDescent="0.3">
      <c r="A590" s="2">
        <f t="shared" si="49"/>
        <v>46216.250000001426</v>
      </c>
      <c r="B590">
        <v>7.4</v>
      </c>
      <c r="C590" s="2">
        <f t="shared" si="45"/>
        <v>46216</v>
      </c>
      <c r="D590" s="1">
        <f t="shared" si="46"/>
        <v>6</v>
      </c>
      <c r="E590" t="str">
        <f t="shared" si="47"/>
        <v>Monday</v>
      </c>
      <c r="F590">
        <f>Assumptions!$B$2</f>
        <v>0.5</v>
      </c>
      <c r="G590">
        <f t="shared" si="48"/>
        <v>3.7</v>
      </c>
    </row>
    <row r="591" spans="1:7" x14ac:dyDescent="0.3">
      <c r="A591" s="2">
        <f t="shared" si="49"/>
        <v>46216.270833334762</v>
      </c>
      <c r="B591">
        <v>4.7</v>
      </c>
      <c r="C591" s="2">
        <f t="shared" si="45"/>
        <v>46216</v>
      </c>
      <c r="D591" s="1">
        <f t="shared" si="46"/>
        <v>6.5</v>
      </c>
      <c r="E591" t="str">
        <f t="shared" si="47"/>
        <v>Monday</v>
      </c>
      <c r="F591">
        <f>Assumptions!$B$2</f>
        <v>0.5</v>
      </c>
      <c r="G591">
        <f t="shared" si="48"/>
        <v>2.35</v>
      </c>
    </row>
    <row r="592" spans="1:7" x14ac:dyDescent="0.3">
      <c r="A592" s="2">
        <f t="shared" si="49"/>
        <v>46216.291666668098</v>
      </c>
      <c r="B592">
        <v>4.0999999999999996</v>
      </c>
      <c r="C592" s="2">
        <f t="shared" si="45"/>
        <v>46216</v>
      </c>
      <c r="D592" s="1">
        <f t="shared" si="46"/>
        <v>7</v>
      </c>
      <c r="E592" t="str">
        <f t="shared" si="47"/>
        <v>Monday</v>
      </c>
      <c r="F592">
        <f>Assumptions!$B$2</f>
        <v>0.5</v>
      </c>
      <c r="G592">
        <f t="shared" si="48"/>
        <v>2.0499999999999998</v>
      </c>
    </row>
    <row r="593" spans="1:7" x14ac:dyDescent="0.3">
      <c r="A593" s="2">
        <f t="shared" si="49"/>
        <v>46216.312500001433</v>
      </c>
      <c r="B593">
        <v>6.5</v>
      </c>
      <c r="C593" s="2">
        <f t="shared" si="45"/>
        <v>46216</v>
      </c>
      <c r="D593" s="1">
        <f t="shared" si="46"/>
        <v>7.5</v>
      </c>
      <c r="E593" t="str">
        <f t="shared" si="47"/>
        <v>Monday</v>
      </c>
      <c r="F593">
        <f>Assumptions!$B$2</f>
        <v>0.5</v>
      </c>
      <c r="G593">
        <f t="shared" si="48"/>
        <v>3.25</v>
      </c>
    </row>
    <row r="594" spans="1:7" x14ac:dyDescent="0.3">
      <c r="A594" s="2">
        <f t="shared" si="49"/>
        <v>46216.333333334769</v>
      </c>
      <c r="B594">
        <v>16.3</v>
      </c>
      <c r="C594" s="2">
        <f t="shared" si="45"/>
        <v>46216</v>
      </c>
      <c r="D594" s="1">
        <f t="shared" si="46"/>
        <v>8</v>
      </c>
      <c r="E594" t="str">
        <f t="shared" si="47"/>
        <v>Monday</v>
      </c>
      <c r="F594">
        <f>Assumptions!$B$2</f>
        <v>0.5</v>
      </c>
      <c r="G594">
        <f t="shared" si="48"/>
        <v>8.15</v>
      </c>
    </row>
    <row r="595" spans="1:7" x14ac:dyDescent="0.3">
      <c r="A595" s="2">
        <f t="shared" si="49"/>
        <v>46216.354166668105</v>
      </c>
      <c r="B595">
        <v>16.3</v>
      </c>
      <c r="C595" s="2">
        <f t="shared" si="45"/>
        <v>46216</v>
      </c>
      <c r="D595" s="1">
        <f t="shared" si="46"/>
        <v>8.5</v>
      </c>
      <c r="E595" t="str">
        <f t="shared" si="47"/>
        <v>Monday</v>
      </c>
      <c r="F595">
        <f>Assumptions!$B$2</f>
        <v>0.5</v>
      </c>
      <c r="G595">
        <f t="shared" si="48"/>
        <v>8.15</v>
      </c>
    </row>
    <row r="596" spans="1:7" x14ac:dyDescent="0.3">
      <c r="A596" s="2">
        <f t="shared" si="49"/>
        <v>46216.375000001441</v>
      </c>
      <c r="B596">
        <v>13.6</v>
      </c>
      <c r="C596" s="2">
        <f t="shared" si="45"/>
        <v>46216</v>
      </c>
      <c r="D596" s="1">
        <f t="shared" si="46"/>
        <v>9</v>
      </c>
      <c r="E596" t="str">
        <f t="shared" si="47"/>
        <v>Monday</v>
      </c>
      <c r="F596">
        <f>Assumptions!$B$2</f>
        <v>0.5</v>
      </c>
      <c r="G596">
        <f t="shared" si="48"/>
        <v>6.8</v>
      </c>
    </row>
    <row r="597" spans="1:7" x14ac:dyDescent="0.3">
      <c r="A597" s="2">
        <f t="shared" si="49"/>
        <v>46216.395833334776</v>
      </c>
      <c r="B597">
        <v>14.5</v>
      </c>
      <c r="C597" s="2">
        <f t="shared" si="45"/>
        <v>46216</v>
      </c>
      <c r="D597" s="1">
        <f t="shared" si="46"/>
        <v>9.5</v>
      </c>
      <c r="E597" t="str">
        <f t="shared" si="47"/>
        <v>Monday</v>
      </c>
      <c r="F597">
        <f>Assumptions!$B$2</f>
        <v>0.5</v>
      </c>
      <c r="G597">
        <f t="shared" si="48"/>
        <v>7.25</v>
      </c>
    </row>
    <row r="598" spans="1:7" x14ac:dyDescent="0.3">
      <c r="A598" s="2">
        <f t="shared" si="49"/>
        <v>46216.416666668112</v>
      </c>
      <c r="B598">
        <v>12.9</v>
      </c>
      <c r="C598" s="2">
        <f t="shared" si="45"/>
        <v>46216</v>
      </c>
      <c r="D598" s="1">
        <f t="shared" si="46"/>
        <v>10</v>
      </c>
      <c r="E598" t="str">
        <f t="shared" si="47"/>
        <v>Monday</v>
      </c>
      <c r="F598">
        <f>Assumptions!$B$2</f>
        <v>0.5</v>
      </c>
      <c r="G598">
        <f t="shared" si="48"/>
        <v>6.45</v>
      </c>
    </row>
    <row r="599" spans="1:7" x14ac:dyDescent="0.3">
      <c r="A599" s="2">
        <f t="shared" si="49"/>
        <v>46216.437500001448</v>
      </c>
      <c r="B599">
        <v>20.100000000000001</v>
      </c>
      <c r="C599" s="2">
        <f t="shared" si="45"/>
        <v>46216</v>
      </c>
      <c r="D599" s="1">
        <f t="shared" si="46"/>
        <v>10.5</v>
      </c>
      <c r="E599" t="str">
        <f t="shared" si="47"/>
        <v>Monday</v>
      </c>
      <c r="F599">
        <f>Assumptions!$B$2</f>
        <v>0.5</v>
      </c>
      <c r="G599">
        <f t="shared" si="48"/>
        <v>10.050000000000001</v>
      </c>
    </row>
    <row r="600" spans="1:7" x14ac:dyDescent="0.3">
      <c r="A600" s="2">
        <f t="shared" si="49"/>
        <v>46216.458333334784</v>
      </c>
      <c r="B600">
        <v>19.399999999999999</v>
      </c>
      <c r="C600" s="2">
        <f t="shared" si="45"/>
        <v>46216</v>
      </c>
      <c r="D600" s="1">
        <f t="shared" si="46"/>
        <v>11</v>
      </c>
      <c r="E600" t="str">
        <f t="shared" si="47"/>
        <v>Monday</v>
      </c>
      <c r="F600">
        <f>Assumptions!$B$2</f>
        <v>0.5</v>
      </c>
      <c r="G600">
        <f t="shared" si="48"/>
        <v>9.6999999999999993</v>
      </c>
    </row>
    <row r="601" spans="1:7" x14ac:dyDescent="0.3">
      <c r="A601" s="2">
        <f t="shared" si="49"/>
        <v>46216.479166668119</v>
      </c>
      <c r="B601">
        <v>15.5</v>
      </c>
      <c r="C601" s="2">
        <f t="shared" si="45"/>
        <v>46216</v>
      </c>
      <c r="D601" s="1">
        <f t="shared" si="46"/>
        <v>11.5</v>
      </c>
      <c r="E601" t="str">
        <f t="shared" si="47"/>
        <v>Monday</v>
      </c>
      <c r="F601">
        <f>Assumptions!$B$2</f>
        <v>0.5</v>
      </c>
      <c r="G601">
        <f t="shared" si="48"/>
        <v>7.75</v>
      </c>
    </row>
    <row r="602" spans="1:7" x14ac:dyDescent="0.3">
      <c r="A602" s="2">
        <f t="shared" si="49"/>
        <v>46216.500000001455</v>
      </c>
      <c r="B602">
        <v>33</v>
      </c>
      <c r="C602" s="2">
        <f t="shared" si="45"/>
        <v>46216</v>
      </c>
      <c r="D602" s="1">
        <f t="shared" si="46"/>
        <v>12</v>
      </c>
      <c r="E602" t="str">
        <f t="shared" si="47"/>
        <v>Monday</v>
      </c>
      <c r="F602">
        <f>Assumptions!$B$2</f>
        <v>0.5</v>
      </c>
      <c r="G602">
        <f t="shared" si="48"/>
        <v>16.5</v>
      </c>
    </row>
    <row r="603" spans="1:7" x14ac:dyDescent="0.3">
      <c r="A603" s="2">
        <f t="shared" si="49"/>
        <v>46216.520833334791</v>
      </c>
      <c r="B603">
        <v>25.5</v>
      </c>
      <c r="C603" s="2">
        <f t="shared" si="45"/>
        <v>46216</v>
      </c>
      <c r="D603" s="1">
        <f t="shared" si="46"/>
        <v>12.5</v>
      </c>
      <c r="E603" t="str">
        <f t="shared" si="47"/>
        <v>Monday</v>
      </c>
      <c r="F603">
        <f>Assumptions!$B$2</f>
        <v>0.5</v>
      </c>
      <c r="G603">
        <f t="shared" si="48"/>
        <v>12.75</v>
      </c>
    </row>
    <row r="604" spans="1:7" x14ac:dyDescent="0.3">
      <c r="A604" s="2">
        <f t="shared" si="49"/>
        <v>46216.541666668127</v>
      </c>
      <c r="B604">
        <v>19.399999999999999</v>
      </c>
      <c r="C604" s="2">
        <f t="shared" si="45"/>
        <v>46216</v>
      </c>
      <c r="D604" s="1">
        <f t="shared" si="46"/>
        <v>13</v>
      </c>
      <c r="E604" t="str">
        <f t="shared" si="47"/>
        <v>Monday</v>
      </c>
      <c r="F604">
        <f>Assumptions!$B$2</f>
        <v>0.5</v>
      </c>
      <c r="G604">
        <f t="shared" si="48"/>
        <v>9.6999999999999993</v>
      </c>
    </row>
    <row r="605" spans="1:7" x14ac:dyDescent="0.3">
      <c r="A605" s="2">
        <f t="shared" si="49"/>
        <v>46216.562500001462</v>
      </c>
      <c r="B605">
        <v>24.6</v>
      </c>
      <c r="C605" s="2">
        <f t="shared" si="45"/>
        <v>46216</v>
      </c>
      <c r="D605" s="1">
        <f t="shared" si="46"/>
        <v>13.5</v>
      </c>
      <c r="E605" t="str">
        <f t="shared" si="47"/>
        <v>Monday</v>
      </c>
      <c r="F605">
        <f>Assumptions!$B$2</f>
        <v>0.5</v>
      </c>
      <c r="G605">
        <f t="shared" si="48"/>
        <v>12.3</v>
      </c>
    </row>
    <row r="606" spans="1:7" x14ac:dyDescent="0.3">
      <c r="A606" s="2">
        <f t="shared" si="49"/>
        <v>46216.583333334798</v>
      </c>
      <c r="B606">
        <v>33.200000000000003</v>
      </c>
      <c r="C606" s="2">
        <f t="shared" si="45"/>
        <v>46216</v>
      </c>
      <c r="D606" s="1">
        <f t="shared" si="46"/>
        <v>14</v>
      </c>
      <c r="E606" t="str">
        <f t="shared" si="47"/>
        <v>Monday</v>
      </c>
      <c r="F606">
        <f>Assumptions!$B$2</f>
        <v>0.5</v>
      </c>
      <c r="G606">
        <f t="shared" si="48"/>
        <v>16.600000000000001</v>
      </c>
    </row>
    <row r="607" spans="1:7" x14ac:dyDescent="0.3">
      <c r="A607" s="2">
        <f t="shared" si="49"/>
        <v>46216.604166668134</v>
      </c>
      <c r="B607">
        <v>34.9</v>
      </c>
      <c r="C607" s="2">
        <f t="shared" si="45"/>
        <v>46216</v>
      </c>
      <c r="D607" s="1">
        <f t="shared" si="46"/>
        <v>14.5</v>
      </c>
      <c r="E607" t="str">
        <f t="shared" si="47"/>
        <v>Monday</v>
      </c>
      <c r="F607">
        <f>Assumptions!$B$2</f>
        <v>0.5</v>
      </c>
      <c r="G607">
        <f t="shared" si="48"/>
        <v>17.45</v>
      </c>
    </row>
    <row r="608" spans="1:7" x14ac:dyDescent="0.3">
      <c r="A608" s="2">
        <f t="shared" si="49"/>
        <v>46216.62500000147</v>
      </c>
      <c r="B608">
        <v>19.899999999999999</v>
      </c>
      <c r="C608" s="2">
        <f t="shared" si="45"/>
        <v>46216</v>
      </c>
      <c r="D608" s="1">
        <f t="shared" si="46"/>
        <v>15</v>
      </c>
      <c r="E608" t="str">
        <f t="shared" si="47"/>
        <v>Monday</v>
      </c>
      <c r="F608">
        <f>Assumptions!$B$2</f>
        <v>0.5</v>
      </c>
      <c r="G608">
        <f t="shared" si="48"/>
        <v>9.9499999999999993</v>
      </c>
    </row>
    <row r="609" spans="1:7" x14ac:dyDescent="0.3">
      <c r="A609" s="2">
        <f t="shared" si="49"/>
        <v>46216.645833334806</v>
      </c>
      <c r="B609">
        <v>19.899999999999999</v>
      </c>
      <c r="C609" s="2">
        <f t="shared" si="45"/>
        <v>46216</v>
      </c>
      <c r="D609" s="1">
        <f t="shared" si="46"/>
        <v>15.5</v>
      </c>
      <c r="E609" t="str">
        <f t="shared" si="47"/>
        <v>Monday</v>
      </c>
      <c r="F609">
        <f>Assumptions!$B$2</f>
        <v>0.5</v>
      </c>
      <c r="G609">
        <f t="shared" si="48"/>
        <v>9.9499999999999993</v>
      </c>
    </row>
    <row r="610" spans="1:7" x14ac:dyDescent="0.3">
      <c r="A610" s="2">
        <f t="shared" si="49"/>
        <v>46216.666666668141</v>
      </c>
      <c r="B610">
        <v>13.2</v>
      </c>
      <c r="C610" s="2">
        <f t="shared" si="45"/>
        <v>46216</v>
      </c>
      <c r="D610" s="1">
        <f t="shared" si="46"/>
        <v>16</v>
      </c>
      <c r="E610" t="str">
        <f t="shared" si="47"/>
        <v>Monday</v>
      </c>
      <c r="F610">
        <f>Assumptions!$B$2</f>
        <v>0.5</v>
      </c>
      <c r="G610">
        <f t="shared" si="48"/>
        <v>6.6</v>
      </c>
    </row>
    <row r="611" spans="1:7" x14ac:dyDescent="0.3">
      <c r="A611" s="2">
        <f t="shared" si="49"/>
        <v>46216.687500001477</v>
      </c>
      <c r="B611">
        <v>16.8</v>
      </c>
      <c r="C611" s="2">
        <f t="shared" si="45"/>
        <v>46216</v>
      </c>
      <c r="D611" s="1">
        <f t="shared" si="46"/>
        <v>16.5</v>
      </c>
      <c r="E611" t="str">
        <f t="shared" si="47"/>
        <v>Monday</v>
      </c>
      <c r="F611">
        <f>Assumptions!$B$2</f>
        <v>0.5</v>
      </c>
      <c r="G611">
        <f t="shared" si="48"/>
        <v>8.4</v>
      </c>
    </row>
    <row r="612" spans="1:7" x14ac:dyDescent="0.3">
      <c r="A612" s="2">
        <f t="shared" si="49"/>
        <v>46216.708333334813</v>
      </c>
      <c r="B612">
        <v>16.2</v>
      </c>
      <c r="C612" s="2">
        <f t="shared" si="45"/>
        <v>46216</v>
      </c>
      <c r="D612" s="1">
        <f t="shared" si="46"/>
        <v>17</v>
      </c>
      <c r="E612" t="str">
        <f t="shared" si="47"/>
        <v>Monday</v>
      </c>
      <c r="F612">
        <f>Assumptions!$B$2</f>
        <v>0.5</v>
      </c>
      <c r="G612">
        <f t="shared" si="48"/>
        <v>8.1</v>
      </c>
    </row>
    <row r="613" spans="1:7" x14ac:dyDescent="0.3">
      <c r="A613" s="2">
        <f t="shared" si="49"/>
        <v>46216.729166668149</v>
      </c>
      <c r="B613">
        <v>18.100000000000001</v>
      </c>
      <c r="C613" s="2">
        <f t="shared" si="45"/>
        <v>46216</v>
      </c>
      <c r="D613" s="1">
        <f t="shared" si="46"/>
        <v>17.5</v>
      </c>
      <c r="E613" t="str">
        <f t="shared" si="47"/>
        <v>Monday</v>
      </c>
      <c r="F613">
        <f>Assumptions!$B$2</f>
        <v>0.5</v>
      </c>
      <c r="G613">
        <f t="shared" si="48"/>
        <v>9.0500000000000007</v>
      </c>
    </row>
    <row r="614" spans="1:7" x14ac:dyDescent="0.3">
      <c r="A614" s="2">
        <f t="shared" si="49"/>
        <v>46216.750000001484</v>
      </c>
      <c r="B614">
        <v>14.3</v>
      </c>
      <c r="C614" s="2">
        <f t="shared" si="45"/>
        <v>46216</v>
      </c>
      <c r="D614" s="1">
        <f t="shared" si="46"/>
        <v>18</v>
      </c>
      <c r="E614" t="str">
        <f t="shared" si="47"/>
        <v>Monday</v>
      </c>
      <c r="F614">
        <f>Assumptions!$B$2</f>
        <v>0.5</v>
      </c>
      <c r="G614">
        <f t="shared" si="48"/>
        <v>7.15</v>
      </c>
    </row>
    <row r="615" spans="1:7" x14ac:dyDescent="0.3">
      <c r="A615" s="2">
        <f t="shared" si="49"/>
        <v>46216.77083333482</v>
      </c>
      <c r="B615">
        <v>18.5</v>
      </c>
      <c r="C615" s="2">
        <f t="shared" si="45"/>
        <v>46216</v>
      </c>
      <c r="D615" s="1">
        <f t="shared" si="46"/>
        <v>18.5</v>
      </c>
      <c r="E615" t="str">
        <f t="shared" si="47"/>
        <v>Monday</v>
      </c>
      <c r="F615">
        <f>Assumptions!$B$2</f>
        <v>0.5</v>
      </c>
      <c r="G615">
        <f t="shared" si="48"/>
        <v>9.25</v>
      </c>
    </row>
    <row r="616" spans="1:7" x14ac:dyDescent="0.3">
      <c r="A616" s="2">
        <f t="shared" si="49"/>
        <v>46216.791666668156</v>
      </c>
      <c r="B616">
        <v>5.6</v>
      </c>
      <c r="C616" s="2">
        <f t="shared" si="45"/>
        <v>46216</v>
      </c>
      <c r="D616" s="1">
        <f t="shared" si="46"/>
        <v>19</v>
      </c>
      <c r="E616" t="str">
        <f t="shared" si="47"/>
        <v>Monday</v>
      </c>
      <c r="F616">
        <f>Assumptions!$B$2</f>
        <v>0.5</v>
      </c>
      <c r="G616">
        <f t="shared" si="48"/>
        <v>2.8</v>
      </c>
    </row>
    <row r="617" spans="1:7" x14ac:dyDescent="0.3">
      <c r="A617" s="2">
        <f t="shared" si="49"/>
        <v>46216.812500001492</v>
      </c>
      <c r="B617">
        <v>3.1</v>
      </c>
      <c r="C617" s="2">
        <f t="shared" si="45"/>
        <v>46216</v>
      </c>
      <c r="D617" s="1">
        <f t="shared" si="46"/>
        <v>19.5</v>
      </c>
      <c r="E617" t="str">
        <f t="shared" si="47"/>
        <v>Monday</v>
      </c>
      <c r="F617">
        <f>Assumptions!$B$2</f>
        <v>0.5</v>
      </c>
      <c r="G617">
        <f t="shared" si="48"/>
        <v>1.55</v>
      </c>
    </row>
    <row r="618" spans="1:7" x14ac:dyDescent="0.3">
      <c r="A618" s="2">
        <f t="shared" si="49"/>
        <v>46216.833333334827</v>
      </c>
      <c r="B618">
        <v>5.8</v>
      </c>
      <c r="C618" s="2">
        <f t="shared" si="45"/>
        <v>46216</v>
      </c>
      <c r="D618" s="1">
        <f t="shared" si="46"/>
        <v>20</v>
      </c>
      <c r="E618" t="str">
        <f t="shared" si="47"/>
        <v>Monday</v>
      </c>
      <c r="F618">
        <f>Assumptions!$B$2</f>
        <v>0.5</v>
      </c>
      <c r="G618">
        <f t="shared" si="48"/>
        <v>2.9</v>
      </c>
    </row>
    <row r="619" spans="1:7" x14ac:dyDescent="0.3">
      <c r="A619" s="2">
        <f t="shared" si="49"/>
        <v>46216.854166668163</v>
      </c>
      <c r="B619">
        <v>7.6</v>
      </c>
      <c r="C619" s="2">
        <f t="shared" si="45"/>
        <v>46216</v>
      </c>
      <c r="D619" s="1">
        <f t="shared" si="46"/>
        <v>20.5</v>
      </c>
      <c r="E619" t="str">
        <f t="shared" si="47"/>
        <v>Monday</v>
      </c>
      <c r="F619">
        <f>Assumptions!$B$2</f>
        <v>0.5</v>
      </c>
      <c r="G619">
        <f t="shared" si="48"/>
        <v>3.8</v>
      </c>
    </row>
    <row r="620" spans="1:7" x14ac:dyDescent="0.3">
      <c r="A620" s="2">
        <f t="shared" si="49"/>
        <v>46216.875000001499</v>
      </c>
      <c r="B620">
        <v>4.0999999999999996</v>
      </c>
      <c r="C620" s="2">
        <f t="shared" si="45"/>
        <v>46216</v>
      </c>
      <c r="D620" s="1">
        <f t="shared" si="46"/>
        <v>21</v>
      </c>
      <c r="E620" t="str">
        <f t="shared" si="47"/>
        <v>Monday</v>
      </c>
      <c r="F620">
        <f>Assumptions!$B$2</f>
        <v>0.5</v>
      </c>
      <c r="G620">
        <f t="shared" si="48"/>
        <v>2.0499999999999998</v>
      </c>
    </row>
    <row r="621" spans="1:7" x14ac:dyDescent="0.3">
      <c r="A621" s="2">
        <f t="shared" si="49"/>
        <v>46216.895833334835</v>
      </c>
      <c r="B621">
        <v>6.7</v>
      </c>
      <c r="C621" s="2">
        <f t="shared" si="45"/>
        <v>46216</v>
      </c>
      <c r="D621" s="1">
        <f t="shared" si="46"/>
        <v>21.5</v>
      </c>
      <c r="E621" t="str">
        <f t="shared" si="47"/>
        <v>Monday</v>
      </c>
      <c r="F621">
        <f>Assumptions!$B$2</f>
        <v>0.5</v>
      </c>
      <c r="G621">
        <f t="shared" si="48"/>
        <v>3.35</v>
      </c>
    </row>
    <row r="622" spans="1:7" x14ac:dyDescent="0.3">
      <c r="A622" s="2">
        <f t="shared" si="49"/>
        <v>46216.91666666817</v>
      </c>
      <c r="B622">
        <v>4</v>
      </c>
      <c r="C622" s="2">
        <f t="shared" si="45"/>
        <v>46216</v>
      </c>
      <c r="D622" s="1">
        <f t="shared" si="46"/>
        <v>22</v>
      </c>
      <c r="E622" t="str">
        <f t="shared" si="47"/>
        <v>Monday</v>
      </c>
      <c r="F622">
        <f>Assumptions!$B$2</f>
        <v>0.5</v>
      </c>
      <c r="G622">
        <f t="shared" si="48"/>
        <v>2</v>
      </c>
    </row>
    <row r="623" spans="1:7" x14ac:dyDescent="0.3">
      <c r="A623" s="2">
        <f t="shared" si="49"/>
        <v>46216.937500001506</v>
      </c>
      <c r="B623">
        <v>3.4</v>
      </c>
      <c r="C623" s="2">
        <f t="shared" si="45"/>
        <v>46216</v>
      </c>
      <c r="D623" s="1">
        <f t="shared" si="46"/>
        <v>22.5</v>
      </c>
      <c r="E623" t="str">
        <f t="shared" si="47"/>
        <v>Monday</v>
      </c>
      <c r="F623">
        <f>Assumptions!$B$2</f>
        <v>0.5</v>
      </c>
      <c r="G623">
        <f t="shared" si="48"/>
        <v>1.7</v>
      </c>
    </row>
    <row r="624" spans="1:7" x14ac:dyDescent="0.3">
      <c r="A624" s="2">
        <f t="shared" si="49"/>
        <v>46216.958333334842</v>
      </c>
      <c r="B624">
        <v>6.9</v>
      </c>
      <c r="C624" s="2">
        <f t="shared" si="45"/>
        <v>46216</v>
      </c>
      <c r="D624" s="1">
        <f t="shared" si="46"/>
        <v>23</v>
      </c>
      <c r="E624" t="str">
        <f t="shared" si="47"/>
        <v>Monday</v>
      </c>
      <c r="F624">
        <f>Assumptions!$B$2</f>
        <v>0.5</v>
      </c>
      <c r="G624">
        <f t="shared" si="48"/>
        <v>3.45</v>
      </c>
    </row>
    <row r="625" spans="1:7" x14ac:dyDescent="0.3">
      <c r="A625" s="2">
        <f t="shared" si="49"/>
        <v>46216.979166668178</v>
      </c>
      <c r="B625">
        <v>4.5999999999999996</v>
      </c>
      <c r="C625" s="2">
        <f t="shared" si="45"/>
        <v>46216</v>
      </c>
      <c r="D625" s="1">
        <f t="shared" si="46"/>
        <v>23.5</v>
      </c>
      <c r="E625" t="str">
        <f t="shared" si="47"/>
        <v>Monday</v>
      </c>
      <c r="F625">
        <f>Assumptions!$B$2</f>
        <v>0.5</v>
      </c>
      <c r="G625">
        <f t="shared" si="48"/>
        <v>2.2999999999999998</v>
      </c>
    </row>
    <row r="626" spans="1:7" x14ac:dyDescent="0.3">
      <c r="A626" s="2">
        <f t="shared" si="49"/>
        <v>46217.000000001513</v>
      </c>
      <c r="B626">
        <v>2.7</v>
      </c>
      <c r="C626" s="2">
        <f t="shared" si="45"/>
        <v>46217</v>
      </c>
      <c r="D626" s="1">
        <f t="shared" si="46"/>
        <v>0</v>
      </c>
      <c r="E626" t="str">
        <f t="shared" si="47"/>
        <v>Tuesday</v>
      </c>
      <c r="F626">
        <f>Assumptions!$B$2</f>
        <v>0.5</v>
      </c>
      <c r="G626">
        <f t="shared" si="48"/>
        <v>1.35</v>
      </c>
    </row>
    <row r="627" spans="1:7" x14ac:dyDescent="0.3">
      <c r="A627" s="2">
        <f t="shared" si="49"/>
        <v>46217.020833334849</v>
      </c>
      <c r="B627">
        <v>2.2000000000000002</v>
      </c>
      <c r="C627" s="2">
        <f t="shared" si="45"/>
        <v>46217</v>
      </c>
      <c r="D627" s="1">
        <f t="shared" si="46"/>
        <v>0.5</v>
      </c>
      <c r="E627" t="str">
        <f t="shared" si="47"/>
        <v>Tuesday</v>
      </c>
      <c r="F627">
        <f>Assumptions!$B$2</f>
        <v>0.5</v>
      </c>
      <c r="G627">
        <f t="shared" si="48"/>
        <v>1.1000000000000001</v>
      </c>
    </row>
    <row r="628" spans="1:7" x14ac:dyDescent="0.3">
      <c r="A628" s="2">
        <f t="shared" si="49"/>
        <v>46217.041666668185</v>
      </c>
      <c r="B628">
        <v>2.5</v>
      </c>
      <c r="C628" s="2">
        <f t="shared" si="45"/>
        <v>46217</v>
      </c>
      <c r="D628" s="1">
        <f t="shared" si="46"/>
        <v>1</v>
      </c>
      <c r="E628" t="str">
        <f t="shared" si="47"/>
        <v>Tuesday</v>
      </c>
      <c r="F628">
        <f>Assumptions!$B$2</f>
        <v>0.5</v>
      </c>
      <c r="G628">
        <f t="shared" si="48"/>
        <v>1.25</v>
      </c>
    </row>
    <row r="629" spans="1:7" x14ac:dyDescent="0.3">
      <c r="A629" s="2">
        <f t="shared" si="49"/>
        <v>46217.062500001521</v>
      </c>
      <c r="B629">
        <v>2.9</v>
      </c>
      <c r="C629" s="2">
        <f t="shared" si="45"/>
        <v>46217</v>
      </c>
      <c r="D629" s="1">
        <f t="shared" si="46"/>
        <v>1.5</v>
      </c>
      <c r="E629" t="str">
        <f t="shared" si="47"/>
        <v>Tuesday</v>
      </c>
      <c r="F629">
        <f>Assumptions!$B$2</f>
        <v>0.5</v>
      </c>
      <c r="G629">
        <f t="shared" si="48"/>
        <v>1.45</v>
      </c>
    </row>
    <row r="630" spans="1:7" x14ac:dyDescent="0.3">
      <c r="A630" s="2">
        <f t="shared" si="49"/>
        <v>46217.083333334856</v>
      </c>
      <c r="B630">
        <v>2.2999999999999998</v>
      </c>
      <c r="C630" s="2">
        <f t="shared" si="45"/>
        <v>46217</v>
      </c>
      <c r="D630" s="1">
        <f t="shared" si="46"/>
        <v>2</v>
      </c>
      <c r="E630" t="str">
        <f t="shared" si="47"/>
        <v>Tuesday</v>
      </c>
      <c r="F630">
        <f>Assumptions!$B$2</f>
        <v>0.5</v>
      </c>
      <c r="G630">
        <f t="shared" si="48"/>
        <v>1.1499999999999999</v>
      </c>
    </row>
    <row r="631" spans="1:7" x14ac:dyDescent="0.3">
      <c r="A631" s="2">
        <f t="shared" si="49"/>
        <v>46217.104166668192</v>
      </c>
      <c r="B631">
        <v>2.6</v>
      </c>
      <c r="C631" s="2">
        <f t="shared" si="45"/>
        <v>46217</v>
      </c>
      <c r="D631" s="1">
        <f t="shared" si="46"/>
        <v>2.5</v>
      </c>
      <c r="E631" t="str">
        <f t="shared" si="47"/>
        <v>Tuesday</v>
      </c>
      <c r="F631">
        <f>Assumptions!$B$2</f>
        <v>0.5</v>
      </c>
      <c r="G631">
        <f t="shared" si="48"/>
        <v>1.3</v>
      </c>
    </row>
    <row r="632" spans="1:7" x14ac:dyDescent="0.3">
      <c r="A632" s="2">
        <f t="shared" si="49"/>
        <v>46217.125000001528</v>
      </c>
      <c r="B632">
        <v>2.8</v>
      </c>
      <c r="C632" s="2">
        <f t="shared" si="45"/>
        <v>46217</v>
      </c>
      <c r="D632" s="1">
        <f t="shared" si="46"/>
        <v>3</v>
      </c>
      <c r="E632" t="str">
        <f t="shared" si="47"/>
        <v>Tuesday</v>
      </c>
      <c r="F632">
        <f>Assumptions!$B$2</f>
        <v>0.5</v>
      </c>
      <c r="G632">
        <f t="shared" si="48"/>
        <v>1.4</v>
      </c>
    </row>
    <row r="633" spans="1:7" x14ac:dyDescent="0.3">
      <c r="A633" s="2">
        <f t="shared" si="49"/>
        <v>46217.145833334864</v>
      </c>
      <c r="B633">
        <v>2.4</v>
      </c>
      <c r="C633" s="2">
        <f t="shared" si="45"/>
        <v>46217</v>
      </c>
      <c r="D633" s="1">
        <f t="shared" si="46"/>
        <v>3.5</v>
      </c>
      <c r="E633" t="str">
        <f t="shared" si="47"/>
        <v>Tuesday</v>
      </c>
      <c r="F633">
        <f>Assumptions!$B$2</f>
        <v>0.5</v>
      </c>
      <c r="G633">
        <f t="shared" si="48"/>
        <v>1.2</v>
      </c>
    </row>
    <row r="634" spans="1:7" x14ac:dyDescent="0.3">
      <c r="A634" s="2">
        <f t="shared" si="49"/>
        <v>46217.166666668199</v>
      </c>
      <c r="B634">
        <v>2</v>
      </c>
      <c r="C634" s="2">
        <f t="shared" si="45"/>
        <v>46217</v>
      </c>
      <c r="D634" s="1">
        <f t="shared" si="46"/>
        <v>4</v>
      </c>
      <c r="E634" t="str">
        <f t="shared" si="47"/>
        <v>Tuesday</v>
      </c>
      <c r="F634">
        <f>Assumptions!$B$2</f>
        <v>0.5</v>
      </c>
      <c r="G634">
        <f t="shared" si="48"/>
        <v>1</v>
      </c>
    </row>
    <row r="635" spans="1:7" x14ac:dyDescent="0.3">
      <c r="A635" s="2">
        <f t="shared" si="49"/>
        <v>46217.187500001535</v>
      </c>
      <c r="B635">
        <v>2.2999999999999998</v>
      </c>
      <c r="C635" s="2">
        <f t="shared" si="45"/>
        <v>46217</v>
      </c>
      <c r="D635" s="1">
        <f t="shared" si="46"/>
        <v>4.5</v>
      </c>
      <c r="E635" t="str">
        <f t="shared" si="47"/>
        <v>Tuesday</v>
      </c>
      <c r="F635">
        <f>Assumptions!$B$2</f>
        <v>0.5</v>
      </c>
      <c r="G635">
        <f t="shared" si="48"/>
        <v>1.1499999999999999</v>
      </c>
    </row>
    <row r="636" spans="1:7" x14ac:dyDescent="0.3">
      <c r="A636" s="2">
        <f t="shared" si="49"/>
        <v>46217.208333334871</v>
      </c>
      <c r="B636">
        <v>2.9</v>
      </c>
      <c r="C636" s="2">
        <f t="shared" si="45"/>
        <v>46217</v>
      </c>
      <c r="D636" s="1">
        <f t="shared" si="46"/>
        <v>5</v>
      </c>
      <c r="E636" t="str">
        <f t="shared" si="47"/>
        <v>Tuesday</v>
      </c>
      <c r="F636">
        <f>Assumptions!$B$2</f>
        <v>0.5</v>
      </c>
      <c r="G636">
        <f t="shared" si="48"/>
        <v>1.45</v>
      </c>
    </row>
    <row r="637" spans="1:7" x14ac:dyDescent="0.3">
      <c r="A637" s="2">
        <f t="shared" si="49"/>
        <v>46217.229166668207</v>
      </c>
      <c r="B637">
        <v>1.9</v>
      </c>
      <c r="C637" s="2">
        <f t="shared" si="45"/>
        <v>46217</v>
      </c>
      <c r="D637" s="1">
        <f t="shared" si="46"/>
        <v>5.5</v>
      </c>
      <c r="E637" t="str">
        <f t="shared" si="47"/>
        <v>Tuesday</v>
      </c>
      <c r="F637">
        <f>Assumptions!$B$2</f>
        <v>0.5</v>
      </c>
      <c r="G637">
        <f t="shared" si="48"/>
        <v>0.95</v>
      </c>
    </row>
    <row r="638" spans="1:7" x14ac:dyDescent="0.3">
      <c r="A638" s="2">
        <f t="shared" si="49"/>
        <v>46217.250000001543</v>
      </c>
      <c r="B638">
        <v>6.9</v>
      </c>
      <c r="C638" s="2">
        <f t="shared" si="45"/>
        <v>46217</v>
      </c>
      <c r="D638" s="1">
        <f t="shared" si="46"/>
        <v>6</v>
      </c>
      <c r="E638" t="str">
        <f t="shared" si="47"/>
        <v>Tuesday</v>
      </c>
      <c r="F638">
        <f>Assumptions!$B$2</f>
        <v>0.5</v>
      </c>
      <c r="G638">
        <f t="shared" si="48"/>
        <v>3.45</v>
      </c>
    </row>
    <row r="639" spans="1:7" x14ac:dyDescent="0.3">
      <c r="A639" s="2">
        <f t="shared" si="49"/>
        <v>46217.270833334878</v>
      </c>
      <c r="B639">
        <v>6.2</v>
      </c>
      <c r="C639" s="2">
        <f t="shared" si="45"/>
        <v>46217</v>
      </c>
      <c r="D639" s="1">
        <f t="shared" si="46"/>
        <v>6.5</v>
      </c>
      <c r="E639" t="str">
        <f t="shared" si="47"/>
        <v>Tuesday</v>
      </c>
      <c r="F639">
        <f>Assumptions!$B$2</f>
        <v>0.5</v>
      </c>
      <c r="G639">
        <f t="shared" si="48"/>
        <v>3.1</v>
      </c>
    </row>
    <row r="640" spans="1:7" x14ac:dyDescent="0.3">
      <c r="A640" s="2">
        <f t="shared" si="49"/>
        <v>46217.291666668214</v>
      </c>
      <c r="B640">
        <v>7.7</v>
      </c>
      <c r="C640" s="2">
        <f t="shared" si="45"/>
        <v>46217</v>
      </c>
      <c r="D640" s="1">
        <f t="shared" si="46"/>
        <v>7</v>
      </c>
      <c r="E640" t="str">
        <f t="shared" si="47"/>
        <v>Tuesday</v>
      </c>
      <c r="F640">
        <f>Assumptions!$B$2</f>
        <v>0.5</v>
      </c>
      <c r="G640">
        <f t="shared" si="48"/>
        <v>3.85</v>
      </c>
    </row>
    <row r="641" spans="1:7" x14ac:dyDescent="0.3">
      <c r="A641" s="2">
        <f t="shared" si="49"/>
        <v>46217.31250000155</v>
      </c>
      <c r="B641">
        <v>6</v>
      </c>
      <c r="C641" s="2">
        <f t="shared" si="45"/>
        <v>46217</v>
      </c>
      <c r="D641" s="1">
        <f t="shared" si="46"/>
        <v>7.5</v>
      </c>
      <c r="E641" t="str">
        <f t="shared" si="47"/>
        <v>Tuesday</v>
      </c>
      <c r="F641">
        <f>Assumptions!$B$2</f>
        <v>0.5</v>
      </c>
      <c r="G641">
        <f t="shared" si="48"/>
        <v>3</v>
      </c>
    </row>
    <row r="642" spans="1:7" x14ac:dyDescent="0.3">
      <c r="A642" s="2">
        <f t="shared" si="49"/>
        <v>46217.333333334886</v>
      </c>
      <c r="B642">
        <v>13.5</v>
      </c>
      <c r="C642" s="2">
        <f t="shared" si="45"/>
        <v>46217</v>
      </c>
      <c r="D642" s="1">
        <f t="shared" si="46"/>
        <v>8</v>
      </c>
      <c r="E642" t="str">
        <f t="shared" si="47"/>
        <v>Tuesday</v>
      </c>
      <c r="F642">
        <f>Assumptions!$B$2</f>
        <v>0.5</v>
      </c>
      <c r="G642">
        <f t="shared" si="48"/>
        <v>6.75</v>
      </c>
    </row>
    <row r="643" spans="1:7" x14ac:dyDescent="0.3">
      <c r="A643" s="2">
        <f t="shared" si="49"/>
        <v>46217.354166668221</v>
      </c>
      <c r="B643">
        <v>20.399999999999999</v>
      </c>
      <c r="C643" s="2">
        <f t="shared" ref="C643:C706" si="50">INT(A643)</f>
        <v>46217</v>
      </c>
      <c r="D643" s="1">
        <f t="shared" ref="D643:D706" si="51">HOUR(A643)+MINUTE(A643)/60</f>
        <v>8.5</v>
      </c>
      <c r="E643" t="str">
        <f t="shared" ref="E643:E706" si="52">TEXT(A643,"dddd")</f>
        <v>Tuesday</v>
      </c>
      <c r="F643">
        <f>Assumptions!$B$2</f>
        <v>0.5</v>
      </c>
      <c r="G643">
        <f t="shared" ref="G643:G706" si="53">B643*F643</f>
        <v>10.199999999999999</v>
      </c>
    </row>
    <row r="644" spans="1:7" x14ac:dyDescent="0.3">
      <c r="A644" s="2">
        <f t="shared" ref="A644:A707" si="54">A643+TIME(0,30,0)</f>
        <v>46217.375000001557</v>
      </c>
      <c r="B644">
        <v>14.1</v>
      </c>
      <c r="C644" s="2">
        <f t="shared" si="50"/>
        <v>46217</v>
      </c>
      <c r="D644" s="1">
        <f t="shared" si="51"/>
        <v>9</v>
      </c>
      <c r="E644" t="str">
        <f t="shared" si="52"/>
        <v>Tuesday</v>
      </c>
      <c r="F644">
        <f>Assumptions!$B$2</f>
        <v>0.5</v>
      </c>
      <c r="G644">
        <f t="shared" si="53"/>
        <v>7.05</v>
      </c>
    </row>
    <row r="645" spans="1:7" x14ac:dyDescent="0.3">
      <c r="A645" s="2">
        <f t="shared" si="54"/>
        <v>46217.395833334893</v>
      </c>
      <c r="B645">
        <v>19</v>
      </c>
      <c r="C645" s="2">
        <f t="shared" si="50"/>
        <v>46217</v>
      </c>
      <c r="D645" s="1">
        <f t="shared" si="51"/>
        <v>9.5</v>
      </c>
      <c r="E645" t="str">
        <f t="shared" si="52"/>
        <v>Tuesday</v>
      </c>
      <c r="F645">
        <f>Assumptions!$B$2</f>
        <v>0.5</v>
      </c>
      <c r="G645">
        <f t="shared" si="53"/>
        <v>9.5</v>
      </c>
    </row>
    <row r="646" spans="1:7" x14ac:dyDescent="0.3">
      <c r="A646" s="2">
        <f t="shared" si="54"/>
        <v>46217.416666668229</v>
      </c>
      <c r="B646">
        <v>20.8</v>
      </c>
      <c r="C646" s="2">
        <f t="shared" si="50"/>
        <v>46217</v>
      </c>
      <c r="D646" s="1">
        <f t="shared" si="51"/>
        <v>10</v>
      </c>
      <c r="E646" t="str">
        <f t="shared" si="52"/>
        <v>Tuesday</v>
      </c>
      <c r="F646">
        <f>Assumptions!$B$2</f>
        <v>0.5</v>
      </c>
      <c r="G646">
        <f t="shared" si="53"/>
        <v>10.4</v>
      </c>
    </row>
    <row r="647" spans="1:7" x14ac:dyDescent="0.3">
      <c r="A647" s="2">
        <f t="shared" si="54"/>
        <v>46217.437500001564</v>
      </c>
      <c r="B647">
        <v>16.5</v>
      </c>
      <c r="C647" s="2">
        <f t="shared" si="50"/>
        <v>46217</v>
      </c>
      <c r="D647" s="1">
        <f t="shared" si="51"/>
        <v>10.5</v>
      </c>
      <c r="E647" t="str">
        <f t="shared" si="52"/>
        <v>Tuesday</v>
      </c>
      <c r="F647">
        <f>Assumptions!$B$2</f>
        <v>0.5</v>
      </c>
      <c r="G647">
        <f t="shared" si="53"/>
        <v>8.25</v>
      </c>
    </row>
    <row r="648" spans="1:7" x14ac:dyDescent="0.3">
      <c r="A648" s="2">
        <f t="shared" si="54"/>
        <v>46217.4583333349</v>
      </c>
      <c r="B648">
        <v>20.399999999999999</v>
      </c>
      <c r="C648" s="2">
        <f t="shared" si="50"/>
        <v>46217</v>
      </c>
      <c r="D648" s="1">
        <f t="shared" si="51"/>
        <v>11</v>
      </c>
      <c r="E648" t="str">
        <f t="shared" si="52"/>
        <v>Tuesday</v>
      </c>
      <c r="F648">
        <f>Assumptions!$B$2</f>
        <v>0.5</v>
      </c>
      <c r="G648">
        <f t="shared" si="53"/>
        <v>10.199999999999999</v>
      </c>
    </row>
    <row r="649" spans="1:7" x14ac:dyDescent="0.3">
      <c r="A649" s="2">
        <f t="shared" si="54"/>
        <v>46217.479166668236</v>
      </c>
      <c r="B649">
        <v>18.5</v>
      </c>
      <c r="C649" s="2">
        <f t="shared" si="50"/>
        <v>46217</v>
      </c>
      <c r="D649" s="1">
        <f t="shared" si="51"/>
        <v>11.5</v>
      </c>
      <c r="E649" t="str">
        <f t="shared" si="52"/>
        <v>Tuesday</v>
      </c>
      <c r="F649">
        <f>Assumptions!$B$2</f>
        <v>0.5</v>
      </c>
      <c r="G649">
        <f t="shared" si="53"/>
        <v>9.25</v>
      </c>
    </row>
    <row r="650" spans="1:7" x14ac:dyDescent="0.3">
      <c r="A650" s="2">
        <f t="shared" si="54"/>
        <v>46217.500000001572</v>
      </c>
      <c r="B650">
        <v>33</v>
      </c>
      <c r="C650" s="2">
        <f t="shared" si="50"/>
        <v>46217</v>
      </c>
      <c r="D650" s="1">
        <f t="shared" si="51"/>
        <v>12</v>
      </c>
      <c r="E650" t="str">
        <f t="shared" si="52"/>
        <v>Tuesday</v>
      </c>
      <c r="F650">
        <f>Assumptions!$B$2</f>
        <v>0.5</v>
      </c>
      <c r="G650">
        <f t="shared" si="53"/>
        <v>16.5</v>
      </c>
    </row>
    <row r="651" spans="1:7" x14ac:dyDescent="0.3">
      <c r="A651" s="2">
        <f t="shared" si="54"/>
        <v>46217.520833334907</v>
      </c>
      <c r="B651">
        <v>30</v>
      </c>
      <c r="C651" s="2">
        <f t="shared" si="50"/>
        <v>46217</v>
      </c>
      <c r="D651" s="1">
        <f t="shared" si="51"/>
        <v>12.5</v>
      </c>
      <c r="E651" t="str">
        <f t="shared" si="52"/>
        <v>Tuesday</v>
      </c>
      <c r="F651">
        <f>Assumptions!$B$2</f>
        <v>0.5</v>
      </c>
      <c r="G651">
        <f t="shared" si="53"/>
        <v>15</v>
      </c>
    </row>
    <row r="652" spans="1:7" x14ac:dyDescent="0.3">
      <c r="A652" s="2">
        <f t="shared" si="54"/>
        <v>46217.541666668243</v>
      </c>
      <c r="B652">
        <v>22.3</v>
      </c>
      <c r="C652" s="2">
        <f t="shared" si="50"/>
        <v>46217</v>
      </c>
      <c r="D652" s="1">
        <f t="shared" si="51"/>
        <v>13</v>
      </c>
      <c r="E652" t="str">
        <f t="shared" si="52"/>
        <v>Tuesday</v>
      </c>
      <c r="F652">
        <f>Assumptions!$B$2</f>
        <v>0.5</v>
      </c>
      <c r="G652">
        <f t="shared" si="53"/>
        <v>11.15</v>
      </c>
    </row>
    <row r="653" spans="1:7" x14ac:dyDescent="0.3">
      <c r="A653" s="2">
        <f t="shared" si="54"/>
        <v>46217.562500001579</v>
      </c>
      <c r="B653">
        <v>34.1</v>
      </c>
      <c r="C653" s="2">
        <f t="shared" si="50"/>
        <v>46217</v>
      </c>
      <c r="D653" s="1">
        <f t="shared" si="51"/>
        <v>13.5</v>
      </c>
      <c r="E653" t="str">
        <f t="shared" si="52"/>
        <v>Tuesday</v>
      </c>
      <c r="F653">
        <f>Assumptions!$B$2</f>
        <v>0.5</v>
      </c>
      <c r="G653">
        <f t="shared" si="53"/>
        <v>17.05</v>
      </c>
    </row>
    <row r="654" spans="1:7" x14ac:dyDescent="0.3">
      <c r="A654" s="2">
        <f t="shared" si="54"/>
        <v>46217.583333334915</v>
      </c>
      <c r="B654">
        <v>33.5</v>
      </c>
      <c r="C654" s="2">
        <f t="shared" si="50"/>
        <v>46217</v>
      </c>
      <c r="D654" s="1">
        <f t="shared" si="51"/>
        <v>14</v>
      </c>
      <c r="E654" t="str">
        <f t="shared" si="52"/>
        <v>Tuesday</v>
      </c>
      <c r="F654">
        <f>Assumptions!$B$2</f>
        <v>0.5</v>
      </c>
      <c r="G654">
        <f t="shared" si="53"/>
        <v>16.75</v>
      </c>
    </row>
    <row r="655" spans="1:7" x14ac:dyDescent="0.3">
      <c r="A655" s="2">
        <f t="shared" si="54"/>
        <v>46217.60416666825</v>
      </c>
      <c r="B655">
        <v>27.6</v>
      </c>
      <c r="C655" s="2">
        <f t="shared" si="50"/>
        <v>46217</v>
      </c>
      <c r="D655" s="1">
        <f t="shared" si="51"/>
        <v>14.5</v>
      </c>
      <c r="E655" t="str">
        <f t="shared" si="52"/>
        <v>Tuesday</v>
      </c>
      <c r="F655">
        <f>Assumptions!$B$2</f>
        <v>0.5</v>
      </c>
      <c r="G655">
        <f t="shared" si="53"/>
        <v>13.8</v>
      </c>
    </row>
    <row r="656" spans="1:7" x14ac:dyDescent="0.3">
      <c r="A656" s="2">
        <f t="shared" si="54"/>
        <v>46217.625000001586</v>
      </c>
      <c r="B656">
        <v>23.6</v>
      </c>
      <c r="C656" s="2">
        <f t="shared" si="50"/>
        <v>46217</v>
      </c>
      <c r="D656" s="1">
        <f t="shared" si="51"/>
        <v>15</v>
      </c>
      <c r="E656" t="str">
        <f t="shared" si="52"/>
        <v>Tuesday</v>
      </c>
      <c r="F656">
        <f>Assumptions!$B$2</f>
        <v>0.5</v>
      </c>
      <c r="G656">
        <f t="shared" si="53"/>
        <v>11.8</v>
      </c>
    </row>
    <row r="657" spans="1:7" x14ac:dyDescent="0.3">
      <c r="A657" s="2">
        <f t="shared" si="54"/>
        <v>46217.645833334922</v>
      </c>
      <c r="B657">
        <v>18.3</v>
      </c>
      <c r="C657" s="2">
        <f t="shared" si="50"/>
        <v>46217</v>
      </c>
      <c r="D657" s="1">
        <f t="shared" si="51"/>
        <v>15.5</v>
      </c>
      <c r="E657" t="str">
        <f t="shared" si="52"/>
        <v>Tuesday</v>
      </c>
      <c r="F657">
        <f>Assumptions!$B$2</f>
        <v>0.5</v>
      </c>
      <c r="G657">
        <f t="shared" si="53"/>
        <v>9.15</v>
      </c>
    </row>
    <row r="658" spans="1:7" x14ac:dyDescent="0.3">
      <c r="A658" s="2">
        <f t="shared" si="54"/>
        <v>46217.666666668258</v>
      </c>
      <c r="B658">
        <v>12.5</v>
      </c>
      <c r="C658" s="2">
        <f t="shared" si="50"/>
        <v>46217</v>
      </c>
      <c r="D658" s="1">
        <f t="shared" si="51"/>
        <v>16</v>
      </c>
      <c r="E658" t="str">
        <f t="shared" si="52"/>
        <v>Tuesday</v>
      </c>
      <c r="F658">
        <f>Assumptions!$B$2</f>
        <v>0.5</v>
      </c>
      <c r="G658">
        <f t="shared" si="53"/>
        <v>6.25</v>
      </c>
    </row>
    <row r="659" spans="1:7" x14ac:dyDescent="0.3">
      <c r="A659" s="2">
        <f t="shared" si="54"/>
        <v>46217.687500001593</v>
      </c>
      <c r="B659">
        <v>19.8</v>
      </c>
      <c r="C659" s="2">
        <f t="shared" si="50"/>
        <v>46217</v>
      </c>
      <c r="D659" s="1">
        <f t="shared" si="51"/>
        <v>16.5</v>
      </c>
      <c r="E659" t="str">
        <f t="shared" si="52"/>
        <v>Tuesday</v>
      </c>
      <c r="F659">
        <f>Assumptions!$B$2</f>
        <v>0.5</v>
      </c>
      <c r="G659">
        <f t="shared" si="53"/>
        <v>9.9</v>
      </c>
    </row>
    <row r="660" spans="1:7" x14ac:dyDescent="0.3">
      <c r="A660" s="2">
        <f t="shared" si="54"/>
        <v>46217.708333334929</v>
      </c>
      <c r="B660">
        <v>17.8</v>
      </c>
      <c r="C660" s="2">
        <f t="shared" si="50"/>
        <v>46217</v>
      </c>
      <c r="D660" s="1">
        <f t="shared" si="51"/>
        <v>17</v>
      </c>
      <c r="E660" t="str">
        <f t="shared" si="52"/>
        <v>Tuesday</v>
      </c>
      <c r="F660">
        <f>Assumptions!$B$2</f>
        <v>0.5</v>
      </c>
      <c r="G660">
        <f t="shared" si="53"/>
        <v>8.9</v>
      </c>
    </row>
    <row r="661" spans="1:7" x14ac:dyDescent="0.3">
      <c r="A661" s="2">
        <f t="shared" si="54"/>
        <v>46217.729166668265</v>
      </c>
      <c r="B661">
        <v>12.3</v>
      </c>
      <c r="C661" s="2">
        <f t="shared" si="50"/>
        <v>46217</v>
      </c>
      <c r="D661" s="1">
        <f t="shared" si="51"/>
        <v>17.5</v>
      </c>
      <c r="E661" t="str">
        <f t="shared" si="52"/>
        <v>Tuesday</v>
      </c>
      <c r="F661">
        <f>Assumptions!$B$2</f>
        <v>0.5</v>
      </c>
      <c r="G661">
        <f t="shared" si="53"/>
        <v>6.15</v>
      </c>
    </row>
    <row r="662" spans="1:7" x14ac:dyDescent="0.3">
      <c r="A662" s="2">
        <f t="shared" si="54"/>
        <v>46217.750000001601</v>
      </c>
      <c r="B662">
        <v>12.3</v>
      </c>
      <c r="C662" s="2">
        <f t="shared" si="50"/>
        <v>46217</v>
      </c>
      <c r="D662" s="1">
        <f t="shared" si="51"/>
        <v>18</v>
      </c>
      <c r="E662" t="str">
        <f t="shared" si="52"/>
        <v>Tuesday</v>
      </c>
      <c r="F662">
        <f>Assumptions!$B$2</f>
        <v>0.5</v>
      </c>
      <c r="G662">
        <f t="shared" si="53"/>
        <v>6.15</v>
      </c>
    </row>
    <row r="663" spans="1:7" x14ac:dyDescent="0.3">
      <c r="A663" s="2">
        <f t="shared" si="54"/>
        <v>46217.770833334936</v>
      </c>
      <c r="B663">
        <v>12.2</v>
      </c>
      <c r="C663" s="2">
        <f t="shared" si="50"/>
        <v>46217</v>
      </c>
      <c r="D663" s="1">
        <f t="shared" si="51"/>
        <v>18.5</v>
      </c>
      <c r="E663" t="str">
        <f t="shared" si="52"/>
        <v>Tuesday</v>
      </c>
      <c r="F663">
        <f>Assumptions!$B$2</f>
        <v>0.5</v>
      </c>
      <c r="G663">
        <f t="shared" si="53"/>
        <v>6.1</v>
      </c>
    </row>
    <row r="664" spans="1:7" x14ac:dyDescent="0.3">
      <c r="A664" s="2">
        <f t="shared" si="54"/>
        <v>46217.791666668272</v>
      </c>
      <c r="B664">
        <v>3.1</v>
      </c>
      <c r="C664" s="2">
        <f t="shared" si="50"/>
        <v>46217</v>
      </c>
      <c r="D664" s="1">
        <f t="shared" si="51"/>
        <v>19</v>
      </c>
      <c r="E664" t="str">
        <f t="shared" si="52"/>
        <v>Tuesday</v>
      </c>
      <c r="F664">
        <f>Assumptions!$B$2</f>
        <v>0.5</v>
      </c>
      <c r="G664">
        <f t="shared" si="53"/>
        <v>1.55</v>
      </c>
    </row>
    <row r="665" spans="1:7" x14ac:dyDescent="0.3">
      <c r="A665" s="2">
        <f t="shared" si="54"/>
        <v>46217.812500001608</v>
      </c>
      <c r="B665">
        <v>5.4</v>
      </c>
      <c r="C665" s="2">
        <f t="shared" si="50"/>
        <v>46217</v>
      </c>
      <c r="D665" s="1">
        <f t="shared" si="51"/>
        <v>19.5</v>
      </c>
      <c r="E665" t="str">
        <f t="shared" si="52"/>
        <v>Tuesday</v>
      </c>
      <c r="F665">
        <f>Assumptions!$B$2</f>
        <v>0.5</v>
      </c>
      <c r="G665">
        <f t="shared" si="53"/>
        <v>2.7</v>
      </c>
    </row>
    <row r="666" spans="1:7" x14ac:dyDescent="0.3">
      <c r="A666" s="2">
        <f t="shared" si="54"/>
        <v>46217.833333334944</v>
      </c>
      <c r="B666">
        <v>5.6</v>
      </c>
      <c r="C666" s="2">
        <f t="shared" si="50"/>
        <v>46217</v>
      </c>
      <c r="D666" s="1">
        <f t="shared" si="51"/>
        <v>20</v>
      </c>
      <c r="E666" t="str">
        <f t="shared" si="52"/>
        <v>Tuesday</v>
      </c>
      <c r="F666">
        <f>Assumptions!$B$2</f>
        <v>0.5</v>
      </c>
      <c r="G666">
        <f t="shared" si="53"/>
        <v>2.8</v>
      </c>
    </row>
    <row r="667" spans="1:7" x14ac:dyDescent="0.3">
      <c r="A667" s="2">
        <f t="shared" si="54"/>
        <v>46217.85416666828</v>
      </c>
      <c r="B667">
        <v>6.6</v>
      </c>
      <c r="C667" s="2">
        <f t="shared" si="50"/>
        <v>46217</v>
      </c>
      <c r="D667" s="1">
        <f t="shared" si="51"/>
        <v>20.5</v>
      </c>
      <c r="E667" t="str">
        <f t="shared" si="52"/>
        <v>Tuesday</v>
      </c>
      <c r="F667">
        <f>Assumptions!$B$2</f>
        <v>0.5</v>
      </c>
      <c r="G667">
        <f t="shared" si="53"/>
        <v>3.3</v>
      </c>
    </row>
    <row r="668" spans="1:7" x14ac:dyDescent="0.3">
      <c r="A668" s="2">
        <f t="shared" si="54"/>
        <v>46217.875000001615</v>
      </c>
      <c r="B668">
        <v>3.9</v>
      </c>
      <c r="C668" s="2">
        <f t="shared" si="50"/>
        <v>46217</v>
      </c>
      <c r="D668" s="1">
        <f t="shared" si="51"/>
        <v>21</v>
      </c>
      <c r="E668" t="str">
        <f t="shared" si="52"/>
        <v>Tuesday</v>
      </c>
      <c r="F668">
        <f>Assumptions!$B$2</f>
        <v>0.5</v>
      </c>
      <c r="G668">
        <f t="shared" si="53"/>
        <v>1.95</v>
      </c>
    </row>
    <row r="669" spans="1:7" x14ac:dyDescent="0.3">
      <c r="A669" s="2">
        <f t="shared" si="54"/>
        <v>46217.895833334951</v>
      </c>
      <c r="B669">
        <v>7.5</v>
      </c>
      <c r="C669" s="2">
        <f t="shared" si="50"/>
        <v>46217</v>
      </c>
      <c r="D669" s="1">
        <f t="shared" si="51"/>
        <v>21.5</v>
      </c>
      <c r="E669" t="str">
        <f t="shared" si="52"/>
        <v>Tuesday</v>
      </c>
      <c r="F669">
        <f>Assumptions!$B$2</f>
        <v>0.5</v>
      </c>
      <c r="G669">
        <f t="shared" si="53"/>
        <v>3.75</v>
      </c>
    </row>
    <row r="670" spans="1:7" x14ac:dyDescent="0.3">
      <c r="A670" s="2">
        <f t="shared" si="54"/>
        <v>46217.916666668287</v>
      </c>
      <c r="B670">
        <v>4.5999999999999996</v>
      </c>
      <c r="C670" s="2">
        <f t="shared" si="50"/>
        <v>46217</v>
      </c>
      <c r="D670" s="1">
        <f t="shared" si="51"/>
        <v>22</v>
      </c>
      <c r="E670" t="str">
        <f t="shared" si="52"/>
        <v>Tuesday</v>
      </c>
      <c r="F670">
        <f>Assumptions!$B$2</f>
        <v>0.5</v>
      </c>
      <c r="G670">
        <f t="shared" si="53"/>
        <v>2.2999999999999998</v>
      </c>
    </row>
    <row r="671" spans="1:7" x14ac:dyDescent="0.3">
      <c r="A671" s="2">
        <f t="shared" si="54"/>
        <v>46217.937500001623</v>
      </c>
      <c r="B671">
        <v>3.7</v>
      </c>
      <c r="C671" s="2">
        <f t="shared" si="50"/>
        <v>46217</v>
      </c>
      <c r="D671" s="1">
        <f t="shared" si="51"/>
        <v>22.5</v>
      </c>
      <c r="E671" t="str">
        <f t="shared" si="52"/>
        <v>Tuesday</v>
      </c>
      <c r="F671">
        <f>Assumptions!$B$2</f>
        <v>0.5</v>
      </c>
      <c r="G671">
        <f t="shared" si="53"/>
        <v>1.85</v>
      </c>
    </row>
    <row r="672" spans="1:7" x14ac:dyDescent="0.3">
      <c r="A672" s="2">
        <f t="shared" si="54"/>
        <v>46217.958333334958</v>
      </c>
      <c r="B672">
        <v>5.9</v>
      </c>
      <c r="C672" s="2">
        <f t="shared" si="50"/>
        <v>46217</v>
      </c>
      <c r="D672" s="1">
        <f t="shared" si="51"/>
        <v>23</v>
      </c>
      <c r="E672" t="str">
        <f t="shared" si="52"/>
        <v>Tuesday</v>
      </c>
      <c r="F672">
        <f>Assumptions!$B$2</f>
        <v>0.5</v>
      </c>
      <c r="G672">
        <f t="shared" si="53"/>
        <v>2.95</v>
      </c>
    </row>
    <row r="673" spans="1:7" x14ac:dyDescent="0.3">
      <c r="A673" s="2">
        <f t="shared" si="54"/>
        <v>46217.979166668294</v>
      </c>
      <c r="B673">
        <v>3.9</v>
      </c>
      <c r="C673" s="2">
        <f t="shared" si="50"/>
        <v>46217</v>
      </c>
      <c r="D673" s="1">
        <f t="shared" si="51"/>
        <v>23.5</v>
      </c>
      <c r="E673" t="str">
        <f t="shared" si="52"/>
        <v>Tuesday</v>
      </c>
      <c r="F673">
        <f>Assumptions!$B$2</f>
        <v>0.5</v>
      </c>
      <c r="G673">
        <f t="shared" si="53"/>
        <v>1.95</v>
      </c>
    </row>
    <row r="674" spans="1:7" x14ac:dyDescent="0.3">
      <c r="A674" s="2">
        <f t="shared" si="54"/>
        <v>46218.00000000163</v>
      </c>
      <c r="B674">
        <v>1.9</v>
      </c>
      <c r="C674" s="2">
        <f t="shared" si="50"/>
        <v>46218</v>
      </c>
      <c r="D674" s="1">
        <f t="shared" si="51"/>
        <v>0</v>
      </c>
      <c r="E674" t="str">
        <f t="shared" si="52"/>
        <v>Wednesday</v>
      </c>
      <c r="F674">
        <f>Assumptions!$B$2</f>
        <v>0.5</v>
      </c>
      <c r="G674">
        <f t="shared" si="53"/>
        <v>0.95</v>
      </c>
    </row>
    <row r="675" spans="1:7" x14ac:dyDescent="0.3">
      <c r="A675" s="2">
        <f t="shared" si="54"/>
        <v>46218.020833334966</v>
      </c>
      <c r="B675">
        <v>1.9</v>
      </c>
      <c r="C675" s="2">
        <f t="shared" si="50"/>
        <v>46218</v>
      </c>
      <c r="D675" s="1">
        <f t="shared" si="51"/>
        <v>0.5</v>
      </c>
      <c r="E675" t="str">
        <f t="shared" si="52"/>
        <v>Wednesday</v>
      </c>
      <c r="F675">
        <f>Assumptions!$B$2</f>
        <v>0.5</v>
      </c>
      <c r="G675">
        <f t="shared" si="53"/>
        <v>0.95</v>
      </c>
    </row>
    <row r="676" spans="1:7" x14ac:dyDescent="0.3">
      <c r="A676" s="2">
        <f t="shared" si="54"/>
        <v>46218.041666668301</v>
      </c>
      <c r="B676">
        <v>2.2999999999999998</v>
      </c>
      <c r="C676" s="2">
        <f t="shared" si="50"/>
        <v>46218</v>
      </c>
      <c r="D676" s="1">
        <f t="shared" si="51"/>
        <v>1</v>
      </c>
      <c r="E676" t="str">
        <f t="shared" si="52"/>
        <v>Wednesday</v>
      </c>
      <c r="F676">
        <f>Assumptions!$B$2</f>
        <v>0.5</v>
      </c>
      <c r="G676">
        <f t="shared" si="53"/>
        <v>1.1499999999999999</v>
      </c>
    </row>
    <row r="677" spans="1:7" x14ac:dyDescent="0.3">
      <c r="A677" s="2">
        <f t="shared" si="54"/>
        <v>46218.062500001637</v>
      </c>
      <c r="B677">
        <v>2.9</v>
      </c>
      <c r="C677" s="2">
        <f t="shared" si="50"/>
        <v>46218</v>
      </c>
      <c r="D677" s="1">
        <f t="shared" si="51"/>
        <v>1.5</v>
      </c>
      <c r="E677" t="str">
        <f t="shared" si="52"/>
        <v>Wednesday</v>
      </c>
      <c r="F677">
        <f>Assumptions!$B$2</f>
        <v>0.5</v>
      </c>
      <c r="G677">
        <f t="shared" si="53"/>
        <v>1.45</v>
      </c>
    </row>
    <row r="678" spans="1:7" x14ac:dyDescent="0.3">
      <c r="A678" s="2">
        <f t="shared" si="54"/>
        <v>46218.083333334973</v>
      </c>
      <c r="B678">
        <v>3</v>
      </c>
      <c r="C678" s="2">
        <f t="shared" si="50"/>
        <v>46218</v>
      </c>
      <c r="D678" s="1">
        <f t="shared" si="51"/>
        <v>2</v>
      </c>
      <c r="E678" t="str">
        <f t="shared" si="52"/>
        <v>Wednesday</v>
      </c>
      <c r="F678">
        <f>Assumptions!$B$2</f>
        <v>0.5</v>
      </c>
      <c r="G678">
        <f t="shared" si="53"/>
        <v>1.5</v>
      </c>
    </row>
    <row r="679" spans="1:7" x14ac:dyDescent="0.3">
      <c r="A679" s="2">
        <f t="shared" si="54"/>
        <v>46218.104166668309</v>
      </c>
      <c r="B679">
        <v>2.5</v>
      </c>
      <c r="C679" s="2">
        <f t="shared" si="50"/>
        <v>46218</v>
      </c>
      <c r="D679" s="1">
        <f t="shared" si="51"/>
        <v>2.5</v>
      </c>
      <c r="E679" t="str">
        <f t="shared" si="52"/>
        <v>Wednesday</v>
      </c>
      <c r="F679">
        <f>Assumptions!$B$2</f>
        <v>0.5</v>
      </c>
      <c r="G679">
        <f t="shared" si="53"/>
        <v>1.25</v>
      </c>
    </row>
    <row r="680" spans="1:7" x14ac:dyDescent="0.3">
      <c r="A680" s="2">
        <f t="shared" si="54"/>
        <v>46218.125000001644</v>
      </c>
      <c r="B680">
        <v>2.2999999999999998</v>
      </c>
      <c r="C680" s="2">
        <f t="shared" si="50"/>
        <v>46218</v>
      </c>
      <c r="D680" s="1">
        <f t="shared" si="51"/>
        <v>3</v>
      </c>
      <c r="E680" t="str">
        <f t="shared" si="52"/>
        <v>Wednesday</v>
      </c>
      <c r="F680">
        <f>Assumptions!$B$2</f>
        <v>0.5</v>
      </c>
      <c r="G680">
        <f t="shared" si="53"/>
        <v>1.1499999999999999</v>
      </c>
    </row>
    <row r="681" spans="1:7" x14ac:dyDescent="0.3">
      <c r="A681" s="2">
        <f t="shared" si="54"/>
        <v>46218.14583333498</v>
      </c>
      <c r="B681">
        <v>2</v>
      </c>
      <c r="C681" s="2">
        <f t="shared" si="50"/>
        <v>46218</v>
      </c>
      <c r="D681" s="1">
        <f t="shared" si="51"/>
        <v>3.5</v>
      </c>
      <c r="E681" t="str">
        <f t="shared" si="52"/>
        <v>Wednesday</v>
      </c>
      <c r="F681">
        <f>Assumptions!$B$2</f>
        <v>0.5</v>
      </c>
      <c r="G681">
        <f t="shared" si="53"/>
        <v>1</v>
      </c>
    </row>
    <row r="682" spans="1:7" x14ac:dyDescent="0.3">
      <c r="A682" s="2">
        <f t="shared" si="54"/>
        <v>46218.166666668316</v>
      </c>
      <c r="B682">
        <v>2.2000000000000002</v>
      </c>
      <c r="C682" s="2">
        <f t="shared" si="50"/>
        <v>46218</v>
      </c>
      <c r="D682" s="1">
        <f t="shared" si="51"/>
        <v>4</v>
      </c>
      <c r="E682" t="str">
        <f t="shared" si="52"/>
        <v>Wednesday</v>
      </c>
      <c r="F682">
        <f>Assumptions!$B$2</f>
        <v>0.5</v>
      </c>
      <c r="G682">
        <f t="shared" si="53"/>
        <v>1.1000000000000001</v>
      </c>
    </row>
    <row r="683" spans="1:7" x14ac:dyDescent="0.3">
      <c r="A683" s="2">
        <f t="shared" si="54"/>
        <v>46218.187500001652</v>
      </c>
      <c r="B683">
        <v>2</v>
      </c>
      <c r="C683" s="2">
        <f t="shared" si="50"/>
        <v>46218</v>
      </c>
      <c r="D683" s="1">
        <f t="shared" si="51"/>
        <v>4.5</v>
      </c>
      <c r="E683" t="str">
        <f t="shared" si="52"/>
        <v>Wednesday</v>
      </c>
      <c r="F683">
        <f>Assumptions!$B$2</f>
        <v>0.5</v>
      </c>
      <c r="G683">
        <f t="shared" si="53"/>
        <v>1</v>
      </c>
    </row>
    <row r="684" spans="1:7" x14ac:dyDescent="0.3">
      <c r="A684" s="2">
        <f t="shared" si="54"/>
        <v>46218.208333334987</v>
      </c>
      <c r="B684">
        <v>2.5</v>
      </c>
      <c r="C684" s="2">
        <f t="shared" si="50"/>
        <v>46218</v>
      </c>
      <c r="D684" s="1">
        <f t="shared" si="51"/>
        <v>5</v>
      </c>
      <c r="E684" t="str">
        <f t="shared" si="52"/>
        <v>Wednesday</v>
      </c>
      <c r="F684">
        <f>Assumptions!$B$2</f>
        <v>0.5</v>
      </c>
      <c r="G684">
        <f t="shared" si="53"/>
        <v>1.25</v>
      </c>
    </row>
    <row r="685" spans="1:7" x14ac:dyDescent="0.3">
      <c r="A685" s="2">
        <f t="shared" si="54"/>
        <v>46218.229166668323</v>
      </c>
      <c r="B685">
        <v>2</v>
      </c>
      <c r="C685" s="2">
        <f t="shared" si="50"/>
        <v>46218</v>
      </c>
      <c r="D685" s="1">
        <f t="shared" si="51"/>
        <v>5.5</v>
      </c>
      <c r="E685" t="str">
        <f t="shared" si="52"/>
        <v>Wednesday</v>
      </c>
      <c r="F685">
        <f>Assumptions!$B$2</f>
        <v>0.5</v>
      </c>
      <c r="G685">
        <f t="shared" si="53"/>
        <v>1</v>
      </c>
    </row>
    <row r="686" spans="1:7" x14ac:dyDescent="0.3">
      <c r="A686" s="2">
        <f t="shared" si="54"/>
        <v>46218.250000001659</v>
      </c>
      <c r="B686">
        <v>6.6</v>
      </c>
      <c r="C686" s="2">
        <f t="shared" si="50"/>
        <v>46218</v>
      </c>
      <c r="D686" s="1">
        <f t="shared" si="51"/>
        <v>6</v>
      </c>
      <c r="E686" t="str">
        <f t="shared" si="52"/>
        <v>Wednesday</v>
      </c>
      <c r="F686">
        <f>Assumptions!$B$2</f>
        <v>0.5</v>
      </c>
      <c r="G686">
        <f t="shared" si="53"/>
        <v>3.3</v>
      </c>
    </row>
    <row r="687" spans="1:7" x14ac:dyDescent="0.3">
      <c r="A687" s="2">
        <f t="shared" si="54"/>
        <v>46218.270833334995</v>
      </c>
      <c r="B687">
        <v>5.2</v>
      </c>
      <c r="C687" s="2">
        <f t="shared" si="50"/>
        <v>46218</v>
      </c>
      <c r="D687" s="1">
        <f t="shared" si="51"/>
        <v>6.5</v>
      </c>
      <c r="E687" t="str">
        <f t="shared" si="52"/>
        <v>Wednesday</v>
      </c>
      <c r="F687">
        <f>Assumptions!$B$2</f>
        <v>0.5</v>
      </c>
      <c r="G687">
        <f t="shared" si="53"/>
        <v>2.6</v>
      </c>
    </row>
    <row r="688" spans="1:7" x14ac:dyDescent="0.3">
      <c r="A688" s="2">
        <f t="shared" si="54"/>
        <v>46218.29166666833</v>
      </c>
      <c r="B688">
        <v>7.7</v>
      </c>
      <c r="C688" s="2">
        <f t="shared" si="50"/>
        <v>46218</v>
      </c>
      <c r="D688" s="1">
        <f t="shared" si="51"/>
        <v>7</v>
      </c>
      <c r="E688" t="str">
        <f t="shared" si="52"/>
        <v>Wednesday</v>
      </c>
      <c r="F688">
        <f>Assumptions!$B$2</f>
        <v>0.5</v>
      </c>
      <c r="G688">
        <f t="shared" si="53"/>
        <v>3.85</v>
      </c>
    </row>
    <row r="689" spans="1:7" x14ac:dyDescent="0.3">
      <c r="A689" s="2">
        <f t="shared" si="54"/>
        <v>46218.312500001666</v>
      </c>
      <c r="B689">
        <v>4</v>
      </c>
      <c r="C689" s="2">
        <f t="shared" si="50"/>
        <v>46218</v>
      </c>
      <c r="D689" s="1">
        <f t="shared" si="51"/>
        <v>7.5</v>
      </c>
      <c r="E689" t="str">
        <f t="shared" si="52"/>
        <v>Wednesday</v>
      </c>
      <c r="F689">
        <f>Assumptions!$B$2</f>
        <v>0.5</v>
      </c>
      <c r="G689">
        <f t="shared" si="53"/>
        <v>2</v>
      </c>
    </row>
    <row r="690" spans="1:7" x14ac:dyDescent="0.3">
      <c r="A690" s="2">
        <f t="shared" si="54"/>
        <v>46218.333333335002</v>
      </c>
      <c r="B690">
        <v>20</v>
      </c>
      <c r="C690" s="2">
        <f t="shared" si="50"/>
        <v>46218</v>
      </c>
      <c r="D690" s="1">
        <f t="shared" si="51"/>
        <v>8</v>
      </c>
      <c r="E690" t="str">
        <f t="shared" si="52"/>
        <v>Wednesday</v>
      </c>
      <c r="F690">
        <f>Assumptions!$B$2</f>
        <v>0.5</v>
      </c>
      <c r="G690">
        <f t="shared" si="53"/>
        <v>10</v>
      </c>
    </row>
    <row r="691" spans="1:7" x14ac:dyDescent="0.3">
      <c r="A691" s="2">
        <f t="shared" si="54"/>
        <v>46218.354166668338</v>
      </c>
      <c r="B691">
        <v>13</v>
      </c>
      <c r="C691" s="2">
        <f t="shared" si="50"/>
        <v>46218</v>
      </c>
      <c r="D691" s="1">
        <f t="shared" si="51"/>
        <v>8.5</v>
      </c>
      <c r="E691" t="str">
        <f t="shared" si="52"/>
        <v>Wednesday</v>
      </c>
      <c r="F691">
        <f>Assumptions!$B$2</f>
        <v>0.5</v>
      </c>
      <c r="G691">
        <f t="shared" si="53"/>
        <v>6.5</v>
      </c>
    </row>
    <row r="692" spans="1:7" x14ac:dyDescent="0.3">
      <c r="A692" s="2">
        <f t="shared" si="54"/>
        <v>46218.375000001673</v>
      </c>
      <c r="B692">
        <v>12.7</v>
      </c>
      <c r="C692" s="2">
        <f t="shared" si="50"/>
        <v>46218</v>
      </c>
      <c r="D692" s="1">
        <f t="shared" si="51"/>
        <v>9</v>
      </c>
      <c r="E692" t="str">
        <f t="shared" si="52"/>
        <v>Wednesday</v>
      </c>
      <c r="F692">
        <f>Assumptions!$B$2</f>
        <v>0.5</v>
      </c>
      <c r="G692">
        <f t="shared" si="53"/>
        <v>6.35</v>
      </c>
    </row>
    <row r="693" spans="1:7" x14ac:dyDescent="0.3">
      <c r="A693" s="2">
        <f t="shared" si="54"/>
        <v>46218.395833335009</v>
      </c>
      <c r="B693">
        <v>14</v>
      </c>
      <c r="C693" s="2">
        <f t="shared" si="50"/>
        <v>46218</v>
      </c>
      <c r="D693" s="1">
        <f t="shared" si="51"/>
        <v>9.5</v>
      </c>
      <c r="E693" t="str">
        <f t="shared" si="52"/>
        <v>Wednesday</v>
      </c>
      <c r="F693">
        <f>Assumptions!$B$2</f>
        <v>0.5</v>
      </c>
      <c r="G693">
        <f t="shared" si="53"/>
        <v>7</v>
      </c>
    </row>
    <row r="694" spans="1:7" x14ac:dyDescent="0.3">
      <c r="A694" s="2">
        <f t="shared" si="54"/>
        <v>46218.416666668345</v>
      </c>
      <c r="B694">
        <v>18.399999999999999</v>
      </c>
      <c r="C694" s="2">
        <f t="shared" si="50"/>
        <v>46218</v>
      </c>
      <c r="D694" s="1">
        <f t="shared" si="51"/>
        <v>10</v>
      </c>
      <c r="E694" t="str">
        <f t="shared" si="52"/>
        <v>Wednesday</v>
      </c>
      <c r="F694">
        <f>Assumptions!$B$2</f>
        <v>0.5</v>
      </c>
      <c r="G694">
        <f t="shared" si="53"/>
        <v>9.1999999999999993</v>
      </c>
    </row>
    <row r="695" spans="1:7" x14ac:dyDescent="0.3">
      <c r="A695" s="2">
        <f t="shared" si="54"/>
        <v>46218.437500001681</v>
      </c>
      <c r="B695">
        <v>17.3</v>
      </c>
      <c r="C695" s="2">
        <f t="shared" si="50"/>
        <v>46218</v>
      </c>
      <c r="D695" s="1">
        <f t="shared" si="51"/>
        <v>10.5</v>
      </c>
      <c r="E695" t="str">
        <f t="shared" si="52"/>
        <v>Wednesday</v>
      </c>
      <c r="F695">
        <f>Assumptions!$B$2</f>
        <v>0.5</v>
      </c>
      <c r="G695">
        <f t="shared" si="53"/>
        <v>8.65</v>
      </c>
    </row>
    <row r="696" spans="1:7" x14ac:dyDescent="0.3">
      <c r="A696" s="2">
        <f t="shared" si="54"/>
        <v>46218.458333335017</v>
      </c>
      <c r="B696">
        <v>16.600000000000001</v>
      </c>
      <c r="C696" s="2">
        <f t="shared" si="50"/>
        <v>46218</v>
      </c>
      <c r="D696" s="1">
        <f t="shared" si="51"/>
        <v>11</v>
      </c>
      <c r="E696" t="str">
        <f t="shared" si="52"/>
        <v>Wednesday</v>
      </c>
      <c r="F696">
        <f>Assumptions!$B$2</f>
        <v>0.5</v>
      </c>
      <c r="G696">
        <f t="shared" si="53"/>
        <v>8.3000000000000007</v>
      </c>
    </row>
    <row r="697" spans="1:7" x14ac:dyDescent="0.3">
      <c r="A697" s="2">
        <f t="shared" si="54"/>
        <v>46218.479166668352</v>
      </c>
      <c r="B697">
        <v>15.1</v>
      </c>
      <c r="C697" s="2">
        <f t="shared" si="50"/>
        <v>46218</v>
      </c>
      <c r="D697" s="1">
        <f t="shared" si="51"/>
        <v>11.5</v>
      </c>
      <c r="E697" t="str">
        <f t="shared" si="52"/>
        <v>Wednesday</v>
      </c>
      <c r="F697">
        <f>Assumptions!$B$2</f>
        <v>0.5</v>
      </c>
      <c r="G697">
        <f t="shared" si="53"/>
        <v>7.55</v>
      </c>
    </row>
    <row r="698" spans="1:7" x14ac:dyDescent="0.3">
      <c r="A698" s="2">
        <f t="shared" si="54"/>
        <v>46218.500000001688</v>
      </c>
      <c r="B698">
        <v>20.399999999999999</v>
      </c>
      <c r="C698" s="2">
        <f t="shared" si="50"/>
        <v>46218</v>
      </c>
      <c r="D698" s="1">
        <f t="shared" si="51"/>
        <v>12</v>
      </c>
      <c r="E698" t="str">
        <f t="shared" si="52"/>
        <v>Wednesday</v>
      </c>
      <c r="F698">
        <f>Assumptions!$B$2</f>
        <v>0.5</v>
      </c>
      <c r="G698">
        <f t="shared" si="53"/>
        <v>10.199999999999999</v>
      </c>
    </row>
    <row r="699" spans="1:7" x14ac:dyDescent="0.3">
      <c r="A699" s="2">
        <f t="shared" si="54"/>
        <v>46218.520833335024</v>
      </c>
      <c r="B699">
        <v>32.700000000000003</v>
      </c>
      <c r="C699" s="2">
        <f t="shared" si="50"/>
        <v>46218</v>
      </c>
      <c r="D699" s="1">
        <f t="shared" si="51"/>
        <v>12.5</v>
      </c>
      <c r="E699" t="str">
        <f t="shared" si="52"/>
        <v>Wednesday</v>
      </c>
      <c r="F699">
        <f>Assumptions!$B$2</f>
        <v>0.5</v>
      </c>
      <c r="G699">
        <f t="shared" si="53"/>
        <v>16.350000000000001</v>
      </c>
    </row>
    <row r="700" spans="1:7" x14ac:dyDescent="0.3">
      <c r="A700" s="2">
        <f t="shared" si="54"/>
        <v>46218.54166666836</v>
      </c>
      <c r="B700">
        <v>33.200000000000003</v>
      </c>
      <c r="C700" s="2">
        <f t="shared" si="50"/>
        <v>46218</v>
      </c>
      <c r="D700" s="1">
        <f t="shared" si="51"/>
        <v>13</v>
      </c>
      <c r="E700" t="str">
        <f t="shared" si="52"/>
        <v>Wednesday</v>
      </c>
      <c r="F700">
        <f>Assumptions!$B$2</f>
        <v>0.5</v>
      </c>
      <c r="G700">
        <f t="shared" si="53"/>
        <v>16.600000000000001</v>
      </c>
    </row>
    <row r="701" spans="1:7" x14ac:dyDescent="0.3">
      <c r="A701" s="2">
        <f t="shared" si="54"/>
        <v>46218.562500001695</v>
      </c>
      <c r="B701">
        <v>21.6</v>
      </c>
      <c r="C701" s="2">
        <f t="shared" si="50"/>
        <v>46218</v>
      </c>
      <c r="D701" s="1">
        <f t="shared" si="51"/>
        <v>13.5</v>
      </c>
      <c r="E701" t="str">
        <f t="shared" si="52"/>
        <v>Wednesday</v>
      </c>
      <c r="F701">
        <f>Assumptions!$B$2</f>
        <v>0.5</v>
      </c>
      <c r="G701">
        <f t="shared" si="53"/>
        <v>10.8</v>
      </c>
    </row>
    <row r="702" spans="1:7" x14ac:dyDescent="0.3">
      <c r="A702" s="2">
        <f t="shared" si="54"/>
        <v>46218.583333335031</v>
      </c>
      <c r="B702">
        <v>21.6</v>
      </c>
      <c r="C702" s="2">
        <f t="shared" si="50"/>
        <v>46218</v>
      </c>
      <c r="D702" s="1">
        <f t="shared" si="51"/>
        <v>14</v>
      </c>
      <c r="E702" t="str">
        <f t="shared" si="52"/>
        <v>Wednesday</v>
      </c>
      <c r="F702">
        <f>Assumptions!$B$2</f>
        <v>0.5</v>
      </c>
      <c r="G702">
        <f t="shared" si="53"/>
        <v>10.8</v>
      </c>
    </row>
    <row r="703" spans="1:7" x14ac:dyDescent="0.3">
      <c r="A703" s="2">
        <f t="shared" si="54"/>
        <v>46218.604166668367</v>
      </c>
      <c r="B703">
        <v>26.1</v>
      </c>
      <c r="C703" s="2">
        <f t="shared" si="50"/>
        <v>46218</v>
      </c>
      <c r="D703" s="1">
        <f t="shared" si="51"/>
        <v>14.5</v>
      </c>
      <c r="E703" t="str">
        <f t="shared" si="52"/>
        <v>Wednesday</v>
      </c>
      <c r="F703">
        <f>Assumptions!$B$2</f>
        <v>0.5</v>
      </c>
      <c r="G703">
        <f t="shared" si="53"/>
        <v>13.05</v>
      </c>
    </row>
    <row r="704" spans="1:7" x14ac:dyDescent="0.3">
      <c r="A704" s="2">
        <f t="shared" si="54"/>
        <v>46218.625000001703</v>
      </c>
      <c r="B704">
        <v>26.2</v>
      </c>
      <c r="C704" s="2">
        <f t="shared" si="50"/>
        <v>46218</v>
      </c>
      <c r="D704" s="1">
        <f t="shared" si="51"/>
        <v>15</v>
      </c>
      <c r="E704" t="str">
        <f t="shared" si="52"/>
        <v>Wednesday</v>
      </c>
      <c r="F704">
        <f>Assumptions!$B$2</f>
        <v>0.5</v>
      </c>
      <c r="G704">
        <f t="shared" si="53"/>
        <v>13.1</v>
      </c>
    </row>
    <row r="705" spans="1:7" x14ac:dyDescent="0.3">
      <c r="A705" s="2">
        <f t="shared" si="54"/>
        <v>46218.645833335038</v>
      </c>
      <c r="B705">
        <v>34.6</v>
      </c>
      <c r="C705" s="2">
        <f t="shared" si="50"/>
        <v>46218</v>
      </c>
      <c r="D705" s="1">
        <f t="shared" si="51"/>
        <v>15.5</v>
      </c>
      <c r="E705" t="str">
        <f t="shared" si="52"/>
        <v>Wednesday</v>
      </c>
      <c r="F705">
        <f>Assumptions!$B$2</f>
        <v>0.5</v>
      </c>
      <c r="G705">
        <f t="shared" si="53"/>
        <v>17.3</v>
      </c>
    </row>
    <row r="706" spans="1:7" x14ac:dyDescent="0.3">
      <c r="A706" s="2">
        <f t="shared" si="54"/>
        <v>46218.666666668374</v>
      </c>
      <c r="B706">
        <v>16.5</v>
      </c>
      <c r="C706" s="2">
        <f t="shared" si="50"/>
        <v>46218</v>
      </c>
      <c r="D706" s="1">
        <f t="shared" si="51"/>
        <v>16</v>
      </c>
      <c r="E706" t="str">
        <f t="shared" si="52"/>
        <v>Wednesday</v>
      </c>
      <c r="F706">
        <f>Assumptions!$B$2</f>
        <v>0.5</v>
      </c>
      <c r="G706">
        <f t="shared" si="53"/>
        <v>8.25</v>
      </c>
    </row>
    <row r="707" spans="1:7" x14ac:dyDescent="0.3">
      <c r="A707" s="2">
        <f t="shared" si="54"/>
        <v>46218.68750000171</v>
      </c>
      <c r="B707">
        <v>10.4</v>
      </c>
      <c r="C707" s="2">
        <f t="shared" ref="C707:C770" si="55">INT(A707)</f>
        <v>46218</v>
      </c>
      <c r="D707" s="1">
        <f t="shared" ref="D707:D770" si="56">HOUR(A707)+MINUTE(A707)/60</f>
        <v>16.5</v>
      </c>
      <c r="E707" t="str">
        <f t="shared" ref="E707:E770" si="57">TEXT(A707,"dddd")</f>
        <v>Wednesday</v>
      </c>
      <c r="F707">
        <f>Assumptions!$B$2</f>
        <v>0.5</v>
      </c>
      <c r="G707">
        <f t="shared" ref="G707:G770" si="58">B707*F707</f>
        <v>5.2</v>
      </c>
    </row>
    <row r="708" spans="1:7" x14ac:dyDescent="0.3">
      <c r="A708" s="2">
        <f t="shared" ref="A708:A771" si="59">A707+TIME(0,30,0)</f>
        <v>46218.708333335046</v>
      </c>
      <c r="B708">
        <v>19.2</v>
      </c>
      <c r="C708" s="2">
        <f t="shared" si="55"/>
        <v>46218</v>
      </c>
      <c r="D708" s="1">
        <f t="shared" si="56"/>
        <v>17</v>
      </c>
      <c r="E708" t="str">
        <f t="shared" si="57"/>
        <v>Wednesday</v>
      </c>
      <c r="F708">
        <f>Assumptions!$B$2</f>
        <v>0.5</v>
      </c>
      <c r="G708">
        <f t="shared" si="58"/>
        <v>9.6</v>
      </c>
    </row>
    <row r="709" spans="1:7" x14ac:dyDescent="0.3">
      <c r="A709" s="2">
        <f t="shared" si="59"/>
        <v>46218.729166668381</v>
      </c>
      <c r="B709">
        <v>16</v>
      </c>
      <c r="C709" s="2">
        <f t="shared" si="55"/>
        <v>46218</v>
      </c>
      <c r="D709" s="1">
        <f t="shared" si="56"/>
        <v>17.5</v>
      </c>
      <c r="E709" t="str">
        <f t="shared" si="57"/>
        <v>Wednesday</v>
      </c>
      <c r="F709">
        <f>Assumptions!$B$2</f>
        <v>0.5</v>
      </c>
      <c r="G709">
        <f t="shared" si="58"/>
        <v>8</v>
      </c>
    </row>
    <row r="710" spans="1:7" x14ac:dyDescent="0.3">
      <c r="A710" s="2">
        <f t="shared" si="59"/>
        <v>46218.750000001717</v>
      </c>
      <c r="B710">
        <v>16.100000000000001</v>
      </c>
      <c r="C710" s="2">
        <f t="shared" si="55"/>
        <v>46218</v>
      </c>
      <c r="D710" s="1">
        <f t="shared" si="56"/>
        <v>18</v>
      </c>
      <c r="E710" t="str">
        <f t="shared" si="57"/>
        <v>Wednesday</v>
      </c>
      <c r="F710">
        <f>Assumptions!$B$2</f>
        <v>0.5</v>
      </c>
      <c r="G710">
        <f t="shared" si="58"/>
        <v>8.0500000000000007</v>
      </c>
    </row>
    <row r="711" spans="1:7" x14ac:dyDescent="0.3">
      <c r="A711" s="2">
        <f t="shared" si="59"/>
        <v>46218.770833335053</v>
      </c>
      <c r="B711">
        <v>16.2</v>
      </c>
      <c r="C711" s="2">
        <f t="shared" si="55"/>
        <v>46218</v>
      </c>
      <c r="D711" s="1">
        <f t="shared" si="56"/>
        <v>18.5</v>
      </c>
      <c r="E711" t="str">
        <f t="shared" si="57"/>
        <v>Wednesday</v>
      </c>
      <c r="F711">
        <f>Assumptions!$B$2</f>
        <v>0.5</v>
      </c>
      <c r="G711">
        <f t="shared" si="58"/>
        <v>8.1</v>
      </c>
    </row>
    <row r="712" spans="1:7" x14ac:dyDescent="0.3">
      <c r="A712" s="2">
        <f t="shared" si="59"/>
        <v>46218.791666668389</v>
      </c>
      <c r="B712">
        <v>3.7</v>
      </c>
      <c r="C712" s="2">
        <f t="shared" si="55"/>
        <v>46218</v>
      </c>
      <c r="D712" s="1">
        <f t="shared" si="56"/>
        <v>19</v>
      </c>
      <c r="E712" t="str">
        <f t="shared" si="57"/>
        <v>Wednesday</v>
      </c>
      <c r="F712">
        <f>Assumptions!$B$2</f>
        <v>0.5</v>
      </c>
      <c r="G712">
        <f t="shared" si="58"/>
        <v>1.85</v>
      </c>
    </row>
    <row r="713" spans="1:7" x14ac:dyDescent="0.3">
      <c r="A713" s="2">
        <f t="shared" si="59"/>
        <v>46218.812500001724</v>
      </c>
      <c r="B713">
        <v>5.5</v>
      </c>
      <c r="C713" s="2">
        <f t="shared" si="55"/>
        <v>46218</v>
      </c>
      <c r="D713" s="1">
        <f t="shared" si="56"/>
        <v>19.5</v>
      </c>
      <c r="E713" t="str">
        <f t="shared" si="57"/>
        <v>Wednesday</v>
      </c>
      <c r="F713">
        <f>Assumptions!$B$2</f>
        <v>0.5</v>
      </c>
      <c r="G713">
        <f t="shared" si="58"/>
        <v>2.75</v>
      </c>
    </row>
    <row r="714" spans="1:7" x14ac:dyDescent="0.3">
      <c r="A714" s="2">
        <f t="shared" si="59"/>
        <v>46218.83333333506</v>
      </c>
      <c r="B714">
        <v>4.7</v>
      </c>
      <c r="C714" s="2">
        <f t="shared" si="55"/>
        <v>46218</v>
      </c>
      <c r="D714" s="1">
        <f t="shared" si="56"/>
        <v>20</v>
      </c>
      <c r="E714" t="str">
        <f t="shared" si="57"/>
        <v>Wednesday</v>
      </c>
      <c r="F714">
        <f>Assumptions!$B$2</f>
        <v>0.5</v>
      </c>
      <c r="G714">
        <f t="shared" si="58"/>
        <v>2.35</v>
      </c>
    </row>
    <row r="715" spans="1:7" x14ac:dyDescent="0.3">
      <c r="A715" s="2">
        <f t="shared" si="59"/>
        <v>46218.854166668396</v>
      </c>
      <c r="B715">
        <v>6.6</v>
      </c>
      <c r="C715" s="2">
        <f t="shared" si="55"/>
        <v>46218</v>
      </c>
      <c r="D715" s="1">
        <f t="shared" si="56"/>
        <v>20.5</v>
      </c>
      <c r="E715" t="str">
        <f t="shared" si="57"/>
        <v>Wednesday</v>
      </c>
      <c r="F715">
        <f>Assumptions!$B$2</f>
        <v>0.5</v>
      </c>
      <c r="G715">
        <f t="shared" si="58"/>
        <v>3.3</v>
      </c>
    </row>
    <row r="716" spans="1:7" x14ac:dyDescent="0.3">
      <c r="A716" s="2">
        <f t="shared" si="59"/>
        <v>46218.875000001732</v>
      </c>
      <c r="B716">
        <v>5.8</v>
      </c>
      <c r="C716" s="2">
        <f t="shared" si="55"/>
        <v>46218</v>
      </c>
      <c r="D716" s="1">
        <f t="shared" si="56"/>
        <v>21</v>
      </c>
      <c r="E716" t="str">
        <f t="shared" si="57"/>
        <v>Wednesday</v>
      </c>
      <c r="F716">
        <f>Assumptions!$B$2</f>
        <v>0.5</v>
      </c>
      <c r="G716">
        <f t="shared" si="58"/>
        <v>2.9</v>
      </c>
    </row>
    <row r="717" spans="1:7" x14ac:dyDescent="0.3">
      <c r="A717" s="2">
        <f t="shared" si="59"/>
        <v>46218.895833335067</v>
      </c>
      <c r="B717">
        <v>4.0999999999999996</v>
      </c>
      <c r="C717" s="2">
        <f t="shared" si="55"/>
        <v>46218</v>
      </c>
      <c r="D717" s="1">
        <f t="shared" si="56"/>
        <v>21.5</v>
      </c>
      <c r="E717" t="str">
        <f t="shared" si="57"/>
        <v>Wednesday</v>
      </c>
      <c r="F717">
        <f>Assumptions!$B$2</f>
        <v>0.5</v>
      </c>
      <c r="G717">
        <f t="shared" si="58"/>
        <v>2.0499999999999998</v>
      </c>
    </row>
    <row r="718" spans="1:7" x14ac:dyDescent="0.3">
      <c r="A718" s="2">
        <f t="shared" si="59"/>
        <v>46218.916666668403</v>
      </c>
      <c r="B718">
        <v>7.8</v>
      </c>
      <c r="C718" s="2">
        <f t="shared" si="55"/>
        <v>46218</v>
      </c>
      <c r="D718" s="1">
        <f t="shared" si="56"/>
        <v>22</v>
      </c>
      <c r="E718" t="str">
        <f t="shared" si="57"/>
        <v>Wednesday</v>
      </c>
      <c r="F718">
        <f>Assumptions!$B$2</f>
        <v>0.5</v>
      </c>
      <c r="G718">
        <f t="shared" si="58"/>
        <v>3.9</v>
      </c>
    </row>
    <row r="719" spans="1:7" x14ac:dyDescent="0.3">
      <c r="A719" s="2">
        <f t="shared" si="59"/>
        <v>46218.937500001739</v>
      </c>
      <c r="B719">
        <v>3.5</v>
      </c>
      <c r="C719" s="2">
        <f t="shared" si="55"/>
        <v>46218</v>
      </c>
      <c r="D719" s="1">
        <f t="shared" si="56"/>
        <v>22.5</v>
      </c>
      <c r="E719" t="str">
        <f t="shared" si="57"/>
        <v>Wednesday</v>
      </c>
      <c r="F719">
        <f>Assumptions!$B$2</f>
        <v>0.5</v>
      </c>
      <c r="G719">
        <f t="shared" si="58"/>
        <v>1.75</v>
      </c>
    </row>
    <row r="720" spans="1:7" x14ac:dyDescent="0.3">
      <c r="A720" s="2">
        <f t="shared" si="59"/>
        <v>46218.958333335075</v>
      </c>
      <c r="B720">
        <v>7.2</v>
      </c>
      <c r="C720" s="2">
        <f t="shared" si="55"/>
        <v>46218</v>
      </c>
      <c r="D720" s="1">
        <f t="shared" si="56"/>
        <v>23</v>
      </c>
      <c r="E720" t="str">
        <f t="shared" si="57"/>
        <v>Wednesday</v>
      </c>
      <c r="F720">
        <f>Assumptions!$B$2</f>
        <v>0.5</v>
      </c>
      <c r="G720">
        <f t="shared" si="58"/>
        <v>3.6</v>
      </c>
    </row>
    <row r="721" spans="1:7" x14ac:dyDescent="0.3">
      <c r="A721" s="2">
        <f t="shared" si="59"/>
        <v>46218.97916666841</v>
      </c>
      <c r="B721">
        <v>3.6</v>
      </c>
      <c r="C721" s="2">
        <f t="shared" si="55"/>
        <v>46218</v>
      </c>
      <c r="D721" s="1">
        <f t="shared" si="56"/>
        <v>23.5</v>
      </c>
      <c r="E721" t="str">
        <f t="shared" si="57"/>
        <v>Wednesday</v>
      </c>
      <c r="F721">
        <f>Assumptions!$B$2</f>
        <v>0.5</v>
      </c>
      <c r="G721">
        <f t="shared" si="58"/>
        <v>1.8</v>
      </c>
    </row>
    <row r="722" spans="1:7" x14ac:dyDescent="0.3">
      <c r="A722" s="2">
        <f t="shared" si="59"/>
        <v>46219.000000001746</v>
      </c>
      <c r="B722">
        <v>2.4</v>
      </c>
      <c r="C722" s="2">
        <f t="shared" si="55"/>
        <v>46219</v>
      </c>
      <c r="D722" s="1">
        <f t="shared" si="56"/>
        <v>0</v>
      </c>
      <c r="E722" t="str">
        <f t="shared" si="57"/>
        <v>Thursday</v>
      </c>
      <c r="F722">
        <f>Assumptions!$B$2</f>
        <v>0.5</v>
      </c>
      <c r="G722">
        <f t="shared" si="58"/>
        <v>1.2</v>
      </c>
    </row>
    <row r="723" spans="1:7" x14ac:dyDescent="0.3">
      <c r="A723" s="2">
        <f t="shared" si="59"/>
        <v>46219.020833335082</v>
      </c>
      <c r="B723">
        <v>2</v>
      </c>
      <c r="C723" s="2">
        <f t="shared" si="55"/>
        <v>46219</v>
      </c>
      <c r="D723" s="1">
        <f t="shared" si="56"/>
        <v>0.5</v>
      </c>
      <c r="E723" t="str">
        <f t="shared" si="57"/>
        <v>Thursday</v>
      </c>
      <c r="F723">
        <f>Assumptions!$B$2</f>
        <v>0.5</v>
      </c>
      <c r="G723">
        <f t="shared" si="58"/>
        <v>1</v>
      </c>
    </row>
    <row r="724" spans="1:7" x14ac:dyDescent="0.3">
      <c r="A724" s="2">
        <f t="shared" si="59"/>
        <v>46219.041666668418</v>
      </c>
      <c r="B724">
        <v>2.9</v>
      </c>
      <c r="C724" s="2">
        <f t="shared" si="55"/>
        <v>46219</v>
      </c>
      <c r="D724" s="1">
        <f t="shared" si="56"/>
        <v>1</v>
      </c>
      <c r="E724" t="str">
        <f t="shared" si="57"/>
        <v>Thursday</v>
      </c>
      <c r="F724">
        <f>Assumptions!$B$2</f>
        <v>0.5</v>
      </c>
      <c r="G724">
        <f t="shared" si="58"/>
        <v>1.45</v>
      </c>
    </row>
    <row r="725" spans="1:7" x14ac:dyDescent="0.3">
      <c r="A725" s="2">
        <f t="shared" si="59"/>
        <v>46219.062500001754</v>
      </c>
      <c r="B725">
        <v>3</v>
      </c>
      <c r="C725" s="2">
        <f t="shared" si="55"/>
        <v>46219</v>
      </c>
      <c r="D725" s="1">
        <f t="shared" si="56"/>
        <v>1.5</v>
      </c>
      <c r="E725" t="str">
        <f t="shared" si="57"/>
        <v>Thursday</v>
      </c>
      <c r="F725">
        <f>Assumptions!$B$2</f>
        <v>0.5</v>
      </c>
      <c r="G725">
        <f t="shared" si="58"/>
        <v>1.5</v>
      </c>
    </row>
    <row r="726" spans="1:7" x14ac:dyDescent="0.3">
      <c r="A726" s="2">
        <f t="shared" si="59"/>
        <v>46219.083333335089</v>
      </c>
      <c r="B726">
        <v>2.2000000000000002</v>
      </c>
      <c r="C726" s="2">
        <f t="shared" si="55"/>
        <v>46219</v>
      </c>
      <c r="D726" s="1">
        <f t="shared" si="56"/>
        <v>2</v>
      </c>
      <c r="E726" t="str">
        <f t="shared" si="57"/>
        <v>Thursday</v>
      </c>
      <c r="F726">
        <f>Assumptions!$B$2</f>
        <v>0.5</v>
      </c>
      <c r="G726">
        <f t="shared" si="58"/>
        <v>1.1000000000000001</v>
      </c>
    </row>
    <row r="727" spans="1:7" x14ac:dyDescent="0.3">
      <c r="A727" s="2">
        <f t="shared" si="59"/>
        <v>46219.104166668425</v>
      </c>
      <c r="B727">
        <v>2.7</v>
      </c>
      <c r="C727" s="2">
        <f t="shared" si="55"/>
        <v>46219</v>
      </c>
      <c r="D727" s="1">
        <f t="shared" si="56"/>
        <v>2.5</v>
      </c>
      <c r="E727" t="str">
        <f t="shared" si="57"/>
        <v>Thursday</v>
      </c>
      <c r="F727">
        <f>Assumptions!$B$2</f>
        <v>0.5</v>
      </c>
      <c r="G727">
        <f t="shared" si="58"/>
        <v>1.35</v>
      </c>
    </row>
    <row r="728" spans="1:7" x14ac:dyDescent="0.3">
      <c r="A728" s="2">
        <f t="shared" si="59"/>
        <v>46219.125000001761</v>
      </c>
      <c r="B728">
        <v>1.8</v>
      </c>
      <c r="C728" s="2">
        <f t="shared" si="55"/>
        <v>46219</v>
      </c>
      <c r="D728" s="1">
        <f t="shared" si="56"/>
        <v>3</v>
      </c>
      <c r="E728" t="str">
        <f t="shared" si="57"/>
        <v>Thursday</v>
      </c>
      <c r="F728">
        <f>Assumptions!$B$2</f>
        <v>0.5</v>
      </c>
      <c r="G728">
        <f t="shared" si="58"/>
        <v>0.9</v>
      </c>
    </row>
    <row r="729" spans="1:7" x14ac:dyDescent="0.3">
      <c r="A729" s="2">
        <f t="shared" si="59"/>
        <v>46219.145833335097</v>
      </c>
      <c r="B729">
        <v>1.8</v>
      </c>
      <c r="C729" s="2">
        <f t="shared" si="55"/>
        <v>46219</v>
      </c>
      <c r="D729" s="1">
        <f t="shared" si="56"/>
        <v>3.5</v>
      </c>
      <c r="E729" t="str">
        <f t="shared" si="57"/>
        <v>Thursday</v>
      </c>
      <c r="F729">
        <f>Assumptions!$B$2</f>
        <v>0.5</v>
      </c>
      <c r="G729">
        <f t="shared" si="58"/>
        <v>0.9</v>
      </c>
    </row>
    <row r="730" spans="1:7" x14ac:dyDescent="0.3">
      <c r="A730" s="2">
        <f t="shared" si="59"/>
        <v>46219.166666668432</v>
      </c>
      <c r="B730">
        <v>2.8</v>
      </c>
      <c r="C730" s="2">
        <f t="shared" si="55"/>
        <v>46219</v>
      </c>
      <c r="D730" s="1">
        <f t="shared" si="56"/>
        <v>4</v>
      </c>
      <c r="E730" t="str">
        <f t="shared" si="57"/>
        <v>Thursday</v>
      </c>
      <c r="F730">
        <f>Assumptions!$B$2</f>
        <v>0.5</v>
      </c>
      <c r="G730">
        <f t="shared" si="58"/>
        <v>1.4</v>
      </c>
    </row>
    <row r="731" spans="1:7" x14ac:dyDescent="0.3">
      <c r="A731" s="2">
        <f t="shared" si="59"/>
        <v>46219.187500001768</v>
      </c>
      <c r="B731">
        <v>2.2999999999999998</v>
      </c>
      <c r="C731" s="2">
        <f t="shared" si="55"/>
        <v>46219</v>
      </c>
      <c r="D731" s="1">
        <f t="shared" si="56"/>
        <v>4.5</v>
      </c>
      <c r="E731" t="str">
        <f t="shared" si="57"/>
        <v>Thursday</v>
      </c>
      <c r="F731">
        <f>Assumptions!$B$2</f>
        <v>0.5</v>
      </c>
      <c r="G731">
        <f t="shared" si="58"/>
        <v>1.1499999999999999</v>
      </c>
    </row>
    <row r="732" spans="1:7" x14ac:dyDescent="0.3">
      <c r="A732" s="2">
        <f t="shared" si="59"/>
        <v>46219.208333335104</v>
      </c>
      <c r="B732">
        <v>2.4</v>
      </c>
      <c r="C732" s="2">
        <f t="shared" si="55"/>
        <v>46219</v>
      </c>
      <c r="D732" s="1">
        <f t="shared" si="56"/>
        <v>5</v>
      </c>
      <c r="E732" t="str">
        <f t="shared" si="57"/>
        <v>Thursday</v>
      </c>
      <c r="F732">
        <f>Assumptions!$B$2</f>
        <v>0.5</v>
      </c>
      <c r="G732">
        <f t="shared" si="58"/>
        <v>1.2</v>
      </c>
    </row>
    <row r="733" spans="1:7" x14ac:dyDescent="0.3">
      <c r="A733" s="2">
        <f t="shared" si="59"/>
        <v>46219.22916666844</v>
      </c>
      <c r="B733">
        <v>3</v>
      </c>
      <c r="C733" s="2">
        <f t="shared" si="55"/>
        <v>46219</v>
      </c>
      <c r="D733" s="1">
        <f t="shared" si="56"/>
        <v>5.5</v>
      </c>
      <c r="E733" t="str">
        <f t="shared" si="57"/>
        <v>Thursday</v>
      </c>
      <c r="F733">
        <f>Assumptions!$B$2</f>
        <v>0.5</v>
      </c>
      <c r="G733">
        <f t="shared" si="58"/>
        <v>1.5</v>
      </c>
    </row>
    <row r="734" spans="1:7" x14ac:dyDescent="0.3">
      <c r="A734" s="2">
        <f t="shared" si="59"/>
        <v>46219.250000001775</v>
      </c>
      <c r="B734">
        <v>5.3</v>
      </c>
      <c r="C734" s="2">
        <f t="shared" si="55"/>
        <v>46219</v>
      </c>
      <c r="D734" s="1">
        <f t="shared" si="56"/>
        <v>6</v>
      </c>
      <c r="E734" t="str">
        <f t="shared" si="57"/>
        <v>Thursday</v>
      </c>
      <c r="F734">
        <f>Assumptions!$B$2</f>
        <v>0.5</v>
      </c>
      <c r="G734">
        <f t="shared" si="58"/>
        <v>2.65</v>
      </c>
    </row>
    <row r="735" spans="1:7" x14ac:dyDescent="0.3">
      <c r="A735" s="2">
        <f t="shared" si="59"/>
        <v>46219.270833335111</v>
      </c>
      <c r="B735">
        <v>6.5</v>
      </c>
      <c r="C735" s="2">
        <f t="shared" si="55"/>
        <v>46219</v>
      </c>
      <c r="D735" s="1">
        <f t="shared" si="56"/>
        <v>6.5</v>
      </c>
      <c r="E735" t="str">
        <f t="shared" si="57"/>
        <v>Thursday</v>
      </c>
      <c r="F735">
        <f>Assumptions!$B$2</f>
        <v>0.5</v>
      </c>
      <c r="G735">
        <f t="shared" si="58"/>
        <v>3.25</v>
      </c>
    </row>
    <row r="736" spans="1:7" x14ac:dyDescent="0.3">
      <c r="A736" s="2">
        <f t="shared" si="59"/>
        <v>46219.291666668447</v>
      </c>
      <c r="B736">
        <v>7.8</v>
      </c>
      <c r="C736" s="2">
        <f t="shared" si="55"/>
        <v>46219</v>
      </c>
      <c r="D736" s="1">
        <f t="shared" si="56"/>
        <v>7</v>
      </c>
      <c r="E736" t="str">
        <f t="shared" si="57"/>
        <v>Thursday</v>
      </c>
      <c r="F736">
        <f>Assumptions!$B$2</f>
        <v>0.5</v>
      </c>
      <c r="G736">
        <f t="shared" si="58"/>
        <v>3.9</v>
      </c>
    </row>
    <row r="737" spans="1:7" x14ac:dyDescent="0.3">
      <c r="A737" s="2">
        <f t="shared" si="59"/>
        <v>46219.312500001783</v>
      </c>
      <c r="B737">
        <v>6.5</v>
      </c>
      <c r="C737" s="2">
        <f t="shared" si="55"/>
        <v>46219</v>
      </c>
      <c r="D737" s="1">
        <f t="shared" si="56"/>
        <v>7.5</v>
      </c>
      <c r="E737" t="str">
        <f t="shared" si="57"/>
        <v>Thursday</v>
      </c>
      <c r="F737">
        <f>Assumptions!$B$2</f>
        <v>0.5</v>
      </c>
      <c r="G737">
        <f t="shared" si="58"/>
        <v>3.25</v>
      </c>
    </row>
    <row r="738" spans="1:7" x14ac:dyDescent="0.3">
      <c r="A738" s="2">
        <f t="shared" si="59"/>
        <v>46219.333333335118</v>
      </c>
      <c r="B738">
        <v>14.2</v>
      </c>
      <c r="C738" s="2">
        <f t="shared" si="55"/>
        <v>46219</v>
      </c>
      <c r="D738" s="1">
        <f t="shared" si="56"/>
        <v>8</v>
      </c>
      <c r="E738" t="str">
        <f t="shared" si="57"/>
        <v>Thursday</v>
      </c>
      <c r="F738">
        <f>Assumptions!$B$2</f>
        <v>0.5</v>
      </c>
      <c r="G738">
        <f t="shared" si="58"/>
        <v>7.1</v>
      </c>
    </row>
    <row r="739" spans="1:7" x14ac:dyDescent="0.3">
      <c r="A739" s="2">
        <f t="shared" si="59"/>
        <v>46219.354166668454</v>
      </c>
      <c r="B739">
        <v>14.1</v>
      </c>
      <c r="C739" s="2">
        <f t="shared" si="55"/>
        <v>46219</v>
      </c>
      <c r="D739" s="1">
        <f t="shared" si="56"/>
        <v>8.5</v>
      </c>
      <c r="E739" t="str">
        <f t="shared" si="57"/>
        <v>Thursday</v>
      </c>
      <c r="F739">
        <f>Assumptions!$B$2</f>
        <v>0.5</v>
      </c>
      <c r="G739">
        <f t="shared" si="58"/>
        <v>7.05</v>
      </c>
    </row>
    <row r="740" spans="1:7" x14ac:dyDescent="0.3">
      <c r="A740" s="2">
        <f t="shared" si="59"/>
        <v>46219.37500000179</v>
      </c>
      <c r="B740">
        <v>13</v>
      </c>
      <c r="C740" s="2">
        <f t="shared" si="55"/>
        <v>46219</v>
      </c>
      <c r="D740" s="1">
        <f t="shared" si="56"/>
        <v>9</v>
      </c>
      <c r="E740" t="str">
        <f t="shared" si="57"/>
        <v>Thursday</v>
      </c>
      <c r="F740">
        <f>Assumptions!$B$2</f>
        <v>0.5</v>
      </c>
      <c r="G740">
        <f t="shared" si="58"/>
        <v>6.5</v>
      </c>
    </row>
    <row r="741" spans="1:7" x14ac:dyDescent="0.3">
      <c r="A741" s="2">
        <f t="shared" si="59"/>
        <v>46219.395833335126</v>
      </c>
      <c r="B741">
        <v>18.899999999999999</v>
      </c>
      <c r="C741" s="2">
        <f t="shared" si="55"/>
        <v>46219</v>
      </c>
      <c r="D741" s="1">
        <f t="shared" si="56"/>
        <v>9.5</v>
      </c>
      <c r="E741" t="str">
        <f t="shared" si="57"/>
        <v>Thursday</v>
      </c>
      <c r="F741">
        <f>Assumptions!$B$2</f>
        <v>0.5</v>
      </c>
      <c r="G741">
        <f t="shared" si="58"/>
        <v>9.4499999999999993</v>
      </c>
    </row>
    <row r="742" spans="1:7" x14ac:dyDescent="0.3">
      <c r="A742" s="2">
        <f t="shared" si="59"/>
        <v>46219.416666668461</v>
      </c>
      <c r="B742">
        <v>20.100000000000001</v>
      </c>
      <c r="C742" s="2">
        <f t="shared" si="55"/>
        <v>46219</v>
      </c>
      <c r="D742" s="1">
        <f t="shared" si="56"/>
        <v>10</v>
      </c>
      <c r="E742" t="str">
        <f t="shared" si="57"/>
        <v>Thursday</v>
      </c>
      <c r="F742">
        <f>Assumptions!$B$2</f>
        <v>0.5</v>
      </c>
      <c r="G742">
        <f t="shared" si="58"/>
        <v>10.050000000000001</v>
      </c>
    </row>
    <row r="743" spans="1:7" x14ac:dyDescent="0.3">
      <c r="A743" s="2">
        <f t="shared" si="59"/>
        <v>46219.437500001797</v>
      </c>
      <c r="B743">
        <v>19.8</v>
      </c>
      <c r="C743" s="2">
        <f t="shared" si="55"/>
        <v>46219</v>
      </c>
      <c r="D743" s="1">
        <f t="shared" si="56"/>
        <v>10.5</v>
      </c>
      <c r="E743" t="str">
        <f t="shared" si="57"/>
        <v>Thursday</v>
      </c>
      <c r="F743">
        <f>Assumptions!$B$2</f>
        <v>0.5</v>
      </c>
      <c r="G743">
        <f t="shared" si="58"/>
        <v>9.9</v>
      </c>
    </row>
    <row r="744" spans="1:7" x14ac:dyDescent="0.3">
      <c r="A744" s="2">
        <f t="shared" si="59"/>
        <v>46219.458333335133</v>
      </c>
      <c r="B744">
        <v>18.8</v>
      </c>
      <c r="C744" s="2">
        <f t="shared" si="55"/>
        <v>46219</v>
      </c>
      <c r="D744" s="1">
        <f t="shared" si="56"/>
        <v>11</v>
      </c>
      <c r="E744" t="str">
        <f t="shared" si="57"/>
        <v>Thursday</v>
      </c>
      <c r="F744">
        <f>Assumptions!$B$2</f>
        <v>0.5</v>
      </c>
      <c r="G744">
        <f t="shared" si="58"/>
        <v>9.4</v>
      </c>
    </row>
    <row r="745" spans="1:7" x14ac:dyDescent="0.3">
      <c r="A745" s="2">
        <f t="shared" si="59"/>
        <v>46219.479166668469</v>
      </c>
      <c r="B745">
        <v>18.2</v>
      </c>
      <c r="C745" s="2">
        <f t="shared" si="55"/>
        <v>46219</v>
      </c>
      <c r="D745" s="1">
        <f t="shared" si="56"/>
        <v>11.5</v>
      </c>
      <c r="E745" t="str">
        <f t="shared" si="57"/>
        <v>Thursday</v>
      </c>
      <c r="F745">
        <f>Assumptions!$B$2</f>
        <v>0.5</v>
      </c>
      <c r="G745">
        <f t="shared" si="58"/>
        <v>9.1</v>
      </c>
    </row>
    <row r="746" spans="1:7" x14ac:dyDescent="0.3">
      <c r="A746" s="2">
        <f t="shared" si="59"/>
        <v>46219.500000001804</v>
      </c>
      <c r="B746">
        <v>20.3</v>
      </c>
      <c r="C746" s="2">
        <f t="shared" si="55"/>
        <v>46219</v>
      </c>
      <c r="D746" s="1">
        <f t="shared" si="56"/>
        <v>12</v>
      </c>
      <c r="E746" t="str">
        <f t="shared" si="57"/>
        <v>Thursday</v>
      </c>
      <c r="F746">
        <f>Assumptions!$B$2</f>
        <v>0.5</v>
      </c>
      <c r="G746">
        <f t="shared" si="58"/>
        <v>10.15</v>
      </c>
    </row>
    <row r="747" spans="1:7" x14ac:dyDescent="0.3">
      <c r="A747" s="2">
        <f t="shared" si="59"/>
        <v>46219.52083333514</v>
      </c>
      <c r="B747">
        <v>27.2</v>
      </c>
      <c r="C747" s="2">
        <f t="shared" si="55"/>
        <v>46219</v>
      </c>
      <c r="D747" s="1">
        <f t="shared" si="56"/>
        <v>12.5</v>
      </c>
      <c r="E747" t="str">
        <f t="shared" si="57"/>
        <v>Thursday</v>
      </c>
      <c r="F747">
        <f>Assumptions!$B$2</f>
        <v>0.5</v>
      </c>
      <c r="G747">
        <f t="shared" si="58"/>
        <v>13.6</v>
      </c>
    </row>
    <row r="748" spans="1:7" x14ac:dyDescent="0.3">
      <c r="A748" s="2">
        <f t="shared" si="59"/>
        <v>46219.541666668476</v>
      </c>
      <c r="B748">
        <v>34.1</v>
      </c>
      <c r="C748" s="2">
        <f t="shared" si="55"/>
        <v>46219</v>
      </c>
      <c r="D748" s="1">
        <f t="shared" si="56"/>
        <v>13</v>
      </c>
      <c r="E748" t="str">
        <f t="shared" si="57"/>
        <v>Thursday</v>
      </c>
      <c r="F748">
        <f>Assumptions!$B$2</f>
        <v>0.5</v>
      </c>
      <c r="G748">
        <f t="shared" si="58"/>
        <v>17.05</v>
      </c>
    </row>
    <row r="749" spans="1:7" x14ac:dyDescent="0.3">
      <c r="A749" s="2">
        <f t="shared" si="59"/>
        <v>46219.562500001812</v>
      </c>
      <c r="B749">
        <v>34.9</v>
      </c>
      <c r="C749" s="2">
        <f t="shared" si="55"/>
        <v>46219</v>
      </c>
      <c r="D749" s="1">
        <f t="shared" si="56"/>
        <v>13.5</v>
      </c>
      <c r="E749" t="str">
        <f t="shared" si="57"/>
        <v>Thursday</v>
      </c>
      <c r="F749">
        <f>Assumptions!$B$2</f>
        <v>0.5</v>
      </c>
      <c r="G749">
        <f t="shared" si="58"/>
        <v>17.45</v>
      </c>
    </row>
    <row r="750" spans="1:7" x14ac:dyDescent="0.3">
      <c r="A750" s="2">
        <f t="shared" si="59"/>
        <v>46219.583333335147</v>
      </c>
      <c r="B750">
        <v>24.2</v>
      </c>
      <c r="C750" s="2">
        <f t="shared" si="55"/>
        <v>46219</v>
      </c>
      <c r="D750" s="1">
        <f t="shared" si="56"/>
        <v>14</v>
      </c>
      <c r="E750" t="str">
        <f t="shared" si="57"/>
        <v>Thursday</v>
      </c>
      <c r="F750">
        <f>Assumptions!$B$2</f>
        <v>0.5</v>
      </c>
      <c r="G750">
        <f t="shared" si="58"/>
        <v>12.1</v>
      </c>
    </row>
    <row r="751" spans="1:7" x14ac:dyDescent="0.3">
      <c r="A751" s="2">
        <f t="shared" si="59"/>
        <v>46219.604166668483</v>
      </c>
      <c r="B751">
        <v>26.7</v>
      </c>
      <c r="C751" s="2">
        <f t="shared" si="55"/>
        <v>46219</v>
      </c>
      <c r="D751" s="1">
        <f t="shared" si="56"/>
        <v>14.5</v>
      </c>
      <c r="E751" t="str">
        <f t="shared" si="57"/>
        <v>Thursday</v>
      </c>
      <c r="F751">
        <f>Assumptions!$B$2</f>
        <v>0.5</v>
      </c>
      <c r="G751">
        <f t="shared" si="58"/>
        <v>13.35</v>
      </c>
    </row>
    <row r="752" spans="1:7" x14ac:dyDescent="0.3">
      <c r="A752" s="2">
        <f t="shared" si="59"/>
        <v>46219.625000001819</v>
      </c>
      <c r="B752">
        <v>18.399999999999999</v>
      </c>
      <c r="C752" s="2">
        <f t="shared" si="55"/>
        <v>46219</v>
      </c>
      <c r="D752" s="1">
        <f t="shared" si="56"/>
        <v>15</v>
      </c>
      <c r="E752" t="str">
        <f t="shared" si="57"/>
        <v>Thursday</v>
      </c>
      <c r="F752">
        <f>Assumptions!$B$2</f>
        <v>0.5</v>
      </c>
      <c r="G752">
        <f t="shared" si="58"/>
        <v>9.1999999999999993</v>
      </c>
    </row>
    <row r="753" spans="1:7" x14ac:dyDescent="0.3">
      <c r="A753" s="2">
        <f t="shared" si="59"/>
        <v>46219.645833335155</v>
      </c>
      <c r="B753">
        <v>20.9</v>
      </c>
      <c r="C753" s="2">
        <f t="shared" si="55"/>
        <v>46219</v>
      </c>
      <c r="D753" s="1">
        <f t="shared" si="56"/>
        <v>15.5</v>
      </c>
      <c r="E753" t="str">
        <f t="shared" si="57"/>
        <v>Thursday</v>
      </c>
      <c r="F753">
        <f>Assumptions!$B$2</f>
        <v>0.5</v>
      </c>
      <c r="G753">
        <f t="shared" si="58"/>
        <v>10.45</v>
      </c>
    </row>
    <row r="754" spans="1:7" x14ac:dyDescent="0.3">
      <c r="A754" s="2">
        <f t="shared" si="59"/>
        <v>46219.666666668491</v>
      </c>
      <c r="B754">
        <v>12.7</v>
      </c>
      <c r="C754" s="2">
        <f t="shared" si="55"/>
        <v>46219</v>
      </c>
      <c r="D754" s="1">
        <f t="shared" si="56"/>
        <v>16</v>
      </c>
      <c r="E754" t="str">
        <f t="shared" si="57"/>
        <v>Thursday</v>
      </c>
      <c r="F754">
        <f>Assumptions!$B$2</f>
        <v>0.5</v>
      </c>
      <c r="G754">
        <f t="shared" si="58"/>
        <v>6.35</v>
      </c>
    </row>
    <row r="755" spans="1:7" x14ac:dyDescent="0.3">
      <c r="A755" s="2">
        <f t="shared" si="59"/>
        <v>46219.687500001826</v>
      </c>
      <c r="B755">
        <v>17.600000000000001</v>
      </c>
      <c r="C755" s="2">
        <f t="shared" si="55"/>
        <v>46219</v>
      </c>
      <c r="D755" s="1">
        <f t="shared" si="56"/>
        <v>16.5</v>
      </c>
      <c r="E755" t="str">
        <f t="shared" si="57"/>
        <v>Thursday</v>
      </c>
      <c r="F755">
        <f>Assumptions!$B$2</f>
        <v>0.5</v>
      </c>
      <c r="G755">
        <f t="shared" si="58"/>
        <v>8.8000000000000007</v>
      </c>
    </row>
    <row r="756" spans="1:7" x14ac:dyDescent="0.3">
      <c r="A756" s="2">
        <f t="shared" si="59"/>
        <v>46219.708333335162</v>
      </c>
      <c r="B756">
        <v>10.8</v>
      </c>
      <c r="C756" s="2">
        <f t="shared" si="55"/>
        <v>46219</v>
      </c>
      <c r="D756" s="1">
        <f t="shared" si="56"/>
        <v>17</v>
      </c>
      <c r="E756" t="str">
        <f t="shared" si="57"/>
        <v>Thursday</v>
      </c>
      <c r="F756">
        <f>Assumptions!$B$2</f>
        <v>0.5</v>
      </c>
      <c r="G756">
        <f t="shared" si="58"/>
        <v>5.4</v>
      </c>
    </row>
    <row r="757" spans="1:7" x14ac:dyDescent="0.3">
      <c r="A757" s="2">
        <f t="shared" si="59"/>
        <v>46219.729166668498</v>
      </c>
      <c r="B757">
        <v>19</v>
      </c>
      <c r="C757" s="2">
        <f t="shared" si="55"/>
        <v>46219</v>
      </c>
      <c r="D757" s="1">
        <f t="shared" si="56"/>
        <v>17.5</v>
      </c>
      <c r="E757" t="str">
        <f t="shared" si="57"/>
        <v>Thursday</v>
      </c>
      <c r="F757">
        <f>Assumptions!$B$2</f>
        <v>0.5</v>
      </c>
      <c r="G757">
        <f t="shared" si="58"/>
        <v>9.5</v>
      </c>
    </row>
    <row r="758" spans="1:7" x14ac:dyDescent="0.3">
      <c r="A758" s="2">
        <f t="shared" si="59"/>
        <v>46219.750000001834</v>
      </c>
      <c r="B758">
        <v>12.6</v>
      </c>
      <c r="C758" s="2">
        <f t="shared" si="55"/>
        <v>46219</v>
      </c>
      <c r="D758" s="1">
        <f t="shared" si="56"/>
        <v>18</v>
      </c>
      <c r="E758" t="str">
        <f t="shared" si="57"/>
        <v>Thursday</v>
      </c>
      <c r="F758">
        <f>Assumptions!$B$2</f>
        <v>0.5</v>
      </c>
      <c r="G758">
        <f t="shared" si="58"/>
        <v>6.3</v>
      </c>
    </row>
    <row r="759" spans="1:7" x14ac:dyDescent="0.3">
      <c r="A759" s="2">
        <f t="shared" si="59"/>
        <v>46219.770833335169</v>
      </c>
      <c r="B759">
        <v>13</v>
      </c>
      <c r="C759" s="2">
        <f t="shared" si="55"/>
        <v>46219</v>
      </c>
      <c r="D759" s="1">
        <f t="shared" si="56"/>
        <v>18.5</v>
      </c>
      <c r="E759" t="str">
        <f t="shared" si="57"/>
        <v>Thursday</v>
      </c>
      <c r="F759">
        <f>Assumptions!$B$2</f>
        <v>0.5</v>
      </c>
      <c r="G759">
        <f t="shared" si="58"/>
        <v>6.5</v>
      </c>
    </row>
    <row r="760" spans="1:7" x14ac:dyDescent="0.3">
      <c r="A760" s="2">
        <f t="shared" si="59"/>
        <v>46219.791666668505</v>
      </c>
      <c r="B760">
        <v>4.4000000000000004</v>
      </c>
      <c r="C760" s="2">
        <f t="shared" si="55"/>
        <v>46219</v>
      </c>
      <c r="D760" s="1">
        <f t="shared" si="56"/>
        <v>19</v>
      </c>
      <c r="E760" t="str">
        <f t="shared" si="57"/>
        <v>Thursday</v>
      </c>
      <c r="F760">
        <f>Assumptions!$B$2</f>
        <v>0.5</v>
      </c>
      <c r="G760">
        <f t="shared" si="58"/>
        <v>2.2000000000000002</v>
      </c>
    </row>
    <row r="761" spans="1:7" x14ac:dyDescent="0.3">
      <c r="A761" s="2">
        <f t="shared" si="59"/>
        <v>46219.812500001841</v>
      </c>
      <c r="B761">
        <v>4.2</v>
      </c>
      <c r="C761" s="2">
        <f t="shared" si="55"/>
        <v>46219</v>
      </c>
      <c r="D761" s="1">
        <f t="shared" si="56"/>
        <v>19.5</v>
      </c>
      <c r="E761" t="str">
        <f t="shared" si="57"/>
        <v>Thursday</v>
      </c>
      <c r="F761">
        <f>Assumptions!$B$2</f>
        <v>0.5</v>
      </c>
      <c r="G761">
        <f t="shared" si="58"/>
        <v>2.1</v>
      </c>
    </row>
    <row r="762" spans="1:7" x14ac:dyDescent="0.3">
      <c r="A762" s="2">
        <f t="shared" si="59"/>
        <v>46219.833333335177</v>
      </c>
      <c r="B762">
        <v>6.4</v>
      </c>
      <c r="C762" s="2">
        <f t="shared" si="55"/>
        <v>46219</v>
      </c>
      <c r="D762" s="1">
        <f t="shared" si="56"/>
        <v>20</v>
      </c>
      <c r="E762" t="str">
        <f t="shared" si="57"/>
        <v>Thursday</v>
      </c>
      <c r="F762">
        <f>Assumptions!$B$2</f>
        <v>0.5</v>
      </c>
      <c r="G762">
        <f t="shared" si="58"/>
        <v>3.2</v>
      </c>
    </row>
    <row r="763" spans="1:7" x14ac:dyDescent="0.3">
      <c r="A763" s="2">
        <f t="shared" si="59"/>
        <v>46219.854166668512</v>
      </c>
      <c r="B763">
        <v>5.5</v>
      </c>
      <c r="C763" s="2">
        <f t="shared" si="55"/>
        <v>46219</v>
      </c>
      <c r="D763" s="1">
        <f t="shared" si="56"/>
        <v>20.5</v>
      </c>
      <c r="E763" t="str">
        <f t="shared" si="57"/>
        <v>Thursday</v>
      </c>
      <c r="F763">
        <f>Assumptions!$B$2</f>
        <v>0.5</v>
      </c>
      <c r="G763">
        <f t="shared" si="58"/>
        <v>2.75</v>
      </c>
    </row>
    <row r="764" spans="1:7" x14ac:dyDescent="0.3">
      <c r="A764" s="2">
        <f t="shared" si="59"/>
        <v>46219.875000001848</v>
      </c>
      <c r="B764">
        <v>3.5</v>
      </c>
      <c r="C764" s="2">
        <f t="shared" si="55"/>
        <v>46219</v>
      </c>
      <c r="D764" s="1">
        <f t="shared" si="56"/>
        <v>21</v>
      </c>
      <c r="E764" t="str">
        <f t="shared" si="57"/>
        <v>Thursday</v>
      </c>
      <c r="F764">
        <f>Assumptions!$B$2</f>
        <v>0.5</v>
      </c>
      <c r="G764">
        <f t="shared" si="58"/>
        <v>1.75</v>
      </c>
    </row>
    <row r="765" spans="1:7" x14ac:dyDescent="0.3">
      <c r="A765" s="2">
        <f t="shared" si="59"/>
        <v>46219.895833335184</v>
      </c>
      <c r="B765">
        <v>7.4</v>
      </c>
      <c r="C765" s="2">
        <f t="shared" si="55"/>
        <v>46219</v>
      </c>
      <c r="D765" s="1">
        <f t="shared" si="56"/>
        <v>21.5</v>
      </c>
      <c r="E765" t="str">
        <f t="shared" si="57"/>
        <v>Thursday</v>
      </c>
      <c r="F765">
        <f>Assumptions!$B$2</f>
        <v>0.5</v>
      </c>
      <c r="G765">
        <f t="shared" si="58"/>
        <v>3.7</v>
      </c>
    </row>
    <row r="766" spans="1:7" x14ac:dyDescent="0.3">
      <c r="A766" s="2">
        <f t="shared" si="59"/>
        <v>46219.91666666852</v>
      </c>
      <c r="B766">
        <v>4.4000000000000004</v>
      </c>
      <c r="C766" s="2">
        <f t="shared" si="55"/>
        <v>46219</v>
      </c>
      <c r="D766" s="1">
        <f t="shared" si="56"/>
        <v>22</v>
      </c>
      <c r="E766" t="str">
        <f t="shared" si="57"/>
        <v>Thursday</v>
      </c>
      <c r="F766">
        <f>Assumptions!$B$2</f>
        <v>0.5</v>
      </c>
      <c r="G766">
        <f t="shared" si="58"/>
        <v>2.2000000000000002</v>
      </c>
    </row>
    <row r="767" spans="1:7" x14ac:dyDescent="0.3">
      <c r="A767" s="2">
        <f t="shared" si="59"/>
        <v>46219.937500001855</v>
      </c>
      <c r="B767">
        <v>7.6</v>
      </c>
      <c r="C767" s="2">
        <f t="shared" si="55"/>
        <v>46219</v>
      </c>
      <c r="D767" s="1">
        <f t="shared" si="56"/>
        <v>22.5</v>
      </c>
      <c r="E767" t="str">
        <f t="shared" si="57"/>
        <v>Thursday</v>
      </c>
      <c r="F767">
        <f>Assumptions!$B$2</f>
        <v>0.5</v>
      </c>
      <c r="G767">
        <f t="shared" si="58"/>
        <v>3.8</v>
      </c>
    </row>
    <row r="768" spans="1:7" x14ac:dyDescent="0.3">
      <c r="A768" s="2">
        <f t="shared" si="59"/>
        <v>46219.958333335191</v>
      </c>
      <c r="B768">
        <v>5</v>
      </c>
      <c r="C768" s="2">
        <f t="shared" si="55"/>
        <v>46219</v>
      </c>
      <c r="D768" s="1">
        <f t="shared" si="56"/>
        <v>23</v>
      </c>
      <c r="E768" t="str">
        <f t="shared" si="57"/>
        <v>Thursday</v>
      </c>
      <c r="F768">
        <f>Assumptions!$B$2</f>
        <v>0.5</v>
      </c>
      <c r="G768">
        <f t="shared" si="58"/>
        <v>2.5</v>
      </c>
    </row>
    <row r="769" spans="1:7" x14ac:dyDescent="0.3">
      <c r="A769" s="2">
        <f t="shared" si="59"/>
        <v>46219.979166668527</v>
      </c>
      <c r="B769">
        <v>7.1</v>
      </c>
      <c r="C769" s="2">
        <f t="shared" si="55"/>
        <v>46219</v>
      </c>
      <c r="D769" s="1">
        <f t="shared" si="56"/>
        <v>23.5</v>
      </c>
      <c r="E769" t="str">
        <f t="shared" si="57"/>
        <v>Thursday</v>
      </c>
      <c r="F769">
        <f>Assumptions!$B$2</f>
        <v>0.5</v>
      </c>
      <c r="G769">
        <f t="shared" si="58"/>
        <v>3.55</v>
      </c>
    </row>
    <row r="770" spans="1:7" x14ac:dyDescent="0.3">
      <c r="A770" s="2">
        <f t="shared" si="59"/>
        <v>46220.000000001863</v>
      </c>
      <c r="B770">
        <v>1.9</v>
      </c>
      <c r="C770" s="2">
        <f t="shared" si="55"/>
        <v>46220</v>
      </c>
      <c r="D770" s="1">
        <f t="shared" si="56"/>
        <v>0</v>
      </c>
      <c r="E770" t="str">
        <f t="shared" si="57"/>
        <v>Friday</v>
      </c>
      <c r="F770">
        <f>Assumptions!$B$2</f>
        <v>0.5</v>
      </c>
      <c r="G770">
        <f t="shared" si="58"/>
        <v>0.95</v>
      </c>
    </row>
    <row r="771" spans="1:7" x14ac:dyDescent="0.3">
      <c r="A771" s="2">
        <f t="shared" si="59"/>
        <v>46220.020833335198</v>
      </c>
      <c r="B771">
        <v>2.6</v>
      </c>
      <c r="C771" s="2">
        <f t="shared" ref="C771:C834" si="60">INT(A771)</f>
        <v>46220</v>
      </c>
      <c r="D771" s="1">
        <f t="shared" ref="D771:D834" si="61">HOUR(A771)+MINUTE(A771)/60</f>
        <v>0.5</v>
      </c>
      <c r="E771" t="str">
        <f t="shared" ref="E771:E834" si="62">TEXT(A771,"dddd")</f>
        <v>Friday</v>
      </c>
      <c r="F771">
        <f>Assumptions!$B$2</f>
        <v>0.5</v>
      </c>
      <c r="G771">
        <f t="shared" ref="G771:G834" si="63">B771*F771</f>
        <v>1.3</v>
      </c>
    </row>
    <row r="772" spans="1:7" x14ac:dyDescent="0.3">
      <c r="A772" s="2">
        <f t="shared" ref="A772:A835" si="64">A771+TIME(0,30,0)</f>
        <v>46220.041666668534</v>
      </c>
      <c r="B772">
        <v>2.1</v>
      </c>
      <c r="C772" s="2">
        <f t="shared" si="60"/>
        <v>46220</v>
      </c>
      <c r="D772" s="1">
        <f t="shared" si="61"/>
        <v>1</v>
      </c>
      <c r="E772" t="str">
        <f t="shared" si="62"/>
        <v>Friday</v>
      </c>
      <c r="F772">
        <f>Assumptions!$B$2</f>
        <v>0.5</v>
      </c>
      <c r="G772">
        <f t="shared" si="63"/>
        <v>1.05</v>
      </c>
    </row>
    <row r="773" spans="1:7" x14ac:dyDescent="0.3">
      <c r="A773" s="2">
        <f t="shared" si="64"/>
        <v>46220.06250000187</v>
      </c>
      <c r="B773">
        <v>2.6</v>
      </c>
      <c r="C773" s="2">
        <f t="shared" si="60"/>
        <v>46220</v>
      </c>
      <c r="D773" s="1">
        <f t="shared" si="61"/>
        <v>1.5</v>
      </c>
      <c r="E773" t="str">
        <f t="shared" si="62"/>
        <v>Friday</v>
      </c>
      <c r="F773">
        <f>Assumptions!$B$2</f>
        <v>0.5</v>
      </c>
      <c r="G773">
        <f t="shared" si="63"/>
        <v>1.3</v>
      </c>
    </row>
    <row r="774" spans="1:7" x14ac:dyDescent="0.3">
      <c r="A774" s="2">
        <f t="shared" si="64"/>
        <v>46220.083333335206</v>
      </c>
      <c r="B774">
        <v>2.2999999999999998</v>
      </c>
      <c r="C774" s="2">
        <f t="shared" si="60"/>
        <v>46220</v>
      </c>
      <c r="D774" s="1">
        <f t="shared" si="61"/>
        <v>2</v>
      </c>
      <c r="E774" t="str">
        <f t="shared" si="62"/>
        <v>Friday</v>
      </c>
      <c r="F774">
        <f>Assumptions!$B$2</f>
        <v>0.5</v>
      </c>
      <c r="G774">
        <f t="shared" si="63"/>
        <v>1.1499999999999999</v>
      </c>
    </row>
    <row r="775" spans="1:7" x14ac:dyDescent="0.3">
      <c r="A775" s="2">
        <f t="shared" si="64"/>
        <v>46220.104166668541</v>
      </c>
      <c r="B775">
        <v>2.7</v>
      </c>
      <c r="C775" s="2">
        <f t="shared" si="60"/>
        <v>46220</v>
      </c>
      <c r="D775" s="1">
        <f t="shared" si="61"/>
        <v>2.5</v>
      </c>
      <c r="E775" t="str">
        <f t="shared" si="62"/>
        <v>Friday</v>
      </c>
      <c r="F775">
        <f>Assumptions!$B$2</f>
        <v>0.5</v>
      </c>
      <c r="G775">
        <f t="shared" si="63"/>
        <v>1.35</v>
      </c>
    </row>
    <row r="776" spans="1:7" x14ac:dyDescent="0.3">
      <c r="A776" s="2">
        <f t="shared" si="64"/>
        <v>46220.125000001877</v>
      </c>
      <c r="B776">
        <v>2.4</v>
      </c>
      <c r="C776" s="2">
        <f t="shared" si="60"/>
        <v>46220</v>
      </c>
      <c r="D776" s="1">
        <f t="shared" si="61"/>
        <v>3</v>
      </c>
      <c r="E776" t="str">
        <f t="shared" si="62"/>
        <v>Friday</v>
      </c>
      <c r="F776">
        <f>Assumptions!$B$2</f>
        <v>0.5</v>
      </c>
      <c r="G776">
        <f t="shared" si="63"/>
        <v>1.2</v>
      </c>
    </row>
    <row r="777" spans="1:7" x14ac:dyDescent="0.3">
      <c r="A777" s="2">
        <f t="shared" si="64"/>
        <v>46220.145833335213</v>
      </c>
      <c r="B777">
        <v>1.8</v>
      </c>
      <c r="C777" s="2">
        <f t="shared" si="60"/>
        <v>46220</v>
      </c>
      <c r="D777" s="1">
        <f t="shared" si="61"/>
        <v>3.5</v>
      </c>
      <c r="E777" t="str">
        <f t="shared" si="62"/>
        <v>Friday</v>
      </c>
      <c r="F777">
        <f>Assumptions!$B$2</f>
        <v>0.5</v>
      </c>
      <c r="G777">
        <f t="shared" si="63"/>
        <v>0.9</v>
      </c>
    </row>
    <row r="778" spans="1:7" x14ac:dyDescent="0.3">
      <c r="A778" s="2">
        <f t="shared" si="64"/>
        <v>46220.166666668549</v>
      </c>
      <c r="B778">
        <v>2.6</v>
      </c>
      <c r="C778" s="2">
        <f t="shared" si="60"/>
        <v>46220</v>
      </c>
      <c r="D778" s="1">
        <f t="shared" si="61"/>
        <v>4</v>
      </c>
      <c r="E778" t="str">
        <f t="shared" si="62"/>
        <v>Friday</v>
      </c>
      <c r="F778">
        <f>Assumptions!$B$2</f>
        <v>0.5</v>
      </c>
      <c r="G778">
        <f t="shared" si="63"/>
        <v>1.3</v>
      </c>
    </row>
    <row r="779" spans="1:7" x14ac:dyDescent="0.3">
      <c r="A779" s="2">
        <f t="shared" si="64"/>
        <v>46220.187500001884</v>
      </c>
      <c r="B779">
        <v>2.7</v>
      </c>
      <c r="C779" s="2">
        <f t="shared" si="60"/>
        <v>46220</v>
      </c>
      <c r="D779" s="1">
        <f t="shared" si="61"/>
        <v>4.5</v>
      </c>
      <c r="E779" t="str">
        <f t="shared" si="62"/>
        <v>Friday</v>
      </c>
      <c r="F779">
        <f>Assumptions!$B$2</f>
        <v>0.5</v>
      </c>
      <c r="G779">
        <f t="shared" si="63"/>
        <v>1.35</v>
      </c>
    </row>
    <row r="780" spans="1:7" x14ac:dyDescent="0.3">
      <c r="A780" s="2">
        <f t="shared" si="64"/>
        <v>46220.20833333522</v>
      </c>
      <c r="B780">
        <v>2.7</v>
      </c>
      <c r="C780" s="2">
        <f t="shared" si="60"/>
        <v>46220</v>
      </c>
      <c r="D780" s="1">
        <f t="shared" si="61"/>
        <v>5</v>
      </c>
      <c r="E780" t="str">
        <f t="shared" si="62"/>
        <v>Friday</v>
      </c>
      <c r="F780">
        <f>Assumptions!$B$2</f>
        <v>0.5</v>
      </c>
      <c r="G780">
        <f t="shared" si="63"/>
        <v>1.35</v>
      </c>
    </row>
    <row r="781" spans="1:7" x14ac:dyDescent="0.3">
      <c r="A781" s="2">
        <f t="shared" si="64"/>
        <v>46220.229166668556</v>
      </c>
      <c r="B781">
        <v>2.7</v>
      </c>
      <c r="C781" s="2">
        <f t="shared" si="60"/>
        <v>46220</v>
      </c>
      <c r="D781" s="1">
        <f t="shared" si="61"/>
        <v>5.5</v>
      </c>
      <c r="E781" t="str">
        <f t="shared" si="62"/>
        <v>Friday</v>
      </c>
      <c r="F781">
        <f>Assumptions!$B$2</f>
        <v>0.5</v>
      </c>
      <c r="G781">
        <f t="shared" si="63"/>
        <v>1.35</v>
      </c>
    </row>
    <row r="782" spans="1:7" x14ac:dyDescent="0.3">
      <c r="A782" s="2">
        <f t="shared" si="64"/>
        <v>46220.250000001892</v>
      </c>
      <c r="B782">
        <v>5.5</v>
      </c>
      <c r="C782" s="2">
        <f t="shared" si="60"/>
        <v>46220</v>
      </c>
      <c r="D782" s="1">
        <f t="shared" si="61"/>
        <v>6</v>
      </c>
      <c r="E782" t="str">
        <f t="shared" si="62"/>
        <v>Friday</v>
      </c>
      <c r="F782">
        <f>Assumptions!$B$2</f>
        <v>0.5</v>
      </c>
      <c r="G782">
        <f t="shared" si="63"/>
        <v>2.75</v>
      </c>
    </row>
    <row r="783" spans="1:7" x14ac:dyDescent="0.3">
      <c r="A783" s="2">
        <f t="shared" si="64"/>
        <v>46220.270833335228</v>
      </c>
      <c r="B783">
        <v>7.6</v>
      </c>
      <c r="C783" s="2">
        <f t="shared" si="60"/>
        <v>46220</v>
      </c>
      <c r="D783" s="1">
        <f t="shared" si="61"/>
        <v>6.5</v>
      </c>
      <c r="E783" t="str">
        <f t="shared" si="62"/>
        <v>Friday</v>
      </c>
      <c r="F783">
        <f>Assumptions!$B$2</f>
        <v>0.5</v>
      </c>
      <c r="G783">
        <f t="shared" si="63"/>
        <v>3.8</v>
      </c>
    </row>
    <row r="784" spans="1:7" x14ac:dyDescent="0.3">
      <c r="A784" s="2">
        <f t="shared" si="64"/>
        <v>46220.291666668563</v>
      </c>
      <c r="B784">
        <v>7.1</v>
      </c>
      <c r="C784" s="2">
        <f t="shared" si="60"/>
        <v>46220</v>
      </c>
      <c r="D784" s="1">
        <f t="shared" si="61"/>
        <v>7</v>
      </c>
      <c r="E784" t="str">
        <f t="shared" si="62"/>
        <v>Friday</v>
      </c>
      <c r="F784">
        <f>Assumptions!$B$2</f>
        <v>0.5</v>
      </c>
      <c r="G784">
        <f t="shared" si="63"/>
        <v>3.55</v>
      </c>
    </row>
    <row r="785" spans="1:7" x14ac:dyDescent="0.3">
      <c r="A785" s="2">
        <f t="shared" si="64"/>
        <v>46220.312500001899</v>
      </c>
      <c r="B785">
        <v>4.5</v>
      </c>
      <c r="C785" s="2">
        <f t="shared" si="60"/>
        <v>46220</v>
      </c>
      <c r="D785" s="1">
        <f t="shared" si="61"/>
        <v>7.5</v>
      </c>
      <c r="E785" t="str">
        <f t="shared" si="62"/>
        <v>Friday</v>
      </c>
      <c r="F785">
        <f>Assumptions!$B$2</f>
        <v>0.5</v>
      </c>
      <c r="G785">
        <f t="shared" si="63"/>
        <v>2.25</v>
      </c>
    </row>
    <row r="786" spans="1:7" x14ac:dyDescent="0.3">
      <c r="A786" s="2">
        <f t="shared" si="64"/>
        <v>46220.333333335235</v>
      </c>
      <c r="B786">
        <v>18.7</v>
      </c>
      <c r="C786" s="2">
        <f t="shared" si="60"/>
        <v>46220</v>
      </c>
      <c r="D786" s="1">
        <f t="shared" si="61"/>
        <v>8</v>
      </c>
      <c r="E786" t="str">
        <f t="shared" si="62"/>
        <v>Friday</v>
      </c>
      <c r="F786">
        <f>Assumptions!$B$2</f>
        <v>0.5</v>
      </c>
      <c r="G786">
        <f t="shared" si="63"/>
        <v>9.35</v>
      </c>
    </row>
    <row r="787" spans="1:7" x14ac:dyDescent="0.3">
      <c r="A787" s="2">
        <f t="shared" si="64"/>
        <v>46220.354166668571</v>
      </c>
      <c r="B787">
        <v>18.5</v>
      </c>
      <c r="C787" s="2">
        <f t="shared" si="60"/>
        <v>46220</v>
      </c>
      <c r="D787" s="1">
        <f t="shared" si="61"/>
        <v>8.5</v>
      </c>
      <c r="E787" t="str">
        <f t="shared" si="62"/>
        <v>Friday</v>
      </c>
      <c r="F787">
        <f>Assumptions!$B$2</f>
        <v>0.5</v>
      </c>
      <c r="G787">
        <f t="shared" si="63"/>
        <v>9.25</v>
      </c>
    </row>
    <row r="788" spans="1:7" x14ac:dyDescent="0.3">
      <c r="A788" s="2">
        <f t="shared" si="64"/>
        <v>46220.375000001906</v>
      </c>
      <c r="B788">
        <v>16.399999999999999</v>
      </c>
      <c r="C788" s="2">
        <f t="shared" si="60"/>
        <v>46220</v>
      </c>
      <c r="D788" s="1">
        <f t="shared" si="61"/>
        <v>9</v>
      </c>
      <c r="E788" t="str">
        <f t="shared" si="62"/>
        <v>Friday</v>
      </c>
      <c r="F788">
        <f>Assumptions!$B$2</f>
        <v>0.5</v>
      </c>
      <c r="G788">
        <f t="shared" si="63"/>
        <v>8.1999999999999993</v>
      </c>
    </row>
    <row r="789" spans="1:7" x14ac:dyDescent="0.3">
      <c r="A789" s="2">
        <f t="shared" si="64"/>
        <v>46220.395833335242</v>
      </c>
      <c r="B789">
        <v>14.7</v>
      </c>
      <c r="C789" s="2">
        <f t="shared" si="60"/>
        <v>46220</v>
      </c>
      <c r="D789" s="1">
        <f t="shared" si="61"/>
        <v>9.5</v>
      </c>
      <c r="E789" t="str">
        <f t="shared" si="62"/>
        <v>Friday</v>
      </c>
      <c r="F789">
        <f>Assumptions!$B$2</f>
        <v>0.5</v>
      </c>
      <c r="G789">
        <f t="shared" si="63"/>
        <v>7.35</v>
      </c>
    </row>
    <row r="790" spans="1:7" x14ac:dyDescent="0.3">
      <c r="A790" s="2">
        <f t="shared" si="64"/>
        <v>46220.416666668578</v>
      </c>
      <c r="B790">
        <v>20.6</v>
      </c>
      <c r="C790" s="2">
        <f t="shared" si="60"/>
        <v>46220</v>
      </c>
      <c r="D790" s="1">
        <f t="shared" si="61"/>
        <v>10</v>
      </c>
      <c r="E790" t="str">
        <f t="shared" si="62"/>
        <v>Friday</v>
      </c>
      <c r="F790">
        <f>Assumptions!$B$2</f>
        <v>0.5</v>
      </c>
      <c r="G790">
        <f t="shared" si="63"/>
        <v>10.3</v>
      </c>
    </row>
    <row r="791" spans="1:7" x14ac:dyDescent="0.3">
      <c r="A791" s="2">
        <f t="shared" si="64"/>
        <v>46220.437500001914</v>
      </c>
      <c r="B791">
        <v>14.3</v>
      </c>
      <c r="C791" s="2">
        <f t="shared" si="60"/>
        <v>46220</v>
      </c>
      <c r="D791" s="1">
        <f t="shared" si="61"/>
        <v>10.5</v>
      </c>
      <c r="E791" t="str">
        <f t="shared" si="62"/>
        <v>Friday</v>
      </c>
      <c r="F791">
        <f>Assumptions!$B$2</f>
        <v>0.5</v>
      </c>
      <c r="G791">
        <f t="shared" si="63"/>
        <v>7.15</v>
      </c>
    </row>
    <row r="792" spans="1:7" x14ac:dyDescent="0.3">
      <c r="A792" s="2">
        <f t="shared" si="64"/>
        <v>46220.458333335249</v>
      </c>
      <c r="B792">
        <v>13.9</v>
      </c>
      <c r="C792" s="2">
        <f t="shared" si="60"/>
        <v>46220</v>
      </c>
      <c r="D792" s="1">
        <f t="shared" si="61"/>
        <v>11</v>
      </c>
      <c r="E792" t="str">
        <f t="shared" si="62"/>
        <v>Friday</v>
      </c>
      <c r="F792">
        <f>Assumptions!$B$2</f>
        <v>0.5</v>
      </c>
      <c r="G792">
        <f t="shared" si="63"/>
        <v>6.95</v>
      </c>
    </row>
    <row r="793" spans="1:7" x14ac:dyDescent="0.3">
      <c r="A793" s="2">
        <f t="shared" si="64"/>
        <v>46220.479166668585</v>
      </c>
      <c r="B793">
        <v>12.3</v>
      </c>
      <c r="C793" s="2">
        <f t="shared" si="60"/>
        <v>46220</v>
      </c>
      <c r="D793" s="1">
        <f t="shared" si="61"/>
        <v>11.5</v>
      </c>
      <c r="E793" t="str">
        <f t="shared" si="62"/>
        <v>Friday</v>
      </c>
      <c r="F793">
        <f>Assumptions!$B$2</f>
        <v>0.5</v>
      </c>
      <c r="G793">
        <f t="shared" si="63"/>
        <v>6.15</v>
      </c>
    </row>
    <row r="794" spans="1:7" x14ac:dyDescent="0.3">
      <c r="A794" s="2">
        <f t="shared" si="64"/>
        <v>46220.500000001921</v>
      </c>
      <c r="B794">
        <v>23</v>
      </c>
      <c r="C794" s="2">
        <f t="shared" si="60"/>
        <v>46220</v>
      </c>
      <c r="D794" s="1">
        <f t="shared" si="61"/>
        <v>12</v>
      </c>
      <c r="E794" t="str">
        <f t="shared" si="62"/>
        <v>Friday</v>
      </c>
      <c r="F794">
        <f>Assumptions!$B$2</f>
        <v>0.5</v>
      </c>
      <c r="G794">
        <f t="shared" si="63"/>
        <v>11.5</v>
      </c>
    </row>
    <row r="795" spans="1:7" x14ac:dyDescent="0.3">
      <c r="A795" s="2">
        <f t="shared" si="64"/>
        <v>46220.520833335257</v>
      </c>
      <c r="B795">
        <v>27.5</v>
      </c>
      <c r="C795" s="2">
        <f t="shared" si="60"/>
        <v>46220</v>
      </c>
      <c r="D795" s="1">
        <f t="shared" si="61"/>
        <v>12.5</v>
      </c>
      <c r="E795" t="str">
        <f t="shared" si="62"/>
        <v>Friday</v>
      </c>
      <c r="F795">
        <f>Assumptions!$B$2</f>
        <v>0.5</v>
      </c>
      <c r="G795">
        <f t="shared" si="63"/>
        <v>13.75</v>
      </c>
    </row>
    <row r="796" spans="1:7" x14ac:dyDescent="0.3">
      <c r="A796" s="2">
        <f t="shared" si="64"/>
        <v>46220.541666668592</v>
      </c>
      <c r="B796">
        <v>30.5</v>
      </c>
      <c r="C796" s="2">
        <f t="shared" si="60"/>
        <v>46220</v>
      </c>
      <c r="D796" s="1">
        <f t="shared" si="61"/>
        <v>13</v>
      </c>
      <c r="E796" t="str">
        <f t="shared" si="62"/>
        <v>Friday</v>
      </c>
      <c r="F796">
        <f>Assumptions!$B$2</f>
        <v>0.5</v>
      </c>
      <c r="G796">
        <f t="shared" si="63"/>
        <v>15.25</v>
      </c>
    </row>
    <row r="797" spans="1:7" x14ac:dyDescent="0.3">
      <c r="A797" s="2">
        <f t="shared" si="64"/>
        <v>46220.562500001928</v>
      </c>
      <c r="B797">
        <v>20.399999999999999</v>
      </c>
      <c r="C797" s="2">
        <f t="shared" si="60"/>
        <v>46220</v>
      </c>
      <c r="D797" s="1">
        <f t="shared" si="61"/>
        <v>13.5</v>
      </c>
      <c r="E797" t="str">
        <f t="shared" si="62"/>
        <v>Friday</v>
      </c>
      <c r="F797">
        <f>Assumptions!$B$2</f>
        <v>0.5</v>
      </c>
      <c r="G797">
        <f t="shared" si="63"/>
        <v>10.199999999999999</v>
      </c>
    </row>
    <row r="798" spans="1:7" x14ac:dyDescent="0.3">
      <c r="A798" s="2">
        <f t="shared" si="64"/>
        <v>46220.583333335264</v>
      </c>
      <c r="B798">
        <v>19.399999999999999</v>
      </c>
      <c r="C798" s="2">
        <f t="shared" si="60"/>
        <v>46220</v>
      </c>
      <c r="D798" s="1">
        <f t="shared" si="61"/>
        <v>14</v>
      </c>
      <c r="E798" t="str">
        <f t="shared" si="62"/>
        <v>Friday</v>
      </c>
      <c r="F798">
        <f>Assumptions!$B$2</f>
        <v>0.5</v>
      </c>
      <c r="G798">
        <f t="shared" si="63"/>
        <v>9.6999999999999993</v>
      </c>
    </row>
    <row r="799" spans="1:7" x14ac:dyDescent="0.3">
      <c r="A799" s="2">
        <f t="shared" si="64"/>
        <v>46220.6041666686</v>
      </c>
      <c r="B799">
        <v>21.7</v>
      </c>
      <c r="C799" s="2">
        <f t="shared" si="60"/>
        <v>46220</v>
      </c>
      <c r="D799" s="1">
        <f t="shared" si="61"/>
        <v>14.5</v>
      </c>
      <c r="E799" t="str">
        <f t="shared" si="62"/>
        <v>Friday</v>
      </c>
      <c r="F799">
        <f>Assumptions!$B$2</f>
        <v>0.5</v>
      </c>
      <c r="G799">
        <f t="shared" si="63"/>
        <v>10.85</v>
      </c>
    </row>
    <row r="800" spans="1:7" x14ac:dyDescent="0.3">
      <c r="A800" s="2">
        <f t="shared" si="64"/>
        <v>46220.625000001935</v>
      </c>
      <c r="B800">
        <v>30.4</v>
      </c>
      <c r="C800" s="2">
        <f t="shared" si="60"/>
        <v>46220</v>
      </c>
      <c r="D800" s="1">
        <f t="shared" si="61"/>
        <v>15</v>
      </c>
      <c r="E800" t="str">
        <f t="shared" si="62"/>
        <v>Friday</v>
      </c>
      <c r="F800">
        <f>Assumptions!$B$2</f>
        <v>0.5</v>
      </c>
      <c r="G800">
        <f t="shared" si="63"/>
        <v>15.2</v>
      </c>
    </row>
    <row r="801" spans="1:7" x14ac:dyDescent="0.3">
      <c r="A801" s="2">
        <f t="shared" si="64"/>
        <v>46220.645833335271</v>
      </c>
      <c r="B801">
        <v>18.899999999999999</v>
      </c>
      <c r="C801" s="2">
        <f t="shared" si="60"/>
        <v>46220</v>
      </c>
      <c r="D801" s="1">
        <f t="shared" si="61"/>
        <v>15.5</v>
      </c>
      <c r="E801" t="str">
        <f t="shared" si="62"/>
        <v>Friday</v>
      </c>
      <c r="F801">
        <f>Assumptions!$B$2</f>
        <v>0.5</v>
      </c>
      <c r="G801">
        <f t="shared" si="63"/>
        <v>9.4499999999999993</v>
      </c>
    </row>
    <row r="802" spans="1:7" x14ac:dyDescent="0.3">
      <c r="A802" s="2">
        <f t="shared" si="64"/>
        <v>46220.666666668607</v>
      </c>
      <c r="B802">
        <v>14.9</v>
      </c>
      <c r="C802" s="2">
        <f t="shared" si="60"/>
        <v>46220</v>
      </c>
      <c r="D802" s="1">
        <f t="shared" si="61"/>
        <v>16</v>
      </c>
      <c r="E802" t="str">
        <f t="shared" si="62"/>
        <v>Friday</v>
      </c>
      <c r="F802">
        <f>Assumptions!$B$2</f>
        <v>0.5</v>
      </c>
      <c r="G802">
        <f t="shared" si="63"/>
        <v>7.45</v>
      </c>
    </row>
    <row r="803" spans="1:7" x14ac:dyDescent="0.3">
      <c r="A803" s="2">
        <f t="shared" si="64"/>
        <v>46220.687500001943</v>
      </c>
      <c r="B803">
        <v>14.2</v>
      </c>
      <c r="C803" s="2">
        <f t="shared" si="60"/>
        <v>46220</v>
      </c>
      <c r="D803" s="1">
        <f t="shared" si="61"/>
        <v>16.5</v>
      </c>
      <c r="E803" t="str">
        <f t="shared" si="62"/>
        <v>Friday</v>
      </c>
      <c r="F803">
        <f>Assumptions!$B$2</f>
        <v>0.5</v>
      </c>
      <c r="G803">
        <f t="shared" si="63"/>
        <v>7.1</v>
      </c>
    </row>
    <row r="804" spans="1:7" x14ac:dyDescent="0.3">
      <c r="A804" s="2">
        <f t="shared" si="64"/>
        <v>46220.708333335278</v>
      </c>
      <c r="B804">
        <v>18.3</v>
      </c>
      <c r="C804" s="2">
        <f t="shared" si="60"/>
        <v>46220</v>
      </c>
      <c r="D804" s="1">
        <f t="shared" si="61"/>
        <v>17</v>
      </c>
      <c r="E804" t="str">
        <f t="shared" si="62"/>
        <v>Friday</v>
      </c>
      <c r="F804">
        <f>Assumptions!$B$2</f>
        <v>0.5</v>
      </c>
      <c r="G804">
        <f t="shared" si="63"/>
        <v>9.15</v>
      </c>
    </row>
    <row r="805" spans="1:7" x14ac:dyDescent="0.3">
      <c r="A805" s="2">
        <f t="shared" si="64"/>
        <v>46220.729166668614</v>
      </c>
      <c r="B805">
        <v>19.100000000000001</v>
      </c>
      <c r="C805" s="2">
        <f t="shared" si="60"/>
        <v>46220</v>
      </c>
      <c r="D805" s="1">
        <f t="shared" si="61"/>
        <v>17.5</v>
      </c>
      <c r="E805" t="str">
        <f t="shared" si="62"/>
        <v>Friday</v>
      </c>
      <c r="F805">
        <f>Assumptions!$B$2</f>
        <v>0.5</v>
      </c>
      <c r="G805">
        <f t="shared" si="63"/>
        <v>9.5500000000000007</v>
      </c>
    </row>
    <row r="806" spans="1:7" x14ac:dyDescent="0.3">
      <c r="A806" s="2">
        <f t="shared" si="64"/>
        <v>46220.75000000195</v>
      </c>
      <c r="B806">
        <v>15.4</v>
      </c>
      <c r="C806" s="2">
        <f t="shared" si="60"/>
        <v>46220</v>
      </c>
      <c r="D806" s="1">
        <f t="shared" si="61"/>
        <v>18</v>
      </c>
      <c r="E806" t="str">
        <f t="shared" si="62"/>
        <v>Friday</v>
      </c>
      <c r="F806">
        <f>Assumptions!$B$2</f>
        <v>0.5</v>
      </c>
      <c r="G806">
        <f t="shared" si="63"/>
        <v>7.7</v>
      </c>
    </row>
    <row r="807" spans="1:7" x14ac:dyDescent="0.3">
      <c r="A807" s="2">
        <f t="shared" si="64"/>
        <v>46220.770833335286</v>
      </c>
      <c r="B807">
        <v>13.4</v>
      </c>
      <c r="C807" s="2">
        <f t="shared" si="60"/>
        <v>46220</v>
      </c>
      <c r="D807" s="1">
        <f t="shared" si="61"/>
        <v>18.5</v>
      </c>
      <c r="E807" t="str">
        <f t="shared" si="62"/>
        <v>Friday</v>
      </c>
      <c r="F807">
        <f>Assumptions!$B$2</f>
        <v>0.5</v>
      </c>
      <c r="G807">
        <f t="shared" si="63"/>
        <v>6.7</v>
      </c>
    </row>
    <row r="808" spans="1:7" x14ac:dyDescent="0.3">
      <c r="A808" s="2">
        <f t="shared" si="64"/>
        <v>46220.791666668621</v>
      </c>
      <c r="B808">
        <v>3.9</v>
      </c>
      <c r="C808" s="2">
        <f t="shared" si="60"/>
        <v>46220</v>
      </c>
      <c r="D808" s="1">
        <f t="shared" si="61"/>
        <v>19</v>
      </c>
      <c r="E808" t="str">
        <f t="shared" si="62"/>
        <v>Friday</v>
      </c>
      <c r="F808">
        <f>Assumptions!$B$2</f>
        <v>0.5</v>
      </c>
      <c r="G808">
        <f t="shared" si="63"/>
        <v>1.95</v>
      </c>
    </row>
    <row r="809" spans="1:7" x14ac:dyDescent="0.3">
      <c r="A809" s="2">
        <f t="shared" si="64"/>
        <v>46220.812500001957</v>
      </c>
      <c r="B809">
        <v>4.5</v>
      </c>
      <c r="C809" s="2">
        <f t="shared" si="60"/>
        <v>46220</v>
      </c>
      <c r="D809" s="1">
        <f t="shared" si="61"/>
        <v>19.5</v>
      </c>
      <c r="E809" t="str">
        <f t="shared" si="62"/>
        <v>Friday</v>
      </c>
      <c r="F809">
        <f>Assumptions!$B$2</f>
        <v>0.5</v>
      </c>
      <c r="G809">
        <f t="shared" si="63"/>
        <v>2.25</v>
      </c>
    </row>
    <row r="810" spans="1:7" x14ac:dyDescent="0.3">
      <c r="A810" s="2">
        <f t="shared" si="64"/>
        <v>46220.833333335293</v>
      </c>
      <c r="B810">
        <v>4.3</v>
      </c>
      <c r="C810" s="2">
        <f t="shared" si="60"/>
        <v>46220</v>
      </c>
      <c r="D810" s="1">
        <f t="shared" si="61"/>
        <v>20</v>
      </c>
      <c r="E810" t="str">
        <f t="shared" si="62"/>
        <v>Friday</v>
      </c>
      <c r="F810">
        <f>Assumptions!$B$2</f>
        <v>0.5</v>
      </c>
      <c r="G810">
        <f t="shared" si="63"/>
        <v>2.15</v>
      </c>
    </row>
    <row r="811" spans="1:7" x14ac:dyDescent="0.3">
      <c r="A811" s="2">
        <f t="shared" si="64"/>
        <v>46220.854166668629</v>
      </c>
      <c r="B811">
        <v>4.9000000000000004</v>
      </c>
      <c r="C811" s="2">
        <f t="shared" si="60"/>
        <v>46220</v>
      </c>
      <c r="D811" s="1">
        <f t="shared" si="61"/>
        <v>20.5</v>
      </c>
      <c r="E811" t="str">
        <f t="shared" si="62"/>
        <v>Friday</v>
      </c>
      <c r="F811">
        <f>Assumptions!$B$2</f>
        <v>0.5</v>
      </c>
      <c r="G811">
        <f t="shared" si="63"/>
        <v>2.4500000000000002</v>
      </c>
    </row>
    <row r="812" spans="1:7" x14ac:dyDescent="0.3">
      <c r="A812" s="2">
        <f t="shared" si="64"/>
        <v>46220.875000001965</v>
      </c>
      <c r="B812">
        <v>5.0999999999999996</v>
      </c>
      <c r="C812" s="2">
        <f t="shared" si="60"/>
        <v>46220</v>
      </c>
      <c r="D812" s="1">
        <f t="shared" si="61"/>
        <v>21</v>
      </c>
      <c r="E812" t="str">
        <f t="shared" si="62"/>
        <v>Friday</v>
      </c>
      <c r="F812">
        <f>Assumptions!$B$2</f>
        <v>0.5</v>
      </c>
      <c r="G812">
        <f t="shared" si="63"/>
        <v>2.5499999999999998</v>
      </c>
    </row>
    <row r="813" spans="1:7" x14ac:dyDescent="0.3">
      <c r="A813" s="2">
        <f t="shared" si="64"/>
        <v>46220.8958333353</v>
      </c>
      <c r="B813">
        <v>3.3</v>
      </c>
      <c r="C813" s="2">
        <f t="shared" si="60"/>
        <v>46220</v>
      </c>
      <c r="D813" s="1">
        <f t="shared" si="61"/>
        <v>21.5</v>
      </c>
      <c r="E813" t="str">
        <f t="shared" si="62"/>
        <v>Friday</v>
      </c>
      <c r="F813">
        <f>Assumptions!$B$2</f>
        <v>0.5</v>
      </c>
      <c r="G813">
        <f t="shared" si="63"/>
        <v>1.65</v>
      </c>
    </row>
    <row r="814" spans="1:7" x14ac:dyDescent="0.3">
      <c r="A814" s="2">
        <f t="shared" si="64"/>
        <v>46220.916666668636</v>
      </c>
      <c r="B814">
        <v>6.8</v>
      </c>
      <c r="C814" s="2">
        <f t="shared" si="60"/>
        <v>46220</v>
      </c>
      <c r="D814" s="1">
        <f t="shared" si="61"/>
        <v>22</v>
      </c>
      <c r="E814" t="str">
        <f t="shared" si="62"/>
        <v>Friday</v>
      </c>
      <c r="F814">
        <f>Assumptions!$B$2</f>
        <v>0.5</v>
      </c>
      <c r="G814">
        <f t="shared" si="63"/>
        <v>3.4</v>
      </c>
    </row>
    <row r="815" spans="1:7" x14ac:dyDescent="0.3">
      <c r="A815" s="2">
        <f t="shared" si="64"/>
        <v>46220.937500001972</v>
      </c>
      <c r="B815">
        <v>3.1</v>
      </c>
      <c r="C815" s="2">
        <f t="shared" si="60"/>
        <v>46220</v>
      </c>
      <c r="D815" s="1">
        <f t="shared" si="61"/>
        <v>22.5</v>
      </c>
      <c r="E815" t="str">
        <f t="shared" si="62"/>
        <v>Friday</v>
      </c>
      <c r="F815">
        <f>Assumptions!$B$2</f>
        <v>0.5</v>
      </c>
      <c r="G815">
        <f t="shared" si="63"/>
        <v>1.55</v>
      </c>
    </row>
    <row r="816" spans="1:7" x14ac:dyDescent="0.3">
      <c r="A816" s="2">
        <f t="shared" si="64"/>
        <v>46220.958333335308</v>
      </c>
      <c r="B816">
        <v>5.3</v>
      </c>
      <c r="C816" s="2">
        <f t="shared" si="60"/>
        <v>46220</v>
      </c>
      <c r="D816" s="1">
        <f t="shared" si="61"/>
        <v>23</v>
      </c>
      <c r="E816" t="str">
        <f t="shared" si="62"/>
        <v>Friday</v>
      </c>
      <c r="F816">
        <f>Assumptions!$B$2</f>
        <v>0.5</v>
      </c>
      <c r="G816">
        <f t="shared" si="63"/>
        <v>2.65</v>
      </c>
    </row>
    <row r="817" spans="1:7" x14ac:dyDescent="0.3">
      <c r="A817" s="2">
        <f t="shared" si="64"/>
        <v>46220.979166668643</v>
      </c>
      <c r="B817">
        <v>3</v>
      </c>
      <c r="C817" s="2">
        <f t="shared" si="60"/>
        <v>46220</v>
      </c>
      <c r="D817" s="1">
        <f t="shared" si="61"/>
        <v>23.5</v>
      </c>
      <c r="E817" t="str">
        <f t="shared" si="62"/>
        <v>Friday</v>
      </c>
      <c r="F817">
        <f>Assumptions!$B$2</f>
        <v>0.5</v>
      </c>
      <c r="G817">
        <f t="shared" si="63"/>
        <v>1.5</v>
      </c>
    </row>
    <row r="818" spans="1:7" x14ac:dyDescent="0.3">
      <c r="A818" s="2">
        <f t="shared" si="64"/>
        <v>46221.000000001979</v>
      </c>
      <c r="B818">
        <v>2</v>
      </c>
      <c r="C818" s="2">
        <f t="shared" si="60"/>
        <v>46221</v>
      </c>
      <c r="D818" s="1">
        <f t="shared" si="61"/>
        <v>0</v>
      </c>
      <c r="E818" t="str">
        <f t="shared" si="62"/>
        <v>Saturday</v>
      </c>
      <c r="F818">
        <f>Assumptions!$B$2</f>
        <v>0.5</v>
      </c>
      <c r="G818">
        <f t="shared" si="63"/>
        <v>1</v>
      </c>
    </row>
    <row r="819" spans="1:7" x14ac:dyDescent="0.3">
      <c r="A819" s="2">
        <f t="shared" si="64"/>
        <v>46221.020833335315</v>
      </c>
      <c r="B819">
        <v>2.9</v>
      </c>
      <c r="C819" s="2">
        <f t="shared" si="60"/>
        <v>46221</v>
      </c>
      <c r="D819" s="1">
        <f t="shared" si="61"/>
        <v>0.5</v>
      </c>
      <c r="E819" t="str">
        <f t="shared" si="62"/>
        <v>Saturday</v>
      </c>
      <c r="F819">
        <f>Assumptions!$B$2</f>
        <v>0.5</v>
      </c>
      <c r="G819">
        <f t="shared" si="63"/>
        <v>1.45</v>
      </c>
    </row>
    <row r="820" spans="1:7" x14ac:dyDescent="0.3">
      <c r="A820" s="2">
        <f t="shared" si="64"/>
        <v>46221.041666668651</v>
      </c>
      <c r="B820">
        <v>2.7</v>
      </c>
      <c r="C820" s="2">
        <f t="shared" si="60"/>
        <v>46221</v>
      </c>
      <c r="D820" s="1">
        <f t="shared" si="61"/>
        <v>1</v>
      </c>
      <c r="E820" t="str">
        <f t="shared" si="62"/>
        <v>Saturday</v>
      </c>
      <c r="F820">
        <f>Assumptions!$B$2</f>
        <v>0.5</v>
      </c>
      <c r="G820">
        <f t="shared" si="63"/>
        <v>1.35</v>
      </c>
    </row>
    <row r="821" spans="1:7" x14ac:dyDescent="0.3">
      <c r="A821" s="2">
        <f t="shared" si="64"/>
        <v>46221.062500001986</v>
      </c>
      <c r="B821">
        <v>2.4</v>
      </c>
      <c r="C821" s="2">
        <f t="shared" si="60"/>
        <v>46221</v>
      </c>
      <c r="D821" s="1">
        <f t="shared" si="61"/>
        <v>1.5</v>
      </c>
      <c r="E821" t="str">
        <f t="shared" si="62"/>
        <v>Saturday</v>
      </c>
      <c r="F821">
        <f>Assumptions!$B$2</f>
        <v>0.5</v>
      </c>
      <c r="G821">
        <f t="shared" si="63"/>
        <v>1.2</v>
      </c>
    </row>
    <row r="822" spans="1:7" x14ac:dyDescent="0.3">
      <c r="A822" s="2">
        <f t="shared" si="64"/>
        <v>46221.083333335322</v>
      </c>
      <c r="B822">
        <v>2.7</v>
      </c>
      <c r="C822" s="2">
        <f t="shared" si="60"/>
        <v>46221</v>
      </c>
      <c r="D822" s="1">
        <f t="shared" si="61"/>
        <v>2</v>
      </c>
      <c r="E822" t="str">
        <f t="shared" si="62"/>
        <v>Saturday</v>
      </c>
      <c r="F822">
        <f>Assumptions!$B$2</f>
        <v>0.5</v>
      </c>
      <c r="G822">
        <f t="shared" si="63"/>
        <v>1.35</v>
      </c>
    </row>
    <row r="823" spans="1:7" x14ac:dyDescent="0.3">
      <c r="A823" s="2">
        <f t="shared" si="64"/>
        <v>46221.104166668658</v>
      </c>
      <c r="B823">
        <v>2.9</v>
      </c>
      <c r="C823" s="2">
        <f t="shared" si="60"/>
        <v>46221</v>
      </c>
      <c r="D823" s="1">
        <f t="shared" si="61"/>
        <v>2.5</v>
      </c>
      <c r="E823" t="str">
        <f t="shared" si="62"/>
        <v>Saturday</v>
      </c>
      <c r="F823">
        <f>Assumptions!$B$2</f>
        <v>0.5</v>
      </c>
      <c r="G823">
        <f t="shared" si="63"/>
        <v>1.45</v>
      </c>
    </row>
    <row r="824" spans="1:7" x14ac:dyDescent="0.3">
      <c r="A824" s="2">
        <f t="shared" si="64"/>
        <v>46221.125000001994</v>
      </c>
      <c r="B824">
        <v>1.9</v>
      </c>
      <c r="C824" s="2">
        <f t="shared" si="60"/>
        <v>46221</v>
      </c>
      <c r="D824" s="1">
        <f t="shared" si="61"/>
        <v>3</v>
      </c>
      <c r="E824" t="str">
        <f t="shared" si="62"/>
        <v>Saturday</v>
      </c>
      <c r="F824">
        <f>Assumptions!$B$2</f>
        <v>0.5</v>
      </c>
      <c r="G824">
        <f t="shared" si="63"/>
        <v>0.95</v>
      </c>
    </row>
    <row r="825" spans="1:7" x14ac:dyDescent="0.3">
      <c r="A825" s="2">
        <f t="shared" si="64"/>
        <v>46221.145833335329</v>
      </c>
      <c r="B825">
        <v>2.9</v>
      </c>
      <c r="C825" s="2">
        <f t="shared" si="60"/>
        <v>46221</v>
      </c>
      <c r="D825" s="1">
        <f t="shared" si="61"/>
        <v>3.5</v>
      </c>
      <c r="E825" t="str">
        <f t="shared" si="62"/>
        <v>Saturday</v>
      </c>
      <c r="F825">
        <f>Assumptions!$B$2</f>
        <v>0.5</v>
      </c>
      <c r="G825">
        <f t="shared" si="63"/>
        <v>1.45</v>
      </c>
    </row>
    <row r="826" spans="1:7" x14ac:dyDescent="0.3">
      <c r="A826" s="2">
        <f t="shared" si="64"/>
        <v>46221.166666668665</v>
      </c>
      <c r="B826">
        <v>1.9</v>
      </c>
      <c r="C826" s="2">
        <f t="shared" si="60"/>
        <v>46221</v>
      </c>
      <c r="D826" s="1">
        <f t="shared" si="61"/>
        <v>4</v>
      </c>
      <c r="E826" t="str">
        <f t="shared" si="62"/>
        <v>Saturday</v>
      </c>
      <c r="F826">
        <f>Assumptions!$B$2</f>
        <v>0.5</v>
      </c>
      <c r="G826">
        <f t="shared" si="63"/>
        <v>0.95</v>
      </c>
    </row>
    <row r="827" spans="1:7" x14ac:dyDescent="0.3">
      <c r="A827" s="2">
        <f t="shared" si="64"/>
        <v>46221.187500002001</v>
      </c>
      <c r="B827">
        <v>2.2999999999999998</v>
      </c>
      <c r="C827" s="2">
        <f t="shared" si="60"/>
        <v>46221</v>
      </c>
      <c r="D827" s="1">
        <f t="shared" si="61"/>
        <v>4.5</v>
      </c>
      <c r="E827" t="str">
        <f t="shared" si="62"/>
        <v>Saturday</v>
      </c>
      <c r="F827">
        <f>Assumptions!$B$2</f>
        <v>0.5</v>
      </c>
      <c r="G827">
        <f t="shared" si="63"/>
        <v>1.1499999999999999</v>
      </c>
    </row>
    <row r="828" spans="1:7" x14ac:dyDescent="0.3">
      <c r="A828" s="2">
        <f t="shared" si="64"/>
        <v>46221.208333335337</v>
      </c>
      <c r="B828">
        <v>1.8</v>
      </c>
      <c r="C828" s="2">
        <f t="shared" si="60"/>
        <v>46221</v>
      </c>
      <c r="D828" s="1">
        <f t="shared" si="61"/>
        <v>5</v>
      </c>
      <c r="E828" t="str">
        <f t="shared" si="62"/>
        <v>Saturday</v>
      </c>
      <c r="F828">
        <f>Assumptions!$B$2</f>
        <v>0.5</v>
      </c>
      <c r="G828">
        <f t="shared" si="63"/>
        <v>0.9</v>
      </c>
    </row>
    <row r="829" spans="1:7" x14ac:dyDescent="0.3">
      <c r="A829" s="2">
        <f t="shared" si="64"/>
        <v>46221.229166668672</v>
      </c>
      <c r="B829">
        <v>2.8</v>
      </c>
      <c r="C829" s="2">
        <f t="shared" si="60"/>
        <v>46221</v>
      </c>
      <c r="D829" s="1">
        <f t="shared" si="61"/>
        <v>5.5</v>
      </c>
      <c r="E829" t="str">
        <f t="shared" si="62"/>
        <v>Saturday</v>
      </c>
      <c r="F829">
        <f>Assumptions!$B$2</f>
        <v>0.5</v>
      </c>
      <c r="G829">
        <f t="shared" si="63"/>
        <v>1.4</v>
      </c>
    </row>
    <row r="830" spans="1:7" x14ac:dyDescent="0.3">
      <c r="A830" s="2">
        <f t="shared" si="64"/>
        <v>46221.250000002008</v>
      </c>
      <c r="B830">
        <v>7.4</v>
      </c>
      <c r="C830" s="2">
        <f t="shared" si="60"/>
        <v>46221</v>
      </c>
      <c r="D830" s="1">
        <f t="shared" si="61"/>
        <v>6</v>
      </c>
      <c r="E830" t="str">
        <f t="shared" si="62"/>
        <v>Saturday</v>
      </c>
      <c r="F830">
        <f>Assumptions!$B$2</f>
        <v>0.5</v>
      </c>
      <c r="G830">
        <f t="shared" si="63"/>
        <v>3.7</v>
      </c>
    </row>
    <row r="831" spans="1:7" x14ac:dyDescent="0.3">
      <c r="A831" s="2">
        <f t="shared" si="64"/>
        <v>46221.270833335344</v>
      </c>
      <c r="B831">
        <v>7.5</v>
      </c>
      <c r="C831" s="2">
        <f t="shared" si="60"/>
        <v>46221</v>
      </c>
      <c r="D831" s="1">
        <f t="shared" si="61"/>
        <v>6.5</v>
      </c>
      <c r="E831" t="str">
        <f t="shared" si="62"/>
        <v>Saturday</v>
      </c>
      <c r="F831">
        <f>Assumptions!$B$2</f>
        <v>0.5</v>
      </c>
      <c r="G831">
        <f t="shared" si="63"/>
        <v>3.75</v>
      </c>
    </row>
    <row r="832" spans="1:7" x14ac:dyDescent="0.3">
      <c r="A832" s="2">
        <f t="shared" si="64"/>
        <v>46221.29166666868</v>
      </c>
      <c r="B832">
        <v>5</v>
      </c>
      <c r="C832" s="2">
        <f t="shared" si="60"/>
        <v>46221</v>
      </c>
      <c r="D832" s="1">
        <f t="shared" si="61"/>
        <v>7</v>
      </c>
      <c r="E832" t="str">
        <f t="shared" si="62"/>
        <v>Saturday</v>
      </c>
      <c r="F832">
        <f>Assumptions!$B$2</f>
        <v>0.5</v>
      </c>
      <c r="G832">
        <f t="shared" si="63"/>
        <v>2.5</v>
      </c>
    </row>
    <row r="833" spans="1:7" x14ac:dyDescent="0.3">
      <c r="A833" s="2">
        <f t="shared" si="64"/>
        <v>46221.312500002015</v>
      </c>
      <c r="B833">
        <v>6.3</v>
      </c>
      <c r="C833" s="2">
        <f t="shared" si="60"/>
        <v>46221</v>
      </c>
      <c r="D833" s="1">
        <f t="shared" si="61"/>
        <v>7.5</v>
      </c>
      <c r="E833" t="str">
        <f t="shared" si="62"/>
        <v>Saturday</v>
      </c>
      <c r="F833">
        <f>Assumptions!$B$2</f>
        <v>0.5</v>
      </c>
      <c r="G833">
        <f t="shared" si="63"/>
        <v>3.15</v>
      </c>
    </row>
    <row r="834" spans="1:7" x14ac:dyDescent="0.3">
      <c r="A834" s="2">
        <f t="shared" si="64"/>
        <v>46221.333333335351</v>
      </c>
      <c r="B834">
        <v>21.1</v>
      </c>
      <c r="C834" s="2">
        <f t="shared" si="60"/>
        <v>46221</v>
      </c>
      <c r="D834" s="1">
        <f t="shared" si="61"/>
        <v>8</v>
      </c>
      <c r="E834" t="str">
        <f t="shared" si="62"/>
        <v>Saturday</v>
      </c>
      <c r="F834">
        <f>Assumptions!$B$2</f>
        <v>0.5</v>
      </c>
      <c r="G834">
        <f t="shared" si="63"/>
        <v>10.55</v>
      </c>
    </row>
    <row r="835" spans="1:7" x14ac:dyDescent="0.3">
      <c r="A835" s="2">
        <f t="shared" si="64"/>
        <v>46221.354166668687</v>
      </c>
      <c r="B835">
        <v>13.9</v>
      </c>
      <c r="C835" s="2">
        <f t="shared" ref="C835:C898" si="65">INT(A835)</f>
        <v>46221</v>
      </c>
      <c r="D835" s="1">
        <f t="shared" ref="D835:D898" si="66">HOUR(A835)+MINUTE(A835)/60</f>
        <v>8.5</v>
      </c>
      <c r="E835" t="str">
        <f t="shared" ref="E835:E898" si="67">TEXT(A835,"dddd")</f>
        <v>Saturday</v>
      </c>
      <c r="F835">
        <f>Assumptions!$B$2</f>
        <v>0.5</v>
      </c>
      <c r="G835">
        <f t="shared" ref="G835:G898" si="68">B835*F835</f>
        <v>6.95</v>
      </c>
    </row>
    <row r="836" spans="1:7" x14ac:dyDescent="0.3">
      <c r="A836" s="2">
        <f t="shared" ref="A836:A899" si="69">A835+TIME(0,30,0)</f>
        <v>46221.375000002023</v>
      </c>
      <c r="B836">
        <v>20.100000000000001</v>
      </c>
      <c r="C836" s="2">
        <f t="shared" si="65"/>
        <v>46221</v>
      </c>
      <c r="D836" s="1">
        <f t="shared" si="66"/>
        <v>9</v>
      </c>
      <c r="E836" t="str">
        <f t="shared" si="67"/>
        <v>Saturday</v>
      </c>
      <c r="F836">
        <f>Assumptions!$B$2</f>
        <v>0.5</v>
      </c>
      <c r="G836">
        <f t="shared" si="68"/>
        <v>10.050000000000001</v>
      </c>
    </row>
    <row r="837" spans="1:7" x14ac:dyDescent="0.3">
      <c r="A837" s="2">
        <f t="shared" si="69"/>
        <v>46221.395833335358</v>
      </c>
      <c r="B837">
        <v>14.2</v>
      </c>
      <c r="C837" s="2">
        <f t="shared" si="65"/>
        <v>46221</v>
      </c>
      <c r="D837" s="1">
        <f t="shared" si="66"/>
        <v>9.5</v>
      </c>
      <c r="E837" t="str">
        <f t="shared" si="67"/>
        <v>Saturday</v>
      </c>
      <c r="F837">
        <f>Assumptions!$B$2</f>
        <v>0.5</v>
      </c>
      <c r="G837">
        <f t="shared" si="68"/>
        <v>7.1</v>
      </c>
    </row>
    <row r="838" spans="1:7" x14ac:dyDescent="0.3">
      <c r="A838" s="2">
        <f t="shared" si="69"/>
        <v>46221.416666668694</v>
      </c>
      <c r="B838">
        <v>14.3</v>
      </c>
      <c r="C838" s="2">
        <f t="shared" si="65"/>
        <v>46221</v>
      </c>
      <c r="D838" s="1">
        <f t="shared" si="66"/>
        <v>10</v>
      </c>
      <c r="E838" t="str">
        <f t="shared" si="67"/>
        <v>Saturday</v>
      </c>
      <c r="F838">
        <f>Assumptions!$B$2</f>
        <v>0.5</v>
      </c>
      <c r="G838">
        <f t="shared" si="68"/>
        <v>7.15</v>
      </c>
    </row>
    <row r="839" spans="1:7" x14ac:dyDescent="0.3">
      <c r="A839" s="2">
        <f t="shared" si="69"/>
        <v>46221.43750000203</v>
      </c>
      <c r="B839">
        <v>13.5</v>
      </c>
      <c r="C839" s="2">
        <f t="shared" si="65"/>
        <v>46221</v>
      </c>
      <c r="D839" s="1">
        <f t="shared" si="66"/>
        <v>10.5</v>
      </c>
      <c r="E839" t="str">
        <f t="shared" si="67"/>
        <v>Saturday</v>
      </c>
      <c r="F839">
        <f>Assumptions!$B$2</f>
        <v>0.5</v>
      </c>
      <c r="G839">
        <f t="shared" si="68"/>
        <v>6.75</v>
      </c>
    </row>
    <row r="840" spans="1:7" x14ac:dyDescent="0.3">
      <c r="A840" s="2">
        <f t="shared" si="69"/>
        <v>46221.458333335366</v>
      </c>
      <c r="B840">
        <v>13</v>
      </c>
      <c r="C840" s="2">
        <f t="shared" si="65"/>
        <v>46221</v>
      </c>
      <c r="D840" s="1">
        <f t="shared" si="66"/>
        <v>11</v>
      </c>
      <c r="E840" t="str">
        <f t="shared" si="67"/>
        <v>Saturday</v>
      </c>
      <c r="F840">
        <f>Assumptions!$B$2</f>
        <v>0.5</v>
      </c>
      <c r="G840">
        <f t="shared" si="68"/>
        <v>6.5</v>
      </c>
    </row>
    <row r="841" spans="1:7" x14ac:dyDescent="0.3">
      <c r="A841" s="2">
        <f t="shared" si="69"/>
        <v>46221.479166668702</v>
      </c>
      <c r="B841">
        <v>20.2</v>
      </c>
      <c r="C841" s="2">
        <f t="shared" si="65"/>
        <v>46221</v>
      </c>
      <c r="D841" s="1">
        <f t="shared" si="66"/>
        <v>11.5</v>
      </c>
      <c r="E841" t="str">
        <f t="shared" si="67"/>
        <v>Saturday</v>
      </c>
      <c r="F841">
        <f>Assumptions!$B$2</f>
        <v>0.5</v>
      </c>
      <c r="G841">
        <f t="shared" si="68"/>
        <v>10.1</v>
      </c>
    </row>
    <row r="842" spans="1:7" x14ac:dyDescent="0.3">
      <c r="A842" s="2">
        <f t="shared" si="69"/>
        <v>46221.500000002037</v>
      </c>
      <c r="B842">
        <v>23.9</v>
      </c>
      <c r="C842" s="2">
        <f t="shared" si="65"/>
        <v>46221</v>
      </c>
      <c r="D842" s="1">
        <f t="shared" si="66"/>
        <v>12</v>
      </c>
      <c r="E842" t="str">
        <f t="shared" si="67"/>
        <v>Saturday</v>
      </c>
      <c r="F842">
        <f>Assumptions!$B$2</f>
        <v>0.5</v>
      </c>
      <c r="G842">
        <f t="shared" si="68"/>
        <v>11.95</v>
      </c>
    </row>
    <row r="843" spans="1:7" x14ac:dyDescent="0.3">
      <c r="A843" s="2">
        <f t="shared" si="69"/>
        <v>46221.520833335373</v>
      </c>
      <c r="B843">
        <v>29.8</v>
      </c>
      <c r="C843" s="2">
        <f t="shared" si="65"/>
        <v>46221</v>
      </c>
      <c r="D843" s="1">
        <f t="shared" si="66"/>
        <v>12.5</v>
      </c>
      <c r="E843" t="str">
        <f t="shared" si="67"/>
        <v>Saturday</v>
      </c>
      <c r="F843">
        <f>Assumptions!$B$2</f>
        <v>0.5</v>
      </c>
      <c r="G843">
        <f t="shared" si="68"/>
        <v>14.9</v>
      </c>
    </row>
    <row r="844" spans="1:7" x14ac:dyDescent="0.3">
      <c r="A844" s="2">
        <f t="shared" si="69"/>
        <v>46221.541666668709</v>
      </c>
      <c r="B844">
        <v>26.3</v>
      </c>
      <c r="C844" s="2">
        <f t="shared" si="65"/>
        <v>46221</v>
      </c>
      <c r="D844" s="1">
        <f t="shared" si="66"/>
        <v>13</v>
      </c>
      <c r="E844" t="str">
        <f t="shared" si="67"/>
        <v>Saturday</v>
      </c>
      <c r="F844">
        <f>Assumptions!$B$2</f>
        <v>0.5</v>
      </c>
      <c r="G844">
        <f t="shared" si="68"/>
        <v>13.15</v>
      </c>
    </row>
    <row r="845" spans="1:7" x14ac:dyDescent="0.3">
      <c r="A845" s="2">
        <f t="shared" si="69"/>
        <v>46221.562500002045</v>
      </c>
      <c r="B845">
        <v>29.1</v>
      </c>
      <c r="C845" s="2">
        <f t="shared" si="65"/>
        <v>46221</v>
      </c>
      <c r="D845" s="1">
        <f t="shared" si="66"/>
        <v>13.5</v>
      </c>
      <c r="E845" t="str">
        <f t="shared" si="67"/>
        <v>Saturday</v>
      </c>
      <c r="F845">
        <f>Assumptions!$B$2</f>
        <v>0.5</v>
      </c>
      <c r="G845">
        <f t="shared" si="68"/>
        <v>14.55</v>
      </c>
    </row>
    <row r="846" spans="1:7" x14ac:dyDescent="0.3">
      <c r="A846" s="2">
        <f t="shared" si="69"/>
        <v>46221.58333333538</v>
      </c>
      <c r="B846">
        <v>29.9</v>
      </c>
      <c r="C846" s="2">
        <f t="shared" si="65"/>
        <v>46221</v>
      </c>
      <c r="D846" s="1">
        <f t="shared" si="66"/>
        <v>14</v>
      </c>
      <c r="E846" t="str">
        <f t="shared" si="67"/>
        <v>Saturday</v>
      </c>
      <c r="F846">
        <f>Assumptions!$B$2</f>
        <v>0.5</v>
      </c>
      <c r="G846">
        <f t="shared" si="68"/>
        <v>14.95</v>
      </c>
    </row>
    <row r="847" spans="1:7" x14ac:dyDescent="0.3">
      <c r="A847" s="2">
        <f t="shared" si="69"/>
        <v>46221.604166668716</v>
      </c>
      <c r="B847">
        <v>31.7</v>
      </c>
      <c r="C847" s="2">
        <f t="shared" si="65"/>
        <v>46221</v>
      </c>
      <c r="D847" s="1">
        <f t="shared" si="66"/>
        <v>14.5</v>
      </c>
      <c r="E847" t="str">
        <f t="shared" si="67"/>
        <v>Saturday</v>
      </c>
      <c r="F847">
        <f>Assumptions!$B$2</f>
        <v>0.5</v>
      </c>
      <c r="G847">
        <f t="shared" si="68"/>
        <v>15.85</v>
      </c>
    </row>
    <row r="848" spans="1:7" x14ac:dyDescent="0.3">
      <c r="A848" s="2">
        <f t="shared" si="69"/>
        <v>46221.625000002052</v>
      </c>
      <c r="B848">
        <v>28.8</v>
      </c>
      <c r="C848" s="2">
        <f t="shared" si="65"/>
        <v>46221</v>
      </c>
      <c r="D848" s="1">
        <f t="shared" si="66"/>
        <v>15</v>
      </c>
      <c r="E848" t="str">
        <f t="shared" si="67"/>
        <v>Saturday</v>
      </c>
      <c r="F848">
        <f>Assumptions!$B$2</f>
        <v>0.5</v>
      </c>
      <c r="G848">
        <f t="shared" si="68"/>
        <v>14.4</v>
      </c>
    </row>
    <row r="849" spans="1:7" x14ac:dyDescent="0.3">
      <c r="A849" s="2">
        <f t="shared" si="69"/>
        <v>46221.645833335388</v>
      </c>
      <c r="B849">
        <v>18.2</v>
      </c>
      <c r="C849" s="2">
        <f t="shared" si="65"/>
        <v>46221</v>
      </c>
      <c r="D849" s="1">
        <f t="shared" si="66"/>
        <v>15.5</v>
      </c>
      <c r="E849" t="str">
        <f t="shared" si="67"/>
        <v>Saturday</v>
      </c>
      <c r="F849">
        <f>Assumptions!$B$2</f>
        <v>0.5</v>
      </c>
      <c r="G849">
        <f t="shared" si="68"/>
        <v>9.1</v>
      </c>
    </row>
    <row r="850" spans="1:7" x14ac:dyDescent="0.3">
      <c r="A850" s="2">
        <f t="shared" si="69"/>
        <v>46221.666666668723</v>
      </c>
      <c r="B850">
        <v>10.1</v>
      </c>
      <c r="C850" s="2">
        <f t="shared" si="65"/>
        <v>46221</v>
      </c>
      <c r="D850" s="1">
        <f t="shared" si="66"/>
        <v>16</v>
      </c>
      <c r="E850" t="str">
        <f t="shared" si="67"/>
        <v>Saturday</v>
      </c>
      <c r="F850">
        <f>Assumptions!$B$2</f>
        <v>0.5</v>
      </c>
      <c r="G850">
        <f t="shared" si="68"/>
        <v>5.05</v>
      </c>
    </row>
    <row r="851" spans="1:7" x14ac:dyDescent="0.3">
      <c r="A851" s="2">
        <f t="shared" si="69"/>
        <v>46221.687500002059</v>
      </c>
      <c r="B851">
        <v>13.4</v>
      </c>
      <c r="C851" s="2">
        <f t="shared" si="65"/>
        <v>46221</v>
      </c>
      <c r="D851" s="1">
        <f t="shared" si="66"/>
        <v>16.5</v>
      </c>
      <c r="E851" t="str">
        <f t="shared" si="67"/>
        <v>Saturday</v>
      </c>
      <c r="F851">
        <f>Assumptions!$B$2</f>
        <v>0.5</v>
      </c>
      <c r="G851">
        <f t="shared" si="68"/>
        <v>6.7</v>
      </c>
    </row>
    <row r="852" spans="1:7" x14ac:dyDescent="0.3">
      <c r="A852" s="2">
        <f t="shared" si="69"/>
        <v>46221.708333335395</v>
      </c>
      <c r="B852">
        <v>14.3</v>
      </c>
      <c r="C852" s="2">
        <f t="shared" si="65"/>
        <v>46221</v>
      </c>
      <c r="D852" s="1">
        <f t="shared" si="66"/>
        <v>17</v>
      </c>
      <c r="E852" t="str">
        <f t="shared" si="67"/>
        <v>Saturday</v>
      </c>
      <c r="F852">
        <f>Assumptions!$B$2</f>
        <v>0.5</v>
      </c>
      <c r="G852">
        <f t="shared" si="68"/>
        <v>7.15</v>
      </c>
    </row>
    <row r="853" spans="1:7" x14ac:dyDescent="0.3">
      <c r="A853" s="2">
        <f t="shared" si="69"/>
        <v>46221.729166668731</v>
      </c>
      <c r="B853">
        <v>12.5</v>
      </c>
      <c r="C853" s="2">
        <f t="shared" si="65"/>
        <v>46221</v>
      </c>
      <c r="D853" s="1">
        <f t="shared" si="66"/>
        <v>17.5</v>
      </c>
      <c r="E853" t="str">
        <f t="shared" si="67"/>
        <v>Saturday</v>
      </c>
      <c r="F853">
        <f>Assumptions!$B$2</f>
        <v>0.5</v>
      </c>
      <c r="G853">
        <f t="shared" si="68"/>
        <v>6.25</v>
      </c>
    </row>
    <row r="854" spans="1:7" x14ac:dyDescent="0.3">
      <c r="A854" s="2">
        <f t="shared" si="69"/>
        <v>46221.750000002066</v>
      </c>
      <c r="B854">
        <v>17</v>
      </c>
      <c r="C854" s="2">
        <f t="shared" si="65"/>
        <v>46221</v>
      </c>
      <c r="D854" s="1">
        <f t="shared" si="66"/>
        <v>18</v>
      </c>
      <c r="E854" t="str">
        <f t="shared" si="67"/>
        <v>Saturday</v>
      </c>
      <c r="F854">
        <f>Assumptions!$B$2</f>
        <v>0.5</v>
      </c>
      <c r="G854">
        <f t="shared" si="68"/>
        <v>8.5</v>
      </c>
    </row>
    <row r="855" spans="1:7" x14ac:dyDescent="0.3">
      <c r="A855" s="2">
        <f t="shared" si="69"/>
        <v>46221.770833335402</v>
      </c>
      <c r="B855">
        <v>12.7</v>
      </c>
      <c r="C855" s="2">
        <f t="shared" si="65"/>
        <v>46221</v>
      </c>
      <c r="D855" s="1">
        <f t="shared" si="66"/>
        <v>18.5</v>
      </c>
      <c r="E855" t="str">
        <f t="shared" si="67"/>
        <v>Saturday</v>
      </c>
      <c r="F855">
        <f>Assumptions!$B$2</f>
        <v>0.5</v>
      </c>
      <c r="G855">
        <f t="shared" si="68"/>
        <v>6.35</v>
      </c>
    </row>
    <row r="856" spans="1:7" x14ac:dyDescent="0.3">
      <c r="A856" s="2">
        <f t="shared" si="69"/>
        <v>46221.791666668738</v>
      </c>
      <c r="B856">
        <v>5.8</v>
      </c>
      <c r="C856" s="2">
        <f t="shared" si="65"/>
        <v>46221</v>
      </c>
      <c r="D856" s="1">
        <f t="shared" si="66"/>
        <v>19</v>
      </c>
      <c r="E856" t="str">
        <f t="shared" si="67"/>
        <v>Saturday</v>
      </c>
      <c r="F856">
        <f>Assumptions!$B$2</f>
        <v>0.5</v>
      </c>
      <c r="G856">
        <f t="shared" si="68"/>
        <v>2.9</v>
      </c>
    </row>
    <row r="857" spans="1:7" x14ac:dyDescent="0.3">
      <c r="A857" s="2">
        <f t="shared" si="69"/>
        <v>46221.812500002074</v>
      </c>
      <c r="B857">
        <v>3.2</v>
      </c>
      <c r="C857" s="2">
        <f t="shared" si="65"/>
        <v>46221</v>
      </c>
      <c r="D857" s="1">
        <f t="shared" si="66"/>
        <v>19.5</v>
      </c>
      <c r="E857" t="str">
        <f t="shared" si="67"/>
        <v>Saturday</v>
      </c>
      <c r="F857">
        <f>Assumptions!$B$2</f>
        <v>0.5</v>
      </c>
      <c r="G857">
        <f t="shared" si="68"/>
        <v>1.6</v>
      </c>
    </row>
    <row r="858" spans="1:7" x14ac:dyDescent="0.3">
      <c r="A858" s="2">
        <f t="shared" si="69"/>
        <v>46221.833333335409</v>
      </c>
      <c r="B858">
        <v>7.4</v>
      </c>
      <c r="C858" s="2">
        <f t="shared" si="65"/>
        <v>46221</v>
      </c>
      <c r="D858" s="1">
        <f t="shared" si="66"/>
        <v>20</v>
      </c>
      <c r="E858" t="str">
        <f t="shared" si="67"/>
        <v>Saturday</v>
      </c>
      <c r="F858">
        <f>Assumptions!$B$2</f>
        <v>0.5</v>
      </c>
      <c r="G858">
        <f t="shared" si="68"/>
        <v>3.7</v>
      </c>
    </row>
    <row r="859" spans="1:7" x14ac:dyDescent="0.3">
      <c r="A859" s="2">
        <f t="shared" si="69"/>
        <v>46221.854166668745</v>
      </c>
      <c r="B859">
        <v>4.3</v>
      </c>
      <c r="C859" s="2">
        <f t="shared" si="65"/>
        <v>46221</v>
      </c>
      <c r="D859" s="1">
        <f t="shared" si="66"/>
        <v>20.5</v>
      </c>
      <c r="E859" t="str">
        <f t="shared" si="67"/>
        <v>Saturday</v>
      </c>
      <c r="F859">
        <f>Assumptions!$B$2</f>
        <v>0.5</v>
      </c>
      <c r="G859">
        <f t="shared" si="68"/>
        <v>2.15</v>
      </c>
    </row>
    <row r="860" spans="1:7" x14ac:dyDescent="0.3">
      <c r="A860" s="2">
        <f t="shared" si="69"/>
        <v>46221.875000002081</v>
      </c>
      <c r="B860">
        <v>6.9</v>
      </c>
      <c r="C860" s="2">
        <f t="shared" si="65"/>
        <v>46221</v>
      </c>
      <c r="D860" s="1">
        <f t="shared" si="66"/>
        <v>21</v>
      </c>
      <c r="E860" t="str">
        <f t="shared" si="67"/>
        <v>Saturday</v>
      </c>
      <c r="F860">
        <f>Assumptions!$B$2</f>
        <v>0.5</v>
      </c>
      <c r="G860">
        <f t="shared" si="68"/>
        <v>3.45</v>
      </c>
    </row>
    <row r="861" spans="1:7" x14ac:dyDescent="0.3">
      <c r="A861" s="2">
        <f t="shared" si="69"/>
        <v>46221.895833335417</v>
      </c>
      <c r="B861">
        <v>7.7</v>
      </c>
      <c r="C861" s="2">
        <f t="shared" si="65"/>
        <v>46221</v>
      </c>
      <c r="D861" s="1">
        <f t="shared" si="66"/>
        <v>21.5</v>
      </c>
      <c r="E861" t="str">
        <f t="shared" si="67"/>
        <v>Saturday</v>
      </c>
      <c r="F861">
        <f>Assumptions!$B$2</f>
        <v>0.5</v>
      </c>
      <c r="G861">
        <f t="shared" si="68"/>
        <v>3.85</v>
      </c>
    </row>
    <row r="862" spans="1:7" x14ac:dyDescent="0.3">
      <c r="A862" s="2">
        <f t="shared" si="69"/>
        <v>46221.916666668752</v>
      </c>
      <c r="B862">
        <v>5.2</v>
      </c>
      <c r="C862" s="2">
        <f t="shared" si="65"/>
        <v>46221</v>
      </c>
      <c r="D862" s="1">
        <f t="shared" si="66"/>
        <v>22</v>
      </c>
      <c r="E862" t="str">
        <f t="shared" si="67"/>
        <v>Saturday</v>
      </c>
      <c r="F862">
        <f>Assumptions!$B$2</f>
        <v>0.5</v>
      </c>
      <c r="G862">
        <f t="shared" si="68"/>
        <v>2.6</v>
      </c>
    </row>
    <row r="863" spans="1:7" x14ac:dyDescent="0.3">
      <c r="A863" s="2">
        <f t="shared" si="69"/>
        <v>46221.937500002088</v>
      </c>
      <c r="B863">
        <v>3.2</v>
      </c>
      <c r="C863" s="2">
        <f t="shared" si="65"/>
        <v>46221</v>
      </c>
      <c r="D863" s="1">
        <f t="shared" si="66"/>
        <v>22.5</v>
      </c>
      <c r="E863" t="str">
        <f t="shared" si="67"/>
        <v>Saturday</v>
      </c>
      <c r="F863">
        <f>Assumptions!$B$2</f>
        <v>0.5</v>
      </c>
      <c r="G863">
        <f t="shared" si="68"/>
        <v>1.6</v>
      </c>
    </row>
    <row r="864" spans="1:7" x14ac:dyDescent="0.3">
      <c r="A864" s="2">
        <f t="shared" si="69"/>
        <v>46221.958333335424</v>
      </c>
      <c r="B864">
        <v>4.2</v>
      </c>
      <c r="C864" s="2">
        <f t="shared" si="65"/>
        <v>46221</v>
      </c>
      <c r="D864" s="1">
        <f t="shared" si="66"/>
        <v>23</v>
      </c>
      <c r="E864" t="str">
        <f t="shared" si="67"/>
        <v>Saturday</v>
      </c>
      <c r="F864">
        <f>Assumptions!$B$2</f>
        <v>0.5</v>
      </c>
      <c r="G864">
        <f t="shared" si="68"/>
        <v>2.1</v>
      </c>
    </row>
    <row r="865" spans="1:7" x14ac:dyDescent="0.3">
      <c r="A865" s="2">
        <f t="shared" si="69"/>
        <v>46221.97916666876</v>
      </c>
      <c r="B865">
        <v>5.6</v>
      </c>
      <c r="C865" s="2">
        <f t="shared" si="65"/>
        <v>46221</v>
      </c>
      <c r="D865" s="1">
        <f t="shared" si="66"/>
        <v>23.5</v>
      </c>
      <c r="E865" t="str">
        <f t="shared" si="67"/>
        <v>Saturday</v>
      </c>
      <c r="F865">
        <f>Assumptions!$B$2</f>
        <v>0.5</v>
      </c>
      <c r="G865">
        <f t="shared" si="68"/>
        <v>2.8</v>
      </c>
    </row>
    <row r="866" spans="1:7" x14ac:dyDescent="0.3">
      <c r="A866" s="2">
        <f t="shared" si="69"/>
        <v>46222.000000002095</v>
      </c>
      <c r="B866">
        <v>3</v>
      </c>
      <c r="C866" s="2">
        <f t="shared" si="65"/>
        <v>46222</v>
      </c>
      <c r="D866" s="1">
        <f t="shared" si="66"/>
        <v>0</v>
      </c>
      <c r="E866" t="str">
        <f t="shared" si="67"/>
        <v>Sunday</v>
      </c>
      <c r="F866">
        <f>Assumptions!$B$2</f>
        <v>0.5</v>
      </c>
      <c r="G866">
        <f t="shared" si="68"/>
        <v>1.5</v>
      </c>
    </row>
    <row r="867" spans="1:7" x14ac:dyDescent="0.3">
      <c r="A867" s="2">
        <f t="shared" si="69"/>
        <v>46222.020833335431</v>
      </c>
      <c r="B867">
        <v>1.9</v>
      </c>
      <c r="C867" s="2">
        <f t="shared" si="65"/>
        <v>46222</v>
      </c>
      <c r="D867" s="1">
        <f t="shared" si="66"/>
        <v>0.5</v>
      </c>
      <c r="E867" t="str">
        <f t="shared" si="67"/>
        <v>Sunday</v>
      </c>
      <c r="F867">
        <f>Assumptions!$B$2</f>
        <v>0.5</v>
      </c>
      <c r="G867">
        <f t="shared" si="68"/>
        <v>0.95</v>
      </c>
    </row>
    <row r="868" spans="1:7" x14ac:dyDescent="0.3">
      <c r="A868" s="2">
        <f t="shared" si="69"/>
        <v>46222.041666668767</v>
      </c>
      <c r="B868">
        <v>1.9</v>
      </c>
      <c r="C868" s="2">
        <f t="shared" si="65"/>
        <v>46222</v>
      </c>
      <c r="D868" s="1">
        <f t="shared" si="66"/>
        <v>1</v>
      </c>
      <c r="E868" t="str">
        <f t="shared" si="67"/>
        <v>Sunday</v>
      </c>
      <c r="F868">
        <f>Assumptions!$B$2</f>
        <v>0.5</v>
      </c>
      <c r="G868">
        <f t="shared" si="68"/>
        <v>0.95</v>
      </c>
    </row>
    <row r="869" spans="1:7" x14ac:dyDescent="0.3">
      <c r="A869" s="2">
        <f t="shared" si="69"/>
        <v>46222.062500002103</v>
      </c>
      <c r="B869">
        <v>2.6</v>
      </c>
      <c r="C869" s="2">
        <f t="shared" si="65"/>
        <v>46222</v>
      </c>
      <c r="D869" s="1">
        <f t="shared" si="66"/>
        <v>1.5</v>
      </c>
      <c r="E869" t="str">
        <f t="shared" si="67"/>
        <v>Sunday</v>
      </c>
      <c r="F869">
        <f>Assumptions!$B$2</f>
        <v>0.5</v>
      </c>
      <c r="G869">
        <f t="shared" si="68"/>
        <v>1.3</v>
      </c>
    </row>
    <row r="870" spans="1:7" x14ac:dyDescent="0.3">
      <c r="A870" s="2">
        <f t="shared" si="69"/>
        <v>46222.083333335439</v>
      </c>
      <c r="B870">
        <v>2.7</v>
      </c>
      <c r="C870" s="2">
        <f t="shared" si="65"/>
        <v>46222</v>
      </c>
      <c r="D870" s="1">
        <f t="shared" si="66"/>
        <v>2</v>
      </c>
      <c r="E870" t="str">
        <f t="shared" si="67"/>
        <v>Sunday</v>
      </c>
      <c r="F870">
        <f>Assumptions!$B$2</f>
        <v>0.5</v>
      </c>
      <c r="G870">
        <f t="shared" si="68"/>
        <v>1.35</v>
      </c>
    </row>
    <row r="871" spans="1:7" x14ac:dyDescent="0.3">
      <c r="A871" s="2">
        <f t="shared" si="69"/>
        <v>46222.104166668774</v>
      </c>
      <c r="B871">
        <v>2.2999999999999998</v>
      </c>
      <c r="C871" s="2">
        <f t="shared" si="65"/>
        <v>46222</v>
      </c>
      <c r="D871" s="1">
        <f t="shared" si="66"/>
        <v>2.5</v>
      </c>
      <c r="E871" t="str">
        <f t="shared" si="67"/>
        <v>Sunday</v>
      </c>
      <c r="F871">
        <f>Assumptions!$B$2</f>
        <v>0.5</v>
      </c>
      <c r="G871">
        <f t="shared" si="68"/>
        <v>1.1499999999999999</v>
      </c>
    </row>
    <row r="872" spans="1:7" x14ac:dyDescent="0.3">
      <c r="A872" s="2">
        <f t="shared" si="69"/>
        <v>46222.12500000211</v>
      </c>
      <c r="B872">
        <v>2.2000000000000002</v>
      </c>
      <c r="C872" s="2">
        <f t="shared" si="65"/>
        <v>46222</v>
      </c>
      <c r="D872" s="1">
        <f t="shared" si="66"/>
        <v>3</v>
      </c>
      <c r="E872" t="str">
        <f t="shared" si="67"/>
        <v>Sunday</v>
      </c>
      <c r="F872">
        <f>Assumptions!$B$2</f>
        <v>0.5</v>
      </c>
      <c r="G872">
        <f t="shared" si="68"/>
        <v>1.1000000000000001</v>
      </c>
    </row>
    <row r="873" spans="1:7" x14ac:dyDescent="0.3">
      <c r="A873" s="2">
        <f t="shared" si="69"/>
        <v>46222.145833335446</v>
      </c>
      <c r="B873">
        <v>2.6</v>
      </c>
      <c r="C873" s="2">
        <f t="shared" si="65"/>
        <v>46222</v>
      </c>
      <c r="D873" s="1">
        <f t="shared" si="66"/>
        <v>3.5</v>
      </c>
      <c r="E873" t="str">
        <f t="shared" si="67"/>
        <v>Sunday</v>
      </c>
      <c r="F873">
        <f>Assumptions!$B$2</f>
        <v>0.5</v>
      </c>
      <c r="G873">
        <f t="shared" si="68"/>
        <v>1.3</v>
      </c>
    </row>
    <row r="874" spans="1:7" x14ac:dyDescent="0.3">
      <c r="A874" s="2">
        <f t="shared" si="69"/>
        <v>46222.166666668782</v>
      </c>
      <c r="B874">
        <v>2.6</v>
      </c>
      <c r="C874" s="2">
        <f t="shared" si="65"/>
        <v>46222</v>
      </c>
      <c r="D874" s="1">
        <f t="shared" si="66"/>
        <v>4</v>
      </c>
      <c r="E874" t="str">
        <f t="shared" si="67"/>
        <v>Sunday</v>
      </c>
      <c r="F874">
        <f>Assumptions!$B$2</f>
        <v>0.5</v>
      </c>
      <c r="G874">
        <f t="shared" si="68"/>
        <v>1.3</v>
      </c>
    </row>
    <row r="875" spans="1:7" x14ac:dyDescent="0.3">
      <c r="A875" s="2">
        <f t="shared" si="69"/>
        <v>46222.187500002117</v>
      </c>
      <c r="B875">
        <v>2</v>
      </c>
      <c r="C875" s="2">
        <f t="shared" si="65"/>
        <v>46222</v>
      </c>
      <c r="D875" s="1">
        <f t="shared" si="66"/>
        <v>4.5</v>
      </c>
      <c r="E875" t="str">
        <f t="shared" si="67"/>
        <v>Sunday</v>
      </c>
      <c r="F875">
        <f>Assumptions!$B$2</f>
        <v>0.5</v>
      </c>
      <c r="G875">
        <f t="shared" si="68"/>
        <v>1</v>
      </c>
    </row>
    <row r="876" spans="1:7" x14ac:dyDescent="0.3">
      <c r="A876" s="2">
        <f t="shared" si="69"/>
        <v>46222.208333335453</v>
      </c>
      <c r="B876">
        <v>2.6</v>
      </c>
      <c r="C876" s="2">
        <f t="shared" si="65"/>
        <v>46222</v>
      </c>
      <c r="D876" s="1">
        <f t="shared" si="66"/>
        <v>5</v>
      </c>
      <c r="E876" t="str">
        <f t="shared" si="67"/>
        <v>Sunday</v>
      </c>
      <c r="F876">
        <f>Assumptions!$B$2</f>
        <v>0.5</v>
      </c>
      <c r="G876">
        <f t="shared" si="68"/>
        <v>1.3</v>
      </c>
    </row>
    <row r="877" spans="1:7" x14ac:dyDescent="0.3">
      <c r="A877" s="2">
        <f t="shared" si="69"/>
        <v>46222.229166668789</v>
      </c>
      <c r="B877">
        <v>2.1</v>
      </c>
      <c r="C877" s="2">
        <f t="shared" si="65"/>
        <v>46222</v>
      </c>
      <c r="D877" s="1">
        <f t="shared" si="66"/>
        <v>5.5</v>
      </c>
      <c r="E877" t="str">
        <f t="shared" si="67"/>
        <v>Sunday</v>
      </c>
      <c r="F877">
        <f>Assumptions!$B$2</f>
        <v>0.5</v>
      </c>
      <c r="G877">
        <f t="shared" si="68"/>
        <v>1.05</v>
      </c>
    </row>
    <row r="878" spans="1:7" x14ac:dyDescent="0.3">
      <c r="A878" s="2">
        <f t="shared" si="69"/>
        <v>46222.250000002125</v>
      </c>
      <c r="B878">
        <v>7.3</v>
      </c>
      <c r="C878" s="2">
        <f t="shared" si="65"/>
        <v>46222</v>
      </c>
      <c r="D878" s="1">
        <f t="shared" si="66"/>
        <v>6</v>
      </c>
      <c r="E878" t="str">
        <f t="shared" si="67"/>
        <v>Sunday</v>
      </c>
      <c r="F878">
        <f>Assumptions!$B$2</f>
        <v>0.5</v>
      </c>
      <c r="G878">
        <f t="shared" si="68"/>
        <v>3.65</v>
      </c>
    </row>
    <row r="879" spans="1:7" x14ac:dyDescent="0.3">
      <c r="A879" s="2">
        <f t="shared" si="69"/>
        <v>46222.27083333546</v>
      </c>
      <c r="B879">
        <v>6.6</v>
      </c>
      <c r="C879" s="2">
        <f t="shared" si="65"/>
        <v>46222</v>
      </c>
      <c r="D879" s="1">
        <f t="shared" si="66"/>
        <v>6.5</v>
      </c>
      <c r="E879" t="str">
        <f t="shared" si="67"/>
        <v>Sunday</v>
      </c>
      <c r="F879">
        <f>Assumptions!$B$2</f>
        <v>0.5</v>
      </c>
      <c r="G879">
        <f t="shared" si="68"/>
        <v>3.3</v>
      </c>
    </row>
    <row r="880" spans="1:7" x14ac:dyDescent="0.3">
      <c r="A880" s="2">
        <f t="shared" si="69"/>
        <v>46222.291666668796</v>
      </c>
      <c r="B880">
        <v>4</v>
      </c>
      <c r="C880" s="2">
        <f t="shared" si="65"/>
        <v>46222</v>
      </c>
      <c r="D880" s="1">
        <f t="shared" si="66"/>
        <v>7</v>
      </c>
      <c r="E880" t="str">
        <f t="shared" si="67"/>
        <v>Sunday</v>
      </c>
      <c r="F880">
        <f>Assumptions!$B$2</f>
        <v>0.5</v>
      </c>
      <c r="G880">
        <f t="shared" si="68"/>
        <v>2</v>
      </c>
    </row>
    <row r="881" spans="1:7" x14ac:dyDescent="0.3">
      <c r="A881" s="2">
        <f t="shared" si="69"/>
        <v>46222.312500002132</v>
      </c>
      <c r="B881">
        <v>5.5</v>
      </c>
      <c r="C881" s="2">
        <f t="shared" si="65"/>
        <v>46222</v>
      </c>
      <c r="D881" s="1">
        <f t="shared" si="66"/>
        <v>7.5</v>
      </c>
      <c r="E881" t="str">
        <f t="shared" si="67"/>
        <v>Sunday</v>
      </c>
      <c r="F881">
        <f>Assumptions!$B$2</f>
        <v>0.5</v>
      </c>
      <c r="G881">
        <f t="shared" si="68"/>
        <v>2.75</v>
      </c>
    </row>
    <row r="882" spans="1:7" x14ac:dyDescent="0.3">
      <c r="A882" s="2">
        <f t="shared" si="69"/>
        <v>46222.333333335468</v>
      </c>
      <c r="B882">
        <v>19.899999999999999</v>
      </c>
      <c r="C882" s="2">
        <f t="shared" si="65"/>
        <v>46222</v>
      </c>
      <c r="D882" s="1">
        <f t="shared" si="66"/>
        <v>8</v>
      </c>
      <c r="E882" t="str">
        <f t="shared" si="67"/>
        <v>Sunday</v>
      </c>
      <c r="F882">
        <f>Assumptions!$B$2</f>
        <v>0.5</v>
      </c>
      <c r="G882">
        <f t="shared" si="68"/>
        <v>9.9499999999999993</v>
      </c>
    </row>
    <row r="883" spans="1:7" x14ac:dyDescent="0.3">
      <c r="A883" s="2">
        <f t="shared" si="69"/>
        <v>46222.354166668803</v>
      </c>
      <c r="B883">
        <v>18.100000000000001</v>
      </c>
      <c r="C883" s="2">
        <f t="shared" si="65"/>
        <v>46222</v>
      </c>
      <c r="D883" s="1">
        <f t="shared" si="66"/>
        <v>8.5</v>
      </c>
      <c r="E883" t="str">
        <f t="shared" si="67"/>
        <v>Sunday</v>
      </c>
      <c r="F883">
        <f>Assumptions!$B$2</f>
        <v>0.5</v>
      </c>
      <c r="G883">
        <f t="shared" si="68"/>
        <v>9.0500000000000007</v>
      </c>
    </row>
    <row r="884" spans="1:7" x14ac:dyDescent="0.3">
      <c r="A884" s="2">
        <f t="shared" si="69"/>
        <v>46222.375000002139</v>
      </c>
      <c r="B884">
        <v>12.1</v>
      </c>
      <c r="C884" s="2">
        <f t="shared" si="65"/>
        <v>46222</v>
      </c>
      <c r="D884" s="1">
        <f t="shared" si="66"/>
        <v>9</v>
      </c>
      <c r="E884" t="str">
        <f t="shared" si="67"/>
        <v>Sunday</v>
      </c>
      <c r="F884">
        <f>Assumptions!$B$2</f>
        <v>0.5</v>
      </c>
      <c r="G884">
        <f t="shared" si="68"/>
        <v>6.05</v>
      </c>
    </row>
    <row r="885" spans="1:7" x14ac:dyDescent="0.3">
      <c r="A885" s="2">
        <f t="shared" si="69"/>
        <v>46222.395833335475</v>
      </c>
      <c r="B885">
        <v>16.399999999999999</v>
      </c>
      <c r="C885" s="2">
        <f t="shared" si="65"/>
        <v>46222</v>
      </c>
      <c r="D885" s="1">
        <f t="shared" si="66"/>
        <v>9.5</v>
      </c>
      <c r="E885" t="str">
        <f t="shared" si="67"/>
        <v>Sunday</v>
      </c>
      <c r="F885">
        <f>Assumptions!$B$2</f>
        <v>0.5</v>
      </c>
      <c r="G885">
        <f t="shared" si="68"/>
        <v>8.1999999999999993</v>
      </c>
    </row>
    <row r="886" spans="1:7" x14ac:dyDescent="0.3">
      <c r="A886" s="2">
        <f t="shared" si="69"/>
        <v>46222.416666668811</v>
      </c>
      <c r="B886">
        <v>14.2</v>
      </c>
      <c r="C886" s="2">
        <f t="shared" si="65"/>
        <v>46222</v>
      </c>
      <c r="D886" s="1">
        <f t="shared" si="66"/>
        <v>10</v>
      </c>
      <c r="E886" t="str">
        <f t="shared" si="67"/>
        <v>Sunday</v>
      </c>
      <c r="F886">
        <f>Assumptions!$B$2</f>
        <v>0.5</v>
      </c>
      <c r="G886">
        <f t="shared" si="68"/>
        <v>7.1</v>
      </c>
    </row>
    <row r="887" spans="1:7" x14ac:dyDescent="0.3">
      <c r="A887" s="2">
        <f t="shared" si="69"/>
        <v>46222.437500002146</v>
      </c>
      <c r="B887">
        <v>14.1</v>
      </c>
      <c r="C887" s="2">
        <f t="shared" si="65"/>
        <v>46222</v>
      </c>
      <c r="D887" s="1">
        <f t="shared" si="66"/>
        <v>10.5</v>
      </c>
      <c r="E887" t="str">
        <f t="shared" si="67"/>
        <v>Sunday</v>
      </c>
      <c r="F887">
        <f>Assumptions!$B$2</f>
        <v>0.5</v>
      </c>
      <c r="G887">
        <f t="shared" si="68"/>
        <v>7.05</v>
      </c>
    </row>
    <row r="888" spans="1:7" x14ac:dyDescent="0.3">
      <c r="A888" s="2">
        <f t="shared" si="69"/>
        <v>46222.458333335482</v>
      </c>
      <c r="B888">
        <v>17.899999999999999</v>
      </c>
      <c r="C888" s="2">
        <f t="shared" si="65"/>
        <v>46222</v>
      </c>
      <c r="D888" s="1">
        <f t="shared" si="66"/>
        <v>11</v>
      </c>
      <c r="E888" t="str">
        <f t="shared" si="67"/>
        <v>Sunday</v>
      </c>
      <c r="F888">
        <f>Assumptions!$B$2</f>
        <v>0.5</v>
      </c>
      <c r="G888">
        <f t="shared" si="68"/>
        <v>8.9499999999999993</v>
      </c>
    </row>
    <row r="889" spans="1:7" x14ac:dyDescent="0.3">
      <c r="A889" s="2">
        <f t="shared" si="69"/>
        <v>46222.479166668818</v>
      </c>
      <c r="B889">
        <v>20.399999999999999</v>
      </c>
      <c r="C889" s="2">
        <f t="shared" si="65"/>
        <v>46222</v>
      </c>
      <c r="D889" s="1">
        <f t="shared" si="66"/>
        <v>11.5</v>
      </c>
      <c r="E889" t="str">
        <f t="shared" si="67"/>
        <v>Sunday</v>
      </c>
      <c r="F889">
        <f>Assumptions!$B$2</f>
        <v>0.5</v>
      </c>
      <c r="G889">
        <f t="shared" si="68"/>
        <v>10.199999999999999</v>
      </c>
    </row>
    <row r="890" spans="1:7" x14ac:dyDescent="0.3">
      <c r="A890" s="2">
        <f t="shared" si="69"/>
        <v>46222.500000002154</v>
      </c>
      <c r="B890">
        <v>25.4</v>
      </c>
      <c r="C890" s="2">
        <f t="shared" si="65"/>
        <v>46222</v>
      </c>
      <c r="D890" s="1">
        <f t="shared" si="66"/>
        <v>12</v>
      </c>
      <c r="E890" t="str">
        <f t="shared" si="67"/>
        <v>Sunday</v>
      </c>
      <c r="F890">
        <f>Assumptions!$B$2</f>
        <v>0.5</v>
      </c>
      <c r="G890">
        <f t="shared" si="68"/>
        <v>12.7</v>
      </c>
    </row>
    <row r="891" spans="1:7" x14ac:dyDescent="0.3">
      <c r="A891" s="2">
        <f t="shared" si="69"/>
        <v>46222.520833335489</v>
      </c>
      <c r="B891">
        <v>19.100000000000001</v>
      </c>
      <c r="C891" s="2">
        <f t="shared" si="65"/>
        <v>46222</v>
      </c>
      <c r="D891" s="1">
        <f t="shared" si="66"/>
        <v>12.5</v>
      </c>
      <c r="E891" t="str">
        <f t="shared" si="67"/>
        <v>Sunday</v>
      </c>
      <c r="F891">
        <f>Assumptions!$B$2</f>
        <v>0.5</v>
      </c>
      <c r="G891">
        <f t="shared" si="68"/>
        <v>9.5500000000000007</v>
      </c>
    </row>
    <row r="892" spans="1:7" x14ac:dyDescent="0.3">
      <c r="A892" s="2">
        <f t="shared" si="69"/>
        <v>46222.541666668825</v>
      </c>
      <c r="B892">
        <v>20</v>
      </c>
      <c r="C892" s="2">
        <f t="shared" si="65"/>
        <v>46222</v>
      </c>
      <c r="D892" s="1">
        <f t="shared" si="66"/>
        <v>13</v>
      </c>
      <c r="E892" t="str">
        <f t="shared" si="67"/>
        <v>Sunday</v>
      </c>
      <c r="F892">
        <f>Assumptions!$B$2</f>
        <v>0.5</v>
      </c>
      <c r="G892">
        <f t="shared" si="68"/>
        <v>10</v>
      </c>
    </row>
    <row r="893" spans="1:7" x14ac:dyDescent="0.3">
      <c r="A893" s="2">
        <f t="shared" si="69"/>
        <v>46222.562500002161</v>
      </c>
      <c r="B893">
        <v>20.100000000000001</v>
      </c>
      <c r="C893" s="2">
        <f t="shared" si="65"/>
        <v>46222</v>
      </c>
      <c r="D893" s="1">
        <f t="shared" si="66"/>
        <v>13.5</v>
      </c>
      <c r="E893" t="str">
        <f t="shared" si="67"/>
        <v>Sunday</v>
      </c>
      <c r="F893">
        <f>Assumptions!$B$2</f>
        <v>0.5</v>
      </c>
      <c r="G893">
        <f t="shared" si="68"/>
        <v>10.050000000000001</v>
      </c>
    </row>
    <row r="894" spans="1:7" x14ac:dyDescent="0.3">
      <c r="A894" s="2">
        <f t="shared" si="69"/>
        <v>46222.583333335497</v>
      </c>
      <c r="B894">
        <v>29.9</v>
      </c>
      <c r="C894" s="2">
        <f t="shared" si="65"/>
        <v>46222</v>
      </c>
      <c r="D894" s="1">
        <f t="shared" si="66"/>
        <v>14</v>
      </c>
      <c r="E894" t="str">
        <f t="shared" si="67"/>
        <v>Sunday</v>
      </c>
      <c r="F894">
        <f>Assumptions!$B$2</f>
        <v>0.5</v>
      </c>
      <c r="G894">
        <f t="shared" si="68"/>
        <v>14.95</v>
      </c>
    </row>
    <row r="895" spans="1:7" x14ac:dyDescent="0.3">
      <c r="A895" s="2">
        <f t="shared" si="69"/>
        <v>46222.604166668832</v>
      </c>
      <c r="B895">
        <v>20.8</v>
      </c>
      <c r="C895" s="2">
        <f t="shared" si="65"/>
        <v>46222</v>
      </c>
      <c r="D895" s="1">
        <f t="shared" si="66"/>
        <v>14.5</v>
      </c>
      <c r="E895" t="str">
        <f t="shared" si="67"/>
        <v>Sunday</v>
      </c>
      <c r="F895">
        <f>Assumptions!$B$2</f>
        <v>0.5</v>
      </c>
      <c r="G895">
        <f t="shared" si="68"/>
        <v>10.4</v>
      </c>
    </row>
    <row r="896" spans="1:7" x14ac:dyDescent="0.3">
      <c r="A896" s="2">
        <f t="shared" si="69"/>
        <v>46222.625000002168</v>
      </c>
      <c r="B896">
        <v>27.8</v>
      </c>
      <c r="C896" s="2">
        <f t="shared" si="65"/>
        <v>46222</v>
      </c>
      <c r="D896" s="1">
        <f t="shared" si="66"/>
        <v>15</v>
      </c>
      <c r="E896" t="str">
        <f t="shared" si="67"/>
        <v>Sunday</v>
      </c>
      <c r="F896">
        <f>Assumptions!$B$2</f>
        <v>0.5</v>
      </c>
      <c r="G896">
        <f t="shared" si="68"/>
        <v>13.9</v>
      </c>
    </row>
    <row r="897" spans="1:7" x14ac:dyDescent="0.3">
      <c r="A897" s="2">
        <f t="shared" si="69"/>
        <v>46222.645833335504</v>
      </c>
      <c r="B897">
        <v>27.1</v>
      </c>
      <c r="C897" s="2">
        <f t="shared" si="65"/>
        <v>46222</v>
      </c>
      <c r="D897" s="1">
        <f t="shared" si="66"/>
        <v>15.5</v>
      </c>
      <c r="E897" t="str">
        <f t="shared" si="67"/>
        <v>Sunday</v>
      </c>
      <c r="F897">
        <f>Assumptions!$B$2</f>
        <v>0.5</v>
      </c>
      <c r="G897">
        <f t="shared" si="68"/>
        <v>13.55</v>
      </c>
    </row>
    <row r="898" spans="1:7" x14ac:dyDescent="0.3">
      <c r="A898" s="2">
        <f t="shared" si="69"/>
        <v>46222.66666666884</v>
      </c>
      <c r="B898">
        <v>13.8</v>
      </c>
      <c r="C898" s="2">
        <f t="shared" si="65"/>
        <v>46222</v>
      </c>
      <c r="D898" s="1">
        <f t="shared" si="66"/>
        <v>16</v>
      </c>
      <c r="E898" t="str">
        <f t="shared" si="67"/>
        <v>Sunday</v>
      </c>
      <c r="F898">
        <f>Assumptions!$B$2</f>
        <v>0.5</v>
      </c>
      <c r="G898">
        <f t="shared" si="68"/>
        <v>6.9</v>
      </c>
    </row>
    <row r="899" spans="1:7" x14ac:dyDescent="0.3">
      <c r="A899" s="2">
        <f t="shared" si="69"/>
        <v>46222.687500002176</v>
      </c>
      <c r="B899">
        <v>18.8</v>
      </c>
      <c r="C899" s="2">
        <f t="shared" ref="C899:C962" si="70">INT(A899)</f>
        <v>46222</v>
      </c>
      <c r="D899" s="1">
        <f t="shared" ref="D899:D962" si="71">HOUR(A899)+MINUTE(A899)/60</f>
        <v>16.5</v>
      </c>
      <c r="E899" t="str">
        <f t="shared" ref="E899:E962" si="72">TEXT(A899,"dddd")</f>
        <v>Sunday</v>
      </c>
      <c r="F899">
        <f>Assumptions!$B$2</f>
        <v>0.5</v>
      </c>
      <c r="G899">
        <f t="shared" ref="G899:G962" si="73">B899*F899</f>
        <v>9.4</v>
      </c>
    </row>
    <row r="900" spans="1:7" x14ac:dyDescent="0.3">
      <c r="A900" s="2">
        <f t="shared" ref="A900:A963" si="74">A899+TIME(0,30,0)</f>
        <v>46222.708333335511</v>
      </c>
      <c r="B900">
        <v>12.8</v>
      </c>
      <c r="C900" s="2">
        <f t="shared" si="70"/>
        <v>46222</v>
      </c>
      <c r="D900" s="1">
        <f t="shared" si="71"/>
        <v>17</v>
      </c>
      <c r="E900" t="str">
        <f t="shared" si="72"/>
        <v>Sunday</v>
      </c>
      <c r="F900">
        <f>Assumptions!$B$2</f>
        <v>0.5</v>
      </c>
      <c r="G900">
        <f t="shared" si="73"/>
        <v>6.4</v>
      </c>
    </row>
    <row r="901" spans="1:7" x14ac:dyDescent="0.3">
      <c r="A901" s="2">
        <f t="shared" si="74"/>
        <v>46222.729166668847</v>
      </c>
      <c r="B901">
        <v>18.3</v>
      </c>
      <c r="C901" s="2">
        <f t="shared" si="70"/>
        <v>46222</v>
      </c>
      <c r="D901" s="1">
        <f t="shared" si="71"/>
        <v>17.5</v>
      </c>
      <c r="E901" t="str">
        <f t="shared" si="72"/>
        <v>Sunday</v>
      </c>
      <c r="F901">
        <f>Assumptions!$B$2</f>
        <v>0.5</v>
      </c>
      <c r="G901">
        <f t="shared" si="73"/>
        <v>9.15</v>
      </c>
    </row>
    <row r="902" spans="1:7" x14ac:dyDescent="0.3">
      <c r="A902" s="2">
        <f t="shared" si="74"/>
        <v>46222.750000002183</v>
      </c>
      <c r="B902">
        <v>13.3</v>
      </c>
      <c r="C902" s="2">
        <f t="shared" si="70"/>
        <v>46222</v>
      </c>
      <c r="D902" s="1">
        <f t="shared" si="71"/>
        <v>18</v>
      </c>
      <c r="E902" t="str">
        <f t="shared" si="72"/>
        <v>Sunday</v>
      </c>
      <c r="F902">
        <f>Assumptions!$B$2</f>
        <v>0.5</v>
      </c>
      <c r="G902">
        <f t="shared" si="73"/>
        <v>6.65</v>
      </c>
    </row>
    <row r="903" spans="1:7" x14ac:dyDescent="0.3">
      <c r="A903" s="2">
        <f t="shared" si="74"/>
        <v>46222.770833335519</v>
      </c>
      <c r="B903">
        <v>10.6</v>
      </c>
      <c r="C903" s="2">
        <f t="shared" si="70"/>
        <v>46222</v>
      </c>
      <c r="D903" s="1">
        <f t="shared" si="71"/>
        <v>18.5</v>
      </c>
      <c r="E903" t="str">
        <f t="shared" si="72"/>
        <v>Sunday</v>
      </c>
      <c r="F903">
        <f>Assumptions!$B$2</f>
        <v>0.5</v>
      </c>
      <c r="G903">
        <f t="shared" si="73"/>
        <v>5.3</v>
      </c>
    </row>
    <row r="904" spans="1:7" x14ac:dyDescent="0.3">
      <c r="A904" s="2">
        <f t="shared" si="74"/>
        <v>46222.791666668854</v>
      </c>
      <c r="B904">
        <v>7.8</v>
      </c>
      <c r="C904" s="2">
        <f t="shared" si="70"/>
        <v>46222</v>
      </c>
      <c r="D904" s="1">
        <f t="shared" si="71"/>
        <v>19</v>
      </c>
      <c r="E904" t="str">
        <f t="shared" si="72"/>
        <v>Sunday</v>
      </c>
      <c r="F904">
        <f>Assumptions!$B$2</f>
        <v>0.5</v>
      </c>
      <c r="G904">
        <f t="shared" si="73"/>
        <v>3.9</v>
      </c>
    </row>
    <row r="905" spans="1:7" x14ac:dyDescent="0.3">
      <c r="A905" s="2">
        <f t="shared" si="74"/>
        <v>46222.81250000219</v>
      </c>
      <c r="B905">
        <v>5.8</v>
      </c>
      <c r="C905" s="2">
        <f t="shared" si="70"/>
        <v>46222</v>
      </c>
      <c r="D905" s="1">
        <f t="shared" si="71"/>
        <v>19.5</v>
      </c>
      <c r="E905" t="str">
        <f t="shared" si="72"/>
        <v>Sunday</v>
      </c>
      <c r="F905">
        <f>Assumptions!$B$2</f>
        <v>0.5</v>
      </c>
      <c r="G905">
        <f t="shared" si="73"/>
        <v>2.9</v>
      </c>
    </row>
    <row r="906" spans="1:7" x14ac:dyDescent="0.3">
      <c r="A906" s="2">
        <f t="shared" si="74"/>
        <v>46222.833333335526</v>
      </c>
      <c r="B906">
        <v>4.0999999999999996</v>
      </c>
      <c r="C906" s="2">
        <f t="shared" si="70"/>
        <v>46222</v>
      </c>
      <c r="D906" s="1">
        <f t="shared" si="71"/>
        <v>20</v>
      </c>
      <c r="E906" t="str">
        <f t="shared" si="72"/>
        <v>Sunday</v>
      </c>
      <c r="F906">
        <f>Assumptions!$B$2</f>
        <v>0.5</v>
      </c>
      <c r="G906">
        <f t="shared" si="73"/>
        <v>2.0499999999999998</v>
      </c>
    </row>
    <row r="907" spans="1:7" x14ac:dyDescent="0.3">
      <c r="A907" s="2">
        <f t="shared" si="74"/>
        <v>46222.854166668862</v>
      </c>
      <c r="B907">
        <v>8</v>
      </c>
      <c r="C907" s="2">
        <f t="shared" si="70"/>
        <v>46222</v>
      </c>
      <c r="D907" s="1">
        <f t="shared" si="71"/>
        <v>20.5</v>
      </c>
      <c r="E907" t="str">
        <f t="shared" si="72"/>
        <v>Sunday</v>
      </c>
      <c r="F907">
        <f>Assumptions!$B$2</f>
        <v>0.5</v>
      </c>
      <c r="G907">
        <f t="shared" si="73"/>
        <v>4</v>
      </c>
    </row>
    <row r="908" spans="1:7" x14ac:dyDescent="0.3">
      <c r="A908" s="2">
        <f t="shared" si="74"/>
        <v>46222.875000002197</v>
      </c>
      <c r="B908">
        <v>7.3</v>
      </c>
      <c r="C908" s="2">
        <f t="shared" si="70"/>
        <v>46222</v>
      </c>
      <c r="D908" s="1">
        <f t="shared" si="71"/>
        <v>21</v>
      </c>
      <c r="E908" t="str">
        <f t="shared" si="72"/>
        <v>Sunday</v>
      </c>
      <c r="F908">
        <f>Assumptions!$B$2</f>
        <v>0.5</v>
      </c>
      <c r="G908">
        <f t="shared" si="73"/>
        <v>3.65</v>
      </c>
    </row>
    <row r="909" spans="1:7" x14ac:dyDescent="0.3">
      <c r="A909" s="2">
        <f t="shared" si="74"/>
        <v>46222.895833335533</v>
      </c>
      <c r="B909">
        <v>6.2</v>
      </c>
      <c r="C909" s="2">
        <f t="shared" si="70"/>
        <v>46222</v>
      </c>
      <c r="D909" s="1">
        <f t="shared" si="71"/>
        <v>21.5</v>
      </c>
      <c r="E909" t="str">
        <f t="shared" si="72"/>
        <v>Sunday</v>
      </c>
      <c r="F909">
        <f>Assumptions!$B$2</f>
        <v>0.5</v>
      </c>
      <c r="G909">
        <f t="shared" si="73"/>
        <v>3.1</v>
      </c>
    </row>
    <row r="910" spans="1:7" x14ac:dyDescent="0.3">
      <c r="A910" s="2">
        <f t="shared" si="74"/>
        <v>46222.916666668869</v>
      </c>
      <c r="B910">
        <v>7.8</v>
      </c>
      <c r="C910" s="2">
        <f t="shared" si="70"/>
        <v>46222</v>
      </c>
      <c r="D910" s="1">
        <f t="shared" si="71"/>
        <v>22</v>
      </c>
      <c r="E910" t="str">
        <f t="shared" si="72"/>
        <v>Sunday</v>
      </c>
      <c r="F910">
        <f>Assumptions!$B$2</f>
        <v>0.5</v>
      </c>
      <c r="G910">
        <f t="shared" si="73"/>
        <v>3.9</v>
      </c>
    </row>
    <row r="911" spans="1:7" x14ac:dyDescent="0.3">
      <c r="A911" s="2">
        <f t="shared" si="74"/>
        <v>46222.937500002205</v>
      </c>
      <c r="B911">
        <v>4.5999999999999996</v>
      </c>
      <c r="C911" s="2">
        <f t="shared" si="70"/>
        <v>46222</v>
      </c>
      <c r="D911" s="1">
        <f t="shared" si="71"/>
        <v>22.5</v>
      </c>
      <c r="E911" t="str">
        <f t="shared" si="72"/>
        <v>Sunday</v>
      </c>
      <c r="F911">
        <f>Assumptions!$B$2</f>
        <v>0.5</v>
      </c>
      <c r="G911">
        <f t="shared" si="73"/>
        <v>2.2999999999999998</v>
      </c>
    </row>
    <row r="912" spans="1:7" x14ac:dyDescent="0.3">
      <c r="A912" s="2">
        <f t="shared" si="74"/>
        <v>46222.95833333554</v>
      </c>
      <c r="B912">
        <v>3.8</v>
      </c>
      <c r="C912" s="2">
        <f t="shared" si="70"/>
        <v>46222</v>
      </c>
      <c r="D912" s="1">
        <f t="shared" si="71"/>
        <v>23</v>
      </c>
      <c r="E912" t="str">
        <f t="shared" si="72"/>
        <v>Sunday</v>
      </c>
      <c r="F912">
        <f>Assumptions!$B$2</f>
        <v>0.5</v>
      </c>
      <c r="G912">
        <f t="shared" si="73"/>
        <v>1.9</v>
      </c>
    </row>
    <row r="913" spans="1:7" x14ac:dyDescent="0.3">
      <c r="A913" s="2">
        <f t="shared" si="74"/>
        <v>46222.979166668876</v>
      </c>
      <c r="B913">
        <v>6.4</v>
      </c>
      <c r="C913" s="2">
        <f t="shared" si="70"/>
        <v>46222</v>
      </c>
      <c r="D913" s="1">
        <f t="shared" si="71"/>
        <v>23.5</v>
      </c>
      <c r="E913" t="str">
        <f t="shared" si="72"/>
        <v>Sunday</v>
      </c>
      <c r="F913">
        <f>Assumptions!$B$2</f>
        <v>0.5</v>
      </c>
      <c r="G913">
        <f t="shared" si="73"/>
        <v>3.2</v>
      </c>
    </row>
    <row r="914" spans="1:7" x14ac:dyDescent="0.3">
      <c r="A914" s="2">
        <f t="shared" si="74"/>
        <v>46223.000000002212</v>
      </c>
      <c r="B914">
        <v>2.4</v>
      </c>
      <c r="C914" s="2">
        <f t="shared" si="70"/>
        <v>46223</v>
      </c>
      <c r="D914" s="1">
        <f t="shared" si="71"/>
        <v>0</v>
      </c>
      <c r="E914" t="str">
        <f t="shared" si="72"/>
        <v>Monday</v>
      </c>
      <c r="F914">
        <f>Assumptions!$B$2</f>
        <v>0.5</v>
      </c>
      <c r="G914">
        <f t="shared" si="73"/>
        <v>1.2</v>
      </c>
    </row>
    <row r="915" spans="1:7" x14ac:dyDescent="0.3">
      <c r="A915" s="2">
        <f t="shared" si="74"/>
        <v>46223.020833335548</v>
      </c>
      <c r="B915">
        <v>2.6</v>
      </c>
      <c r="C915" s="2">
        <f t="shared" si="70"/>
        <v>46223</v>
      </c>
      <c r="D915" s="1">
        <f t="shared" si="71"/>
        <v>0.5</v>
      </c>
      <c r="E915" t="str">
        <f t="shared" si="72"/>
        <v>Monday</v>
      </c>
      <c r="F915">
        <f>Assumptions!$B$2</f>
        <v>0.5</v>
      </c>
      <c r="G915">
        <f t="shared" si="73"/>
        <v>1.3</v>
      </c>
    </row>
    <row r="916" spans="1:7" x14ac:dyDescent="0.3">
      <c r="A916" s="2">
        <f t="shared" si="74"/>
        <v>46223.041666668883</v>
      </c>
      <c r="B916">
        <v>3</v>
      </c>
      <c r="C916" s="2">
        <f t="shared" si="70"/>
        <v>46223</v>
      </c>
      <c r="D916" s="1">
        <f t="shared" si="71"/>
        <v>1</v>
      </c>
      <c r="E916" t="str">
        <f t="shared" si="72"/>
        <v>Monday</v>
      </c>
      <c r="F916">
        <f>Assumptions!$B$2</f>
        <v>0.5</v>
      </c>
      <c r="G916">
        <f t="shared" si="73"/>
        <v>1.5</v>
      </c>
    </row>
    <row r="917" spans="1:7" x14ac:dyDescent="0.3">
      <c r="A917" s="2">
        <f t="shared" si="74"/>
        <v>46223.062500002219</v>
      </c>
      <c r="B917">
        <v>3</v>
      </c>
      <c r="C917" s="2">
        <f t="shared" si="70"/>
        <v>46223</v>
      </c>
      <c r="D917" s="1">
        <f t="shared" si="71"/>
        <v>1.5</v>
      </c>
      <c r="E917" t="str">
        <f t="shared" si="72"/>
        <v>Monday</v>
      </c>
      <c r="F917">
        <f>Assumptions!$B$2</f>
        <v>0.5</v>
      </c>
      <c r="G917">
        <f t="shared" si="73"/>
        <v>1.5</v>
      </c>
    </row>
    <row r="918" spans="1:7" x14ac:dyDescent="0.3">
      <c r="A918" s="2">
        <f t="shared" si="74"/>
        <v>46223.083333335555</v>
      </c>
      <c r="B918">
        <v>2.2000000000000002</v>
      </c>
      <c r="C918" s="2">
        <f t="shared" si="70"/>
        <v>46223</v>
      </c>
      <c r="D918" s="1">
        <f t="shared" si="71"/>
        <v>2</v>
      </c>
      <c r="E918" t="str">
        <f t="shared" si="72"/>
        <v>Monday</v>
      </c>
      <c r="F918">
        <f>Assumptions!$B$2</f>
        <v>0.5</v>
      </c>
      <c r="G918">
        <f t="shared" si="73"/>
        <v>1.1000000000000001</v>
      </c>
    </row>
    <row r="919" spans="1:7" x14ac:dyDescent="0.3">
      <c r="A919" s="2">
        <f t="shared" si="74"/>
        <v>46223.104166668891</v>
      </c>
      <c r="B919">
        <v>1.9</v>
      </c>
      <c r="C919" s="2">
        <f t="shared" si="70"/>
        <v>46223</v>
      </c>
      <c r="D919" s="1">
        <f t="shared" si="71"/>
        <v>2.5</v>
      </c>
      <c r="E919" t="str">
        <f t="shared" si="72"/>
        <v>Monday</v>
      </c>
      <c r="F919">
        <f>Assumptions!$B$2</f>
        <v>0.5</v>
      </c>
      <c r="G919">
        <f t="shared" si="73"/>
        <v>0.95</v>
      </c>
    </row>
    <row r="920" spans="1:7" x14ac:dyDescent="0.3">
      <c r="A920" s="2">
        <f t="shared" si="74"/>
        <v>46223.125000002226</v>
      </c>
      <c r="B920">
        <v>2.8</v>
      </c>
      <c r="C920" s="2">
        <f t="shared" si="70"/>
        <v>46223</v>
      </c>
      <c r="D920" s="1">
        <f t="shared" si="71"/>
        <v>3</v>
      </c>
      <c r="E920" t="str">
        <f t="shared" si="72"/>
        <v>Monday</v>
      </c>
      <c r="F920">
        <f>Assumptions!$B$2</f>
        <v>0.5</v>
      </c>
      <c r="G920">
        <f t="shared" si="73"/>
        <v>1.4</v>
      </c>
    </row>
    <row r="921" spans="1:7" x14ac:dyDescent="0.3">
      <c r="A921" s="2">
        <f t="shared" si="74"/>
        <v>46223.145833335562</v>
      </c>
      <c r="B921">
        <v>2.6</v>
      </c>
      <c r="C921" s="2">
        <f t="shared" si="70"/>
        <v>46223</v>
      </c>
      <c r="D921" s="1">
        <f t="shared" si="71"/>
        <v>3.5</v>
      </c>
      <c r="E921" t="str">
        <f t="shared" si="72"/>
        <v>Monday</v>
      </c>
      <c r="F921">
        <f>Assumptions!$B$2</f>
        <v>0.5</v>
      </c>
      <c r="G921">
        <f t="shared" si="73"/>
        <v>1.3</v>
      </c>
    </row>
    <row r="922" spans="1:7" x14ac:dyDescent="0.3">
      <c r="A922" s="2">
        <f t="shared" si="74"/>
        <v>46223.166666668898</v>
      </c>
      <c r="B922">
        <v>2.2999999999999998</v>
      </c>
      <c r="C922" s="2">
        <f t="shared" si="70"/>
        <v>46223</v>
      </c>
      <c r="D922" s="1">
        <f t="shared" si="71"/>
        <v>4</v>
      </c>
      <c r="E922" t="str">
        <f t="shared" si="72"/>
        <v>Monday</v>
      </c>
      <c r="F922">
        <f>Assumptions!$B$2</f>
        <v>0.5</v>
      </c>
      <c r="G922">
        <f t="shared" si="73"/>
        <v>1.1499999999999999</v>
      </c>
    </row>
    <row r="923" spans="1:7" x14ac:dyDescent="0.3">
      <c r="A923" s="2">
        <f t="shared" si="74"/>
        <v>46223.187500002234</v>
      </c>
      <c r="B923">
        <v>2.7</v>
      </c>
      <c r="C923" s="2">
        <f t="shared" si="70"/>
        <v>46223</v>
      </c>
      <c r="D923" s="1">
        <f t="shared" si="71"/>
        <v>4.5</v>
      </c>
      <c r="E923" t="str">
        <f t="shared" si="72"/>
        <v>Monday</v>
      </c>
      <c r="F923">
        <f>Assumptions!$B$2</f>
        <v>0.5</v>
      </c>
      <c r="G923">
        <f t="shared" si="73"/>
        <v>1.35</v>
      </c>
    </row>
    <row r="924" spans="1:7" x14ac:dyDescent="0.3">
      <c r="A924" s="2">
        <f t="shared" si="74"/>
        <v>46223.208333335569</v>
      </c>
      <c r="B924">
        <v>2.7</v>
      </c>
      <c r="C924" s="2">
        <f t="shared" si="70"/>
        <v>46223</v>
      </c>
      <c r="D924" s="1">
        <f t="shared" si="71"/>
        <v>5</v>
      </c>
      <c r="E924" t="str">
        <f t="shared" si="72"/>
        <v>Monday</v>
      </c>
      <c r="F924">
        <f>Assumptions!$B$2</f>
        <v>0.5</v>
      </c>
      <c r="G924">
        <f t="shared" si="73"/>
        <v>1.35</v>
      </c>
    </row>
    <row r="925" spans="1:7" x14ac:dyDescent="0.3">
      <c r="A925" s="2">
        <f t="shared" si="74"/>
        <v>46223.229166668905</v>
      </c>
      <c r="B925">
        <v>2.1</v>
      </c>
      <c r="C925" s="2">
        <f t="shared" si="70"/>
        <v>46223</v>
      </c>
      <c r="D925" s="1">
        <f t="shared" si="71"/>
        <v>5.5</v>
      </c>
      <c r="E925" t="str">
        <f t="shared" si="72"/>
        <v>Monday</v>
      </c>
      <c r="F925">
        <f>Assumptions!$B$2</f>
        <v>0.5</v>
      </c>
      <c r="G925">
        <f t="shared" si="73"/>
        <v>1.05</v>
      </c>
    </row>
    <row r="926" spans="1:7" x14ac:dyDescent="0.3">
      <c r="A926" s="2">
        <f t="shared" si="74"/>
        <v>46223.250000002241</v>
      </c>
      <c r="B926">
        <v>4</v>
      </c>
      <c r="C926" s="2">
        <f t="shared" si="70"/>
        <v>46223</v>
      </c>
      <c r="D926" s="1">
        <f t="shared" si="71"/>
        <v>6</v>
      </c>
      <c r="E926" t="str">
        <f t="shared" si="72"/>
        <v>Monday</v>
      </c>
      <c r="F926">
        <f>Assumptions!$B$2</f>
        <v>0.5</v>
      </c>
      <c r="G926">
        <f t="shared" si="73"/>
        <v>2</v>
      </c>
    </row>
    <row r="927" spans="1:7" x14ac:dyDescent="0.3">
      <c r="A927" s="2">
        <f t="shared" si="74"/>
        <v>46223.270833335577</v>
      </c>
      <c r="B927">
        <v>5.7</v>
      </c>
      <c r="C927" s="2">
        <f t="shared" si="70"/>
        <v>46223</v>
      </c>
      <c r="D927" s="1">
        <f t="shared" si="71"/>
        <v>6.5</v>
      </c>
      <c r="E927" t="str">
        <f t="shared" si="72"/>
        <v>Monday</v>
      </c>
      <c r="F927">
        <f>Assumptions!$B$2</f>
        <v>0.5</v>
      </c>
      <c r="G927">
        <f t="shared" si="73"/>
        <v>2.85</v>
      </c>
    </row>
    <row r="928" spans="1:7" x14ac:dyDescent="0.3">
      <c r="A928" s="2">
        <f t="shared" si="74"/>
        <v>46223.291666668913</v>
      </c>
      <c r="B928">
        <v>6.5</v>
      </c>
      <c r="C928" s="2">
        <f t="shared" si="70"/>
        <v>46223</v>
      </c>
      <c r="D928" s="1">
        <f t="shared" si="71"/>
        <v>7</v>
      </c>
      <c r="E928" t="str">
        <f t="shared" si="72"/>
        <v>Monday</v>
      </c>
      <c r="F928">
        <f>Assumptions!$B$2</f>
        <v>0.5</v>
      </c>
      <c r="G928">
        <f t="shared" si="73"/>
        <v>3.25</v>
      </c>
    </row>
    <row r="929" spans="1:7" x14ac:dyDescent="0.3">
      <c r="A929" s="2">
        <f t="shared" si="74"/>
        <v>46223.312500002248</v>
      </c>
      <c r="B929">
        <v>7.1</v>
      </c>
      <c r="C929" s="2">
        <f t="shared" si="70"/>
        <v>46223</v>
      </c>
      <c r="D929" s="1">
        <f t="shared" si="71"/>
        <v>7.5</v>
      </c>
      <c r="E929" t="str">
        <f t="shared" si="72"/>
        <v>Monday</v>
      </c>
      <c r="F929">
        <f>Assumptions!$B$2</f>
        <v>0.5</v>
      </c>
      <c r="G929">
        <f t="shared" si="73"/>
        <v>3.55</v>
      </c>
    </row>
    <row r="930" spans="1:7" x14ac:dyDescent="0.3">
      <c r="A930" s="2">
        <f t="shared" si="74"/>
        <v>46223.333333335584</v>
      </c>
      <c r="B930">
        <v>15.9</v>
      </c>
      <c r="C930" s="2">
        <f t="shared" si="70"/>
        <v>46223</v>
      </c>
      <c r="D930" s="1">
        <f t="shared" si="71"/>
        <v>8</v>
      </c>
      <c r="E930" t="str">
        <f t="shared" si="72"/>
        <v>Monday</v>
      </c>
      <c r="F930">
        <f>Assumptions!$B$2</f>
        <v>0.5</v>
      </c>
      <c r="G930">
        <f t="shared" si="73"/>
        <v>7.95</v>
      </c>
    </row>
    <row r="931" spans="1:7" x14ac:dyDescent="0.3">
      <c r="A931" s="2">
        <f t="shared" si="74"/>
        <v>46223.35416666892</v>
      </c>
      <c r="B931">
        <v>19.5</v>
      </c>
      <c r="C931" s="2">
        <f t="shared" si="70"/>
        <v>46223</v>
      </c>
      <c r="D931" s="1">
        <f t="shared" si="71"/>
        <v>8.5</v>
      </c>
      <c r="E931" t="str">
        <f t="shared" si="72"/>
        <v>Monday</v>
      </c>
      <c r="F931">
        <f>Assumptions!$B$2</f>
        <v>0.5</v>
      </c>
      <c r="G931">
        <f t="shared" si="73"/>
        <v>9.75</v>
      </c>
    </row>
    <row r="932" spans="1:7" x14ac:dyDescent="0.3">
      <c r="A932" s="2">
        <f t="shared" si="74"/>
        <v>46223.375000002256</v>
      </c>
      <c r="B932">
        <v>12.9</v>
      </c>
      <c r="C932" s="2">
        <f t="shared" si="70"/>
        <v>46223</v>
      </c>
      <c r="D932" s="1">
        <f t="shared" si="71"/>
        <v>9</v>
      </c>
      <c r="E932" t="str">
        <f t="shared" si="72"/>
        <v>Monday</v>
      </c>
      <c r="F932">
        <f>Assumptions!$B$2</f>
        <v>0.5</v>
      </c>
      <c r="G932">
        <f t="shared" si="73"/>
        <v>6.45</v>
      </c>
    </row>
    <row r="933" spans="1:7" x14ac:dyDescent="0.3">
      <c r="A933" s="2">
        <f t="shared" si="74"/>
        <v>46223.395833335591</v>
      </c>
      <c r="B933">
        <v>13.4</v>
      </c>
      <c r="C933" s="2">
        <f t="shared" si="70"/>
        <v>46223</v>
      </c>
      <c r="D933" s="1">
        <f t="shared" si="71"/>
        <v>9.5</v>
      </c>
      <c r="E933" t="str">
        <f t="shared" si="72"/>
        <v>Monday</v>
      </c>
      <c r="F933">
        <f>Assumptions!$B$2</f>
        <v>0.5</v>
      </c>
      <c r="G933">
        <f t="shared" si="73"/>
        <v>6.7</v>
      </c>
    </row>
    <row r="934" spans="1:7" x14ac:dyDescent="0.3">
      <c r="A934" s="2">
        <f t="shared" si="74"/>
        <v>46223.416666668927</v>
      </c>
      <c r="B934">
        <v>17.7</v>
      </c>
      <c r="C934" s="2">
        <f t="shared" si="70"/>
        <v>46223</v>
      </c>
      <c r="D934" s="1">
        <f t="shared" si="71"/>
        <v>10</v>
      </c>
      <c r="E934" t="str">
        <f t="shared" si="72"/>
        <v>Monday</v>
      </c>
      <c r="F934">
        <f>Assumptions!$B$2</f>
        <v>0.5</v>
      </c>
      <c r="G934">
        <f t="shared" si="73"/>
        <v>8.85</v>
      </c>
    </row>
    <row r="935" spans="1:7" x14ac:dyDescent="0.3">
      <c r="A935" s="2">
        <f t="shared" si="74"/>
        <v>46223.437500002263</v>
      </c>
      <c r="B935">
        <v>13.4</v>
      </c>
      <c r="C935" s="2">
        <f t="shared" si="70"/>
        <v>46223</v>
      </c>
      <c r="D935" s="1">
        <f t="shared" si="71"/>
        <v>10.5</v>
      </c>
      <c r="E935" t="str">
        <f t="shared" si="72"/>
        <v>Monday</v>
      </c>
      <c r="F935">
        <f>Assumptions!$B$2</f>
        <v>0.5</v>
      </c>
      <c r="G935">
        <f t="shared" si="73"/>
        <v>6.7</v>
      </c>
    </row>
    <row r="936" spans="1:7" x14ac:dyDescent="0.3">
      <c r="A936" s="2">
        <f t="shared" si="74"/>
        <v>46223.458333335599</v>
      </c>
      <c r="B936">
        <v>16.8</v>
      </c>
      <c r="C936" s="2">
        <f t="shared" si="70"/>
        <v>46223</v>
      </c>
      <c r="D936" s="1">
        <f t="shared" si="71"/>
        <v>11</v>
      </c>
      <c r="E936" t="str">
        <f t="shared" si="72"/>
        <v>Monday</v>
      </c>
      <c r="F936">
        <f>Assumptions!$B$2</f>
        <v>0.5</v>
      </c>
      <c r="G936">
        <f t="shared" si="73"/>
        <v>8.4</v>
      </c>
    </row>
    <row r="937" spans="1:7" x14ac:dyDescent="0.3">
      <c r="A937" s="2">
        <f t="shared" si="74"/>
        <v>46223.479166668934</v>
      </c>
      <c r="B937">
        <v>21.9</v>
      </c>
      <c r="C937" s="2">
        <f t="shared" si="70"/>
        <v>46223</v>
      </c>
      <c r="D937" s="1">
        <f t="shared" si="71"/>
        <v>11.5</v>
      </c>
      <c r="E937" t="str">
        <f t="shared" si="72"/>
        <v>Monday</v>
      </c>
      <c r="F937">
        <f>Assumptions!$B$2</f>
        <v>0.5</v>
      </c>
      <c r="G937">
        <f t="shared" si="73"/>
        <v>10.95</v>
      </c>
    </row>
    <row r="938" spans="1:7" x14ac:dyDescent="0.3">
      <c r="A938" s="2">
        <f t="shared" si="74"/>
        <v>46223.50000000227</v>
      </c>
      <c r="B938">
        <v>21.5</v>
      </c>
      <c r="C938" s="2">
        <f t="shared" si="70"/>
        <v>46223</v>
      </c>
      <c r="D938" s="1">
        <f t="shared" si="71"/>
        <v>12</v>
      </c>
      <c r="E938" t="str">
        <f t="shared" si="72"/>
        <v>Monday</v>
      </c>
      <c r="F938">
        <f>Assumptions!$B$2</f>
        <v>0.5</v>
      </c>
      <c r="G938">
        <f t="shared" si="73"/>
        <v>10.75</v>
      </c>
    </row>
    <row r="939" spans="1:7" x14ac:dyDescent="0.3">
      <c r="A939" s="2">
        <f t="shared" si="74"/>
        <v>46223.520833335606</v>
      </c>
      <c r="B939">
        <v>27.7</v>
      </c>
      <c r="C939" s="2">
        <f t="shared" si="70"/>
        <v>46223</v>
      </c>
      <c r="D939" s="1">
        <f t="shared" si="71"/>
        <v>12.5</v>
      </c>
      <c r="E939" t="str">
        <f t="shared" si="72"/>
        <v>Monday</v>
      </c>
      <c r="F939">
        <f>Assumptions!$B$2</f>
        <v>0.5</v>
      </c>
      <c r="G939">
        <f t="shared" si="73"/>
        <v>13.85</v>
      </c>
    </row>
    <row r="940" spans="1:7" x14ac:dyDescent="0.3">
      <c r="A940" s="2">
        <f t="shared" si="74"/>
        <v>46223.541666668942</v>
      </c>
      <c r="B940">
        <v>33.9</v>
      </c>
      <c r="C940" s="2">
        <f t="shared" si="70"/>
        <v>46223</v>
      </c>
      <c r="D940" s="1">
        <f t="shared" si="71"/>
        <v>13</v>
      </c>
      <c r="E940" t="str">
        <f t="shared" si="72"/>
        <v>Monday</v>
      </c>
      <c r="F940">
        <f>Assumptions!$B$2</f>
        <v>0.5</v>
      </c>
      <c r="G940">
        <f t="shared" si="73"/>
        <v>16.95</v>
      </c>
    </row>
    <row r="941" spans="1:7" x14ac:dyDescent="0.3">
      <c r="A941" s="2">
        <f t="shared" si="74"/>
        <v>46223.562500002277</v>
      </c>
      <c r="B941">
        <v>21.8</v>
      </c>
      <c r="C941" s="2">
        <f t="shared" si="70"/>
        <v>46223</v>
      </c>
      <c r="D941" s="1">
        <f t="shared" si="71"/>
        <v>13.5</v>
      </c>
      <c r="E941" t="str">
        <f t="shared" si="72"/>
        <v>Monday</v>
      </c>
      <c r="F941">
        <f>Assumptions!$B$2</f>
        <v>0.5</v>
      </c>
      <c r="G941">
        <f t="shared" si="73"/>
        <v>10.9</v>
      </c>
    </row>
    <row r="942" spans="1:7" x14ac:dyDescent="0.3">
      <c r="A942" s="2">
        <f t="shared" si="74"/>
        <v>46223.583333335613</v>
      </c>
      <c r="B942">
        <v>28.8</v>
      </c>
      <c r="C942" s="2">
        <f t="shared" si="70"/>
        <v>46223</v>
      </c>
      <c r="D942" s="1">
        <f t="shared" si="71"/>
        <v>14</v>
      </c>
      <c r="E942" t="str">
        <f t="shared" si="72"/>
        <v>Monday</v>
      </c>
      <c r="F942">
        <f>Assumptions!$B$2</f>
        <v>0.5</v>
      </c>
      <c r="G942">
        <f t="shared" si="73"/>
        <v>14.4</v>
      </c>
    </row>
    <row r="943" spans="1:7" x14ac:dyDescent="0.3">
      <c r="A943" s="2">
        <f t="shared" si="74"/>
        <v>46223.604166668949</v>
      </c>
      <c r="B943">
        <v>24</v>
      </c>
      <c r="C943" s="2">
        <f t="shared" si="70"/>
        <v>46223</v>
      </c>
      <c r="D943" s="1">
        <f t="shared" si="71"/>
        <v>14.5</v>
      </c>
      <c r="E943" t="str">
        <f t="shared" si="72"/>
        <v>Monday</v>
      </c>
      <c r="F943">
        <f>Assumptions!$B$2</f>
        <v>0.5</v>
      </c>
      <c r="G943">
        <f t="shared" si="73"/>
        <v>12</v>
      </c>
    </row>
    <row r="944" spans="1:7" x14ac:dyDescent="0.3">
      <c r="A944" s="2">
        <f t="shared" si="74"/>
        <v>46223.625000002285</v>
      </c>
      <c r="B944">
        <v>33.4</v>
      </c>
      <c r="C944" s="2">
        <f t="shared" si="70"/>
        <v>46223</v>
      </c>
      <c r="D944" s="1">
        <f t="shared" si="71"/>
        <v>15</v>
      </c>
      <c r="E944" t="str">
        <f t="shared" si="72"/>
        <v>Monday</v>
      </c>
      <c r="F944">
        <f>Assumptions!$B$2</f>
        <v>0.5</v>
      </c>
      <c r="G944">
        <f t="shared" si="73"/>
        <v>16.7</v>
      </c>
    </row>
    <row r="945" spans="1:7" x14ac:dyDescent="0.3">
      <c r="A945" s="2">
        <f t="shared" si="74"/>
        <v>46223.64583333562</v>
      </c>
      <c r="B945">
        <v>21.1</v>
      </c>
      <c r="C945" s="2">
        <f t="shared" si="70"/>
        <v>46223</v>
      </c>
      <c r="D945" s="1">
        <f t="shared" si="71"/>
        <v>15.5</v>
      </c>
      <c r="E945" t="str">
        <f t="shared" si="72"/>
        <v>Monday</v>
      </c>
      <c r="F945">
        <f>Assumptions!$B$2</f>
        <v>0.5</v>
      </c>
      <c r="G945">
        <f t="shared" si="73"/>
        <v>10.55</v>
      </c>
    </row>
    <row r="946" spans="1:7" x14ac:dyDescent="0.3">
      <c r="A946" s="2">
        <f t="shared" si="74"/>
        <v>46223.666666668956</v>
      </c>
      <c r="B946">
        <v>15.5</v>
      </c>
      <c r="C946" s="2">
        <f t="shared" si="70"/>
        <v>46223</v>
      </c>
      <c r="D946" s="1">
        <f t="shared" si="71"/>
        <v>16</v>
      </c>
      <c r="E946" t="str">
        <f t="shared" si="72"/>
        <v>Monday</v>
      </c>
      <c r="F946">
        <f>Assumptions!$B$2</f>
        <v>0.5</v>
      </c>
      <c r="G946">
        <f t="shared" si="73"/>
        <v>7.75</v>
      </c>
    </row>
    <row r="947" spans="1:7" x14ac:dyDescent="0.3">
      <c r="A947" s="2">
        <f t="shared" si="74"/>
        <v>46223.687500002292</v>
      </c>
      <c r="B947">
        <v>19.899999999999999</v>
      </c>
      <c r="C947" s="2">
        <f t="shared" si="70"/>
        <v>46223</v>
      </c>
      <c r="D947" s="1">
        <f t="shared" si="71"/>
        <v>16.5</v>
      </c>
      <c r="E947" t="str">
        <f t="shared" si="72"/>
        <v>Monday</v>
      </c>
      <c r="F947">
        <f>Assumptions!$B$2</f>
        <v>0.5</v>
      </c>
      <c r="G947">
        <f t="shared" si="73"/>
        <v>9.9499999999999993</v>
      </c>
    </row>
    <row r="948" spans="1:7" x14ac:dyDescent="0.3">
      <c r="A948" s="2">
        <f t="shared" si="74"/>
        <v>46223.708333335628</v>
      </c>
      <c r="B948">
        <v>16.899999999999999</v>
      </c>
      <c r="C948" s="2">
        <f t="shared" si="70"/>
        <v>46223</v>
      </c>
      <c r="D948" s="1">
        <f t="shared" si="71"/>
        <v>17</v>
      </c>
      <c r="E948" t="str">
        <f t="shared" si="72"/>
        <v>Monday</v>
      </c>
      <c r="F948">
        <f>Assumptions!$B$2</f>
        <v>0.5</v>
      </c>
      <c r="G948">
        <f t="shared" si="73"/>
        <v>8.4499999999999993</v>
      </c>
    </row>
    <row r="949" spans="1:7" x14ac:dyDescent="0.3">
      <c r="A949" s="2">
        <f t="shared" si="74"/>
        <v>46223.729166668963</v>
      </c>
      <c r="B949">
        <v>15</v>
      </c>
      <c r="C949" s="2">
        <f t="shared" si="70"/>
        <v>46223</v>
      </c>
      <c r="D949" s="1">
        <f t="shared" si="71"/>
        <v>17.5</v>
      </c>
      <c r="E949" t="str">
        <f t="shared" si="72"/>
        <v>Monday</v>
      </c>
      <c r="F949">
        <f>Assumptions!$B$2</f>
        <v>0.5</v>
      </c>
      <c r="G949">
        <f t="shared" si="73"/>
        <v>7.5</v>
      </c>
    </row>
    <row r="950" spans="1:7" x14ac:dyDescent="0.3">
      <c r="A950" s="2">
        <f t="shared" si="74"/>
        <v>46223.750000002299</v>
      </c>
      <c r="B950">
        <v>11.1</v>
      </c>
      <c r="C950" s="2">
        <f t="shared" si="70"/>
        <v>46223</v>
      </c>
      <c r="D950" s="1">
        <f t="shared" si="71"/>
        <v>18</v>
      </c>
      <c r="E950" t="str">
        <f t="shared" si="72"/>
        <v>Monday</v>
      </c>
      <c r="F950">
        <f>Assumptions!$B$2</f>
        <v>0.5</v>
      </c>
      <c r="G950">
        <f t="shared" si="73"/>
        <v>5.55</v>
      </c>
    </row>
    <row r="951" spans="1:7" x14ac:dyDescent="0.3">
      <c r="A951" s="2">
        <f t="shared" si="74"/>
        <v>46223.770833335635</v>
      </c>
      <c r="B951">
        <v>10.1</v>
      </c>
      <c r="C951" s="2">
        <f t="shared" si="70"/>
        <v>46223</v>
      </c>
      <c r="D951" s="1">
        <f t="shared" si="71"/>
        <v>18.5</v>
      </c>
      <c r="E951" t="str">
        <f t="shared" si="72"/>
        <v>Monday</v>
      </c>
      <c r="F951">
        <f>Assumptions!$B$2</f>
        <v>0.5</v>
      </c>
      <c r="G951">
        <f t="shared" si="73"/>
        <v>5.05</v>
      </c>
    </row>
    <row r="952" spans="1:7" x14ac:dyDescent="0.3">
      <c r="A952" s="2">
        <f t="shared" si="74"/>
        <v>46223.791666668971</v>
      </c>
      <c r="B952">
        <v>3</v>
      </c>
      <c r="C952" s="2">
        <f t="shared" si="70"/>
        <v>46223</v>
      </c>
      <c r="D952" s="1">
        <f t="shared" si="71"/>
        <v>19</v>
      </c>
      <c r="E952" t="str">
        <f t="shared" si="72"/>
        <v>Monday</v>
      </c>
      <c r="F952">
        <f>Assumptions!$B$2</f>
        <v>0.5</v>
      </c>
      <c r="G952">
        <f t="shared" si="73"/>
        <v>1.5</v>
      </c>
    </row>
    <row r="953" spans="1:7" x14ac:dyDescent="0.3">
      <c r="A953" s="2">
        <f t="shared" si="74"/>
        <v>46223.812500002306</v>
      </c>
      <c r="B953">
        <v>7.4</v>
      </c>
      <c r="C953" s="2">
        <f t="shared" si="70"/>
        <v>46223</v>
      </c>
      <c r="D953" s="1">
        <f t="shared" si="71"/>
        <v>19.5</v>
      </c>
      <c r="E953" t="str">
        <f t="shared" si="72"/>
        <v>Monday</v>
      </c>
      <c r="F953">
        <f>Assumptions!$B$2</f>
        <v>0.5</v>
      </c>
      <c r="G953">
        <f t="shared" si="73"/>
        <v>3.7</v>
      </c>
    </row>
    <row r="954" spans="1:7" x14ac:dyDescent="0.3">
      <c r="A954" s="2">
        <f t="shared" si="74"/>
        <v>46223.833333335642</v>
      </c>
      <c r="B954">
        <v>7.8</v>
      </c>
      <c r="C954" s="2">
        <f t="shared" si="70"/>
        <v>46223</v>
      </c>
      <c r="D954" s="1">
        <f t="shared" si="71"/>
        <v>20</v>
      </c>
      <c r="E954" t="str">
        <f t="shared" si="72"/>
        <v>Monday</v>
      </c>
      <c r="F954">
        <f>Assumptions!$B$2</f>
        <v>0.5</v>
      </c>
      <c r="G954">
        <f t="shared" si="73"/>
        <v>3.9</v>
      </c>
    </row>
    <row r="955" spans="1:7" x14ac:dyDescent="0.3">
      <c r="A955" s="2">
        <f t="shared" si="74"/>
        <v>46223.854166668978</v>
      </c>
      <c r="B955">
        <v>3</v>
      </c>
      <c r="C955" s="2">
        <f t="shared" si="70"/>
        <v>46223</v>
      </c>
      <c r="D955" s="1">
        <f t="shared" si="71"/>
        <v>20.5</v>
      </c>
      <c r="E955" t="str">
        <f t="shared" si="72"/>
        <v>Monday</v>
      </c>
      <c r="F955">
        <f>Assumptions!$B$2</f>
        <v>0.5</v>
      </c>
      <c r="G955">
        <f t="shared" si="73"/>
        <v>1.5</v>
      </c>
    </row>
    <row r="956" spans="1:7" x14ac:dyDescent="0.3">
      <c r="A956" s="2">
        <f t="shared" si="74"/>
        <v>46223.875000002314</v>
      </c>
      <c r="B956">
        <v>4.9000000000000004</v>
      </c>
      <c r="C956" s="2">
        <f t="shared" si="70"/>
        <v>46223</v>
      </c>
      <c r="D956" s="1">
        <f t="shared" si="71"/>
        <v>21</v>
      </c>
      <c r="E956" t="str">
        <f t="shared" si="72"/>
        <v>Monday</v>
      </c>
      <c r="F956">
        <f>Assumptions!$B$2</f>
        <v>0.5</v>
      </c>
      <c r="G956">
        <f t="shared" si="73"/>
        <v>2.4500000000000002</v>
      </c>
    </row>
    <row r="957" spans="1:7" x14ac:dyDescent="0.3">
      <c r="A957" s="2">
        <f t="shared" si="74"/>
        <v>46223.89583333565</v>
      </c>
      <c r="B957">
        <v>7.5</v>
      </c>
      <c r="C957" s="2">
        <f t="shared" si="70"/>
        <v>46223</v>
      </c>
      <c r="D957" s="1">
        <f t="shared" si="71"/>
        <v>21.5</v>
      </c>
      <c r="E957" t="str">
        <f t="shared" si="72"/>
        <v>Monday</v>
      </c>
      <c r="F957">
        <f>Assumptions!$B$2</f>
        <v>0.5</v>
      </c>
      <c r="G957">
        <f t="shared" si="73"/>
        <v>3.75</v>
      </c>
    </row>
    <row r="958" spans="1:7" x14ac:dyDescent="0.3">
      <c r="A958" s="2">
        <f t="shared" si="74"/>
        <v>46223.916666668985</v>
      </c>
      <c r="B958">
        <v>5.4</v>
      </c>
      <c r="C958" s="2">
        <f t="shared" si="70"/>
        <v>46223</v>
      </c>
      <c r="D958" s="1">
        <f t="shared" si="71"/>
        <v>22</v>
      </c>
      <c r="E958" t="str">
        <f t="shared" si="72"/>
        <v>Monday</v>
      </c>
      <c r="F958">
        <f>Assumptions!$B$2</f>
        <v>0.5</v>
      </c>
      <c r="G958">
        <f t="shared" si="73"/>
        <v>2.7</v>
      </c>
    </row>
    <row r="959" spans="1:7" x14ac:dyDescent="0.3">
      <c r="A959" s="2">
        <f t="shared" si="74"/>
        <v>46223.937500002321</v>
      </c>
      <c r="B959">
        <v>7.7</v>
      </c>
      <c r="C959" s="2">
        <f t="shared" si="70"/>
        <v>46223</v>
      </c>
      <c r="D959" s="1">
        <f t="shared" si="71"/>
        <v>22.5</v>
      </c>
      <c r="E959" t="str">
        <f t="shared" si="72"/>
        <v>Monday</v>
      </c>
      <c r="F959">
        <f>Assumptions!$B$2</f>
        <v>0.5</v>
      </c>
      <c r="G959">
        <f t="shared" si="73"/>
        <v>3.85</v>
      </c>
    </row>
    <row r="960" spans="1:7" x14ac:dyDescent="0.3">
      <c r="A960" s="2">
        <f t="shared" si="74"/>
        <v>46223.958333335657</v>
      </c>
      <c r="B960">
        <v>4.7</v>
      </c>
      <c r="C960" s="2">
        <f t="shared" si="70"/>
        <v>46223</v>
      </c>
      <c r="D960" s="1">
        <f t="shared" si="71"/>
        <v>23</v>
      </c>
      <c r="E960" t="str">
        <f t="shared" si="72"/>
        <v>Monday</v>
      </c>
      <c r="F960">
        <f>Assumptions!$B$2</f>
        <v>0.5</v>
      </c>
      <c r="G960">
        <f t="shared" si="73"/>
        <v>2.35</v>
      </c>
    </row>
    <row r="961" spans="1:7" x14ac:dyDescent="0.3">
      <c r="A961" s="2">
        <f t="shared" si="74"/>
        <v>46223.979166668993</v>
      </c>
      <c r="B961">
        <v>6.6</v>
      </c>
      <c r="C961" s="2">
        <f t="shared" si="70"/>
        <v>46223</v>
      </c>
      <c r="D961" s="1">
        <f t="shared" si="71"/>
        <v>23.5</v>
      </c>
      <c r="E961" t="str">
        <f t="shared" si="72"/>
        <v>Monday</v>
      </c>
      <c r="F961">
        <f>Assumptions!$B$2</f>
        <v>0.5</v>
      </c>
      <c r="G961">
        <f t="shared" si="73"/>
        <v>3.3</v>
      </c>
    </row>
    <row r="962" spans="1:7" x14ac:dyDescent="0.3">
      <c r="A962" s="2">
        <f t="shared" si="74"/>
        <v>46224.000000002328</v>
      </c>
      <c r="B962">
        <v>2.2999999999999998</v>
      </c>
      <c r="C962" s="2">
        <f t="shared" si="70"/>
        <v>46224</v>
      </c>
      <c r="D962" s="1">
        <f t="shared" si="71"/>
        <v>0</v>
      </c>
      <c r="E962" t="str">
        <f t="shared" si="72"/>
        <v>Tuesday</v>
      </c>
      <c r="F962">
        <f>Assumptions!$B$2</f>
        <v>0.5</v>
      </c>
      <c r="G962">
        <f t="shared" si="73"/>
        <v>1.1499999999999999</v>
      </c>
    </row>
    <row r="963" spans="1:7" x14ac:dyDescent="0.3">
      <c r="A963" s="2">
        <f t="shared" si="74"/>
        <v>46224.020833335664</v>
      </c>
      <c r="B963">
        <v>2.2999999999999998</v>
      </c>
      <c r="C963" s="2">
        <f t="shared" ref="C963:C1026" si="75">INT(A963)</f>
        <v>46224</v>
      </c>
      <c r="D963" s="1">
        <f t="shared" ref="D963:D1026" si="76">HOUR(A963)+MINUTE(A963)/60</f>
        <v>0.5</v>
      </c>
      <c r="E963" t="str">
        <f t="shared" ref="E963:E1026" si="77">TEXT(A963,"dddd")</f>
        <v>Tuesday</v>
      </c>
      <c r="F963">
        <f>Assumptions!$B$2</f>
        <v>0.5</v>
      </c>
      <c r="G963">
        <f t="shared" ref="G963:G1026" si="78">B963*F963</f>
        <v>1.1499999999999999</v>
      </c>
    </row>
    <row r="964" spans="1:7" x14ac:dyDescent="0.3">
      <c r="A964" s="2">
        <f t="shared" ref="A964:A1027" si="79">A963+TIME(0,30,0)</f>
        <v>46224.041666669</v>
      </c>
      <c r="B964">
        <v>3</v>
      </c>
      <c r="C964" s="2">
        <f t="shared" si="75"/>
        <v>46224</v>
      </c>
      <c r="D964" s="1">
        <f t="shared" si="76"/>
        <v>1</v>
      </c>
      <c r="E964" t="str">
        <f t="shared" si="77"/>
        <v>Tuesday</v>
      </c>
      <c r="F964">
        <f>Assumptions!$B$2</f>
        <v>0.5</v>
      </c>
      <c r="G964">
        <f t="shared" si="78"/>
        <v>1.5</v>
      </c>
    </row>
    <row r="965" spans="1:7" x14ac:dyDescent="0.3">
      <c r="A965" s="2">
        <f t="shared" si="79"/>
        <v>46224.062500002336</v>
      </c>
      <c r="B965">
        <v>2.4</v>
      </c>
      <c r="C965" s="2">
        <f t="shared" si="75"/>
        <v>46224</v>
      </c>
      <c r="D965" s="1">
        <f t="shared" si="76"/>
        <v>1.5</v>
      </c>
      <c r="E965" t="str">
        <f t="shared" si="77"/>
        <v>Tuesday</v>
      </c>
      <c r="F965">
        <f>Assumptions!$B$2</f>
        <v>0.5</v>
      </c>
      <c r="G965">
        <f t="shared" si="78"/>
        <v>1.2</v>
      </c>
    </row>
    <row r="966" spans="1:7" x14ac:dyDescent="0.3">
      <c r="A966" s="2">
        <f t="shared" si="79"/>
        <v>46224.083333335671</v>
      </c>
      <c r="B966">
        <v>2.2000000000000002</v>
      </c>
      <c r="C966" s="2">
        <f t="shared" si="75"/>
        <v>46224</v>
      </c>
      <c r="D966" s="1">
        <f t="shared" si="76"/>
        <v>2</v>
      </c>
      <c r="E966" t="str">
        <f t="shared" si="77"/>
        <v>Tuesday</v>
      </c>
      <c r="F966">
        <f>Assumptions!$B$2</f>
        <v>0.5</v>
      </c>
      <c r="G966">
        <f t="shared" si="78"/>
        <v>1.1000000000000001</v>
      </c>
    </row>
    <row r="967" spans="1:7" x14ac:dyDescent="0.3">
      <c r="A967" s="2">
        <f t="shared" si="79"/>
        <v>46224.104166669007</v>
      </c>
      <c r="B967">
        <v>2.8</v>
      </c>
      <c r="C967" s="2">
        <f t="shared" si="75"/>
        <v>46224</v>
      </c>
      <c r="D967" s="1">
        <f t="shared" si="76"/>
        <v>2.5</v>
      </c>
      <c r="E967" t="str">
        <f t="shared" si="77"/>
        <v>Tuesday</v>
      </c>
      <c r="F967">
        <f>Assumptions!$B$2</f>
        <v>0.5</v>
      </c>
      <c r="G967">
        <f t="shared" si="78"/>
        <v>1.4</v>
      </c>
    </row>
    <row r="968" spans="1:7" x14ac:dyDescent="0.3">
      <c r="A968" s="2">
        <f t="shared" si="79"/>
        <v>46224.125000002343</v>
      </c>
      <c r="B968">
        <v>2.5</v>
      </c>
      <c r="C968" s="2">
        <f t="shared" si="75"/>
        <v>46224</v>
      </c>
      <c r="D968" s="1">
        <f t="shared" si="76"/>
        <v>3</v>
      </c>
      <c r="E968" t="str">
        <f t="shared" si="77"/>
        <v>Tuesday</v>
      </c>
      <c r="F968">
        <f>Assumptions!$B$2</f>
        <v>0.5</v>
      </c>
      <c r="G968">
        <f t="shared" si="78"/>
        <v>1.25</v>
      </c>
    </row>
    <row r="969" spans="1:7" x14ac:dyDescent="0.3">
      <c r="A969" s="2">
        <f t="shared" si="79"/>
        <v>46224.145833335679</v>
      </c>
      <c r="B969">
        <v>2.6</v>
      </c>
      <c r="C969" s="2">
        <f t="shared" si="75"/>
        <v>46224</v>
      </c>
      <c r="D969" s="1">
        <f t="shared" si="76"/>
        <v>3.5</v>
      </c>
      <c r="E969" t="str">
        <f t="shared" si="77"/>
        <v>Tuesday</v>
      </c>
      <c r="F969">
        <f>Assumptions!$B$2</f>
        <v>0.5</v>
      </c>
      <c r="G969">
        <f t="shared" si="78"/>
        <v>1.3</v>
      </c>
    </row>
    <row r="970" spans="1:7" x14ac:dyDescent="0.3">
      <c r="A970" s="2">
        <f t="shared" si="79"/>
        <v>46224.166666669014</v>
      </c>
      <c r="B970">
        <v>2.9</v>
      </c>
      <c r="C970" s="2">
        <f t="shared" si="75"/>
        <v>46224</v>
      </c>
      <c r="D970" s="1">
        <f t="shared" si="76"/>
        <v>4</v>
      </c>
      <c r="E970" t="str">
        <f t="shared" si="77"/>
        <v>Tuesday</v>
      </c>
      <c r="F970">
        <f>Assumptions!$B$2</f>
        <v>0.5</v>
      </c>
      <c r="G970">
        <f t="shared" si="78"/>
        <v>1.45</v>
      </c>
    </row>
    <row r="971" spans="1:7" x14ac:dyDescent="0.3">
      <c r="A971" s="2">
        <f t="shared" si="79"/>
        <v>46224.18750000235</v>
      </c>
      <c r="B971">
        <v>2.2000000000000002</v>
      </c>
      <c r="C971" s="2">
        <f t="shared" si="75"/>
        <v>46224</v>
      </c>
      <c r="D971" s="1">
        <f t="shared" si="76"/>
        <v>4.5</v>
      </c>
      <c r="E971" t="str">
        <f t="shared" si="77"/>
        <v>Tuesday</v>
      </c>
      <c r="F971">
        <f>Assumptions!$B$2</f>
        <v>0.5</v>
      </c>
      <c r="G971">
        <f t="shared" si="78"/>
        <v>1.1000000000000001</v>
      </c>
    </row>
    <row r="972" spans="1:7" x14ac:dyDescent="0.3">
      <c r="A972" s="2">
        <f t="shared" si="79"/>
        <v>46224.208333335686</v>
      </c>
      <c r="B972">
        <v>2</v>
      </c>
      <c r="C972" s="2">
        <f t="shared" si="75"/>
        <v>46224</v>
      </c>
      <c r="D972" s="1">
        <f t="shared" si="76"/>
        <v>5</v>
      </c>
      <c r="E972" t="str">
        <f t="shared" si="77"/>
        <v>Tuesday</v>
      </c>
      <c r="F972">
        <f>Assumptions!$B$2</f>
        <v>0.5</v>
      </c>
      <c r="G972">
        <f t="shared" si="78"/>
        <v>1</v>
      </c>
    </row>
    <row r="973" spans="1:7" x14ac:dyDescent="0.3">
      <c r="A973" s="2">
        <f t="shared" si="79"/>
        <v>46224.229166669022</v>
      </c>
      <c r="B973">
        <v>2.8</v>
      </c>
      <c r="C973" s="2">
        <f t="shared" si="75"/>
        <v>46224</v>
      </c>
      <c r="D973" s="1">
        <f t="shared" si="76"/>
        <v>5.5</v>
      </c>
      <c r="E973" t="str">
        <f t="shared" si="77"/>
        <v>Tuesday</v>
      </c>
      <c r="F973">
        <f>Assumptions!$B$2</f>
        <v>0.5</v>
      </c>
      <c r="G973">
        <f t="shared" si="78"/>
        <v>1.4</v>
      </c>
    </row>
    <row r="974" spans="1:7" x14ac:dyDescent="0.3">
      <c r="A974" s="2">
        <f t="shared" si="79"/>
        <v>46224.250000002357</v>
      </c>
      <c r="B974">
        <v>6.7</v>
      </c>
      <c r="C974" s="2">
        <f t="shared" si="75"/>
        <v>46224</v>
      </c>
      <c r="D974" s="1">
        <f t="shared" si="76"/>
        <v>6</v>
      </c>
      <c r="E974" t="str">
        <f t="shared" si="77"/>
        <v>Tuesday</v>
      </c>
      <c r="F974">
        <f>Assumptions!$B$2</f>
        <v>0.5</v>
      </c>
      <c r="G974">
        <f t="shared" si="78"/>
        <v>3.35</v>
      </c>
    </row>
    <row r="975" spans="1:7" x14ac:dyDescent="0.3">
      <c r="A975" s="2">
        <f t="shared" si="79"/>
        <v>46224.270833335693</v>
      </c>
      <c r="B975">
        <v>7.7</v>
      </c>
      <c r="C975" s="2">
        <f t="shared" si="75"/>
        <v>46224</v>
      </c>
      <c r="D975" s="1">
        <f t="shared" si="76"/>
        <v>6.5</v>
      </c>
      <c r="E975" t="str">
        <f t="shared" si="77"/>
        <v>Tuesday</v>
      </c>
      <c r="F975">
        <f>Assumptions!$B$2</f>
        <v>0.5</v>
      </c>
      <c r="G975">
        <f t="shared" si="78"/>
        <v>3.85</v>
      </c>
    </row>
    <row r="976" spans="1:7" x14ac:dyDescent="0.3">
      <c r="A976" s="2">
        <f t="shared" si="79"/>
        <v>46224.291666669029</v>
      </c>
      <c r="B976">
        <v>5.8</v>
      </c>
      <c r="C976" s="2">
        <f t="shared" si="75"/>
        <v>46224</v>
      </c>
      <c r="D976" s="1">
        <f t="shared" si="76"/>
        <v>7</v>
      </c>
      <c r="E976" t="str">
        <f t="shared" si="77"/>
        <v>Tuesday</v>
      </c>
      <c r="F976">
        <f>Assumptions!$B$2</f>
        <v>0.5</v>
      </c>
      <c r="G976">
        <f t="shared" si="78"/>
        <v>2.9</v>
      </c>
    </row>
    <row r="977" spans="1:7" x14ac:dyDescent="0.3">
      <c r="A977" s="2">
        <f t="shared" si="79"/>
        <v>46224.312500002365</v>
      </c>
      <c r="B977">
        <v>7.3</v>
      </c>
      <c r="C977" s="2">
        <f t="shared" si="75"/>
        <v>46224</v>
      </c>
      <c r="D977" s="1">
        <f t="shared" si="76"/>
        <v>7.5</v>
      </c>
      <c r="E977" t="str">
        <f t="shared" si="77"/>
        <v>Tuesday</v>
      </c>
      <c r="F977">
        <f>Assumptions!$B$2</f>
        <v>0.5</v>
      </c>
      <c r="G977">
        <f t="shared" si="78"/>
        <v>3.65</v>
      </c>
    </row>
    <row r="978" spans="1:7" x14ac:dyDescent="0.3">
      <c r="A978" s="2">
        <f t="shared" si="79"/>
        <v>46224.3333333357</v>
      </c>
      <c r="B978">
        <v>15.2</v>
      </c>
      <c r="C978" s="2">
        <f t="shared" si="75"/>
        <v>46224</v>
      </c>
      <c r="D978" s="1">
        <f t="shared" si="76"/>
        <v>8</v>
      </c>
      <c r="E978" t="str">
        <f t="shared" si="77"/>
        <v>Tuesday</v>
      </c>
      <c r="F978">
        <f>Assumptions!$B$2</f>
        <v>0.5</v>
      </c>
      <c r="G978">
        <f t="shared" si="78"/>
        <v>7.6</v>
      </c>
    </row>
    <row r="979" spans="1:7" x14ac:dyDescent="0.3">
      <c r="A979" s="2">
        <f t="shared" si="79"/>
        <v>46224.354166669036</v>
      </c>
      <c r="B979">
        <v>19.5</v>
      </c>
      <c r="C979" s="2">
        <f t="shared" si="75"/>
        <v>46224</v>
      </c>
      <c r="D979" s="1">
        <f t="shared" si="76"/>
        <v>8.5</v>
      </c>
      <c r="E979" t="str">
        <f t="shared" si="77"/>
        <v>Tuesday</v>
      </c>
      <c r="F979">
        <f>Assumptions!$B$2</f>
        <v>0.5</v>
      </c>
      <c r="G979">
        <f t="shared" si="78"/>
        <v>9.75</v>
      </c>
    </row>
    <row r="980" spans="1:7" x14ac:dyDescent="0.3">
      <c r="A980" s="2">
        <f t="shared" si="79"/>
        <v>46224.375000002372</v>
      </c>
      <c r="B980">
        <v>13</v>
      </c>
      <c r="C980" s="2">
        <f t="shared" si="75"/>
        <v>46224</v>
      </c>
      <c r="D980" s="1">
        <f t="shared" si="76"/>
        <v>9</v>
      </c>
      <c r="E980" t="str">
        <f t="shared" si="77"/>
        <v>Tuesday</v>
      </c>
      <c r="F980">
        <f>Assumptions!$B$2</f>
        <v>0.5</v>
      </c>
      <c r="G980">
        <f t="shared" si="78"/>
        <v>6.5</v>
      </c>
    </row>
    <row r="981" spans="1:7" x14ac:dyDescent="0.3">
      <c r="A981" s="2">
        <f t="shared" si="79"/>
        <v>46224.395833335708</v>
      </c>
      <c r="B981">
        <v>16.3</v>
      </c>
      <c r="C981" s="2">
        <f t="shared" si="75"/>
        <v>46224</v>
      </c>
      <c r="D981" s="1">
        <f t="shared" si="76"/>
        <v>9.5</v>
      </c>
      <c r="E981" t="str">
        <f t="shared" si="77"/>
        <v>Tuesday</v>
      </c>
      <c r="F981">
        <f>Assumptions!$B$2</f>
        <v>0.5</v>
      </c>
      <c r="G981">
        <f t="shared" si="78"/>
        <v>8.15</v>
      </c>
    </row>
    <row r="982" spans="1:7" x14ac:dyDescent="0.3">
      <c r="A982" s="2">
        <f t="shared" si="79"/>
        <v>46224.416666669043</v>
      </c>
      <c r="B982">
        <v>16.2</v>
      </c>
      <c r="C982" s="2">
        <f t="shared" si="75"/>
        <v>46224</v>
      </c>
      <c r="D982" s="1">
        <f t="shared" si="76"/>
        <v>10</v>
      </c>
      <c r="E982" t="str">
        <f t="shared" si="77"/>
        <v>Tuesday</v>
      </c>
      <c r="F982">
        <f>Assumptions!$B$2</f>
        <v>0.5</v>
      </c>
      <c r="G982">
        <f t="shared" si="78"/>
        <v>8.1</v>
      </c>
    </row>
    <row r="983" spans="1:7" x14ac:dyDescent="0.3">
      <c r="A983" s="2">
        <f t="shared" si="79"/>
        <v>46224.437500002379</v>
      </c>
      <c r="B983">
        <v>17.3</v>
      </c>
      <c r="C983" s="2">
        <f t="shared" si="75"/>
        <v>46224</v>
      </c>
      <c r="D983" s="1">
        <f t="shared" si="76"/>
        <v>10.5</v>
      </c>
      <c r="E983" t="str">
        <f t="shared" si="77"/>
        <v>Tuesday</v>
      </c>
      <c r="F983">
        <f>Assumptions!$B$2</f>
        <v>0.5</v>
      </c>
      <c r="G983">
        <f t="shared" si="78"/>
        <v>8.65</v>
      </c>
    </row>
    <row r="984" spans="1:7" x14ac:dyDescent="0.3">
      <c r="A984" s="2">
        <f t="shared" si="79"/>
        <v>46224.458333335715</v>
      </c>
      <c r="B984">
        <v>14.3</v>
      </c>
      <c r="C984" s="2">
        <f t="shared" si="75"/>
        <v>46224</v>
      </c>
      <c r="D984" s="1">
        <f t="shared" si="76"/>
        <v>11</v>
      </c>
      <c r="E984" t="str">
        <f t="shared" si="77"/>
        <v>Tuesday</v>
      </c>
      <c r="F984">
        <f>Assumptions!$B$2</f>
        <v>0.5</v>
      </c>
      <c r="G984">
        <f t="shared" si="78"/>
        <v>7.15</v>
      </c>
    </row>
    <row r="985" spans="1:7" x14ac:dyDescent="0.3">
      <c r="A985" s="2">
        <f t="shared" si="79"/>
        <v>46224.479166669051</v>
      </c>
      <c r="B985">
        <v>13.5</v>
      </c>
      <c r="C985" s="2">
        <f t="shared" si="75"/>
        <v>46224</v>
      </c>
      <c r="D985" s="1">
        <f t="shared" si="76"/>
        <v>11.5</v>
      </c>
      <c r="E985" t="str">
        <f t="shared" si="77"/>
        <v>Tuesday</v>
      </c>
      <c r="F985">
        <f>Assumptions!$B$2</f>
        <v>0.5</v>
      </c>
      <c r="G985">
        <f t="shared" si="78"/>
        <v>6.75</v>
      </c>
    </row>
    <row r="986" spans="1:7" x14ac:dyDescent="0.3">
      <c r="A986" s="2">
        <f t="shared" si="79"/>
        <v>46224.500000002387</v>
      </c>
      <c r="B986">
        <v>32.200000000000003</v>
      </c>
      <c r="C986" s="2">
        <f t="shared" si="75"/>
        <v>46224</v>
      </c>
      <c r="D986" s="1">
        <f t="shared" si="76"/>
        <v>12</v>
      </c>
      <c r="E986" t="str">
        <f t="shared" si="77"/>
        <v>Tuesday</v>
      </c>
      <c r="F986">
        <f>Assumptions!$B$2</f>
        <v>0.5</v>
      </c>
      <c r="G986">
        <f t="shared" si="78"/>
        <v>16.100000000000001</v>
      </c>
    </row>
    <row r="987" spans="1:7" x14ac:dyDescent="0.3">
      <c r="A987" s="2">
        <f t="shared" si="79"/>
        <v>46224.520833335722</v>
      </c>
      <c r="B987">
        <v>19.2</v>
      </c>
      <c r="C987" s="2">
        <f t="shared" si="75"/>
        <v>46224</v>
      </c>
      <c r="D987" s="1">
        <f t="shared" si="76"/>
        <v>12.5</v>
      </c>
      <c r="E987" t="str">
        <f t="shared" si="77"/>
        <v>Tuesday</v>
      </c>
      <c r="F987">
        <f>Assumptions!$B$2</f>
        <v>0.5</v>
      </c>
      <c r="G987">
        <f t="shared" si="78"/>
        <v>9.6</v>
      </c>
    </row>
    <row r="988" spans="1:7" x14ac:dyDescent="0.3">
      <c r="A988" s="2">
        <f t="shared" si="79"/>
        <v>46224.541666669058</v>
      </c>
      <c r="B988">
        <v>26.5</v>
      </c>
      <c r="C988" s="2">
        <f t="shared" si="75"/>
        <v>46224</v>
      </c>
      <c r="D988" s="1">
        <f t="shared" si="76"/>
        <v>13</v>
      </c>
      <c r="E988" t="str">
        <f t="shared" si="77"/>
        <v>Tuesday</v>
      </c>
      <c r="F988">
        <f>Assumptions!$B$2</f>
        <v>0.5</v>
      </c>
      <c r="G988">
        <f t="shared" si="78"/>
        <v>13.25</v>
      </c>
    </row>
    <row r="989" spans="1:7" x14ac:dyDescent="0.3">
      <c r="A989" s="2">
        <f t="shared" si="79"/>
        <v>46224.562500002394</v>
      </c>
      <c r="B989">
        <v>21.3</v>
      </c>
      <c r="C989" s="2">
        <f t="shared" si="75"/>
        <v>46224</v>
      </c>
      <c r="D989" s="1">
        <f t="shared" si="76"/>
        <v>13.5</v>
      </c>
      <c r="E989" t="str">
        <f t="shared" si="77"/>
        <v>Tuesday</v>
      </c>
      <c r="F989">
        <f>Assumptions!$B$2</f>
        <v>0.5</v>
      </c>
      <c r="G989">
        <f t="shared" si="78"/>
        <v>10.65</v>
      </c>
    </row>
    <row r="990" spans="1:7" x14ac:dyDescent="0.3">
      <c r="A990" s="2">
        <f t="shared" si="79"/>
        <v>46224.58333333573</v>
      </c>
      <c r="B990">
        <v>18.100000000000001</v>
      </c>
      <c r="C990" s="2">
        <f t="shared" si="75"/>
        <v>46224</v>
      </c>
      <c r="D990" s="1">
        <f t="shared" si="76"/>
        <v>14</v>
      </c>
      <c r="E990" t="str">
        <f t="shared" si="77"/>
        <v>Tuesday</v>
      </c>
      <c r="F990">
        <f>Assumptions!$B$2</f>
        <v>0.5</v>
      </c>
      <c r="G990">
        <f t="shared" si="78"/>
        <v>9.0500000000000007</v>
      </c>
    </row>
    <row r="991" spans="1:7" x14ac:dyDescent="0.3">
      <c r="A991" s="2">
        <f t="shared" si="79"/>
        <v>46224.604166669065</v>
      </c>
      <c r="B991">
        <v>27.6</v>
      </c>
      <c r="C991" s="2">
        <f t="shared" si="75"/>
        <v>46224</v>
      </c>
      <c r="D991" s="1">
        <f t="shared" si="76"/>
        <v>14.5</v>
      </c>
      <c r="E991" t="str">
        <f t="shared" si="77"/>
        <v>Tuesday</v>
      </c>
      <c r="F991">
        <f>Assumptions!$B$2</f>
        <v>0.5</v>
      </c>
      <c r="G991">
        <f t="shared" si="78"/>
        <v>13.8</v>
      </c>
    </row>
    <row r="992" spans="1:7" x14ac:dyDescent="0.3">
      <c r="A992" s="2">
        <f t="shared" si="79"/>
        <v>46224.625000002401</v>
      </c>
      <c r="B992">
        <v>26.7</v>
      </c>
      <c r="C992" s="2">
        <f t="shared" si="75"/>
        <v>46224</v>
      </c>
      <c r="D992" s="1">
        <f t="shared" si="76"/>
        <v>15</v>
      </c>
      <c r="E992" t="str">
        <f t="shared" si="77"/>
        <v>Tuesday</v>
      </c>
      <c r="F992">
        <f>Assumptions!$B$2</f>
        <v>0.5</v>
      </c>
      <c r="G992">
        <f t="shared" si="78"/>
        <v>13.35</v>
      </c>
    </row>
    <row r="993" spans="1:7" x14ac:dyDescent="0.3">
      <c r="A993" s="2">
        <f t="shared" si="79"/>
        <v>46224.645833335737</v>
      </c>
      <c r="B993">
        <v>22</v>
      </c>
      <c r="C993" s="2">
        <f t="shared" si="75"/>
        <v>46224</v>
      </c>
      <c r="D993" s="1">
        <f t="shared" si="76"/>
        <v>15.5</v>
      </c>
      <c r="E993" t="str">
        <f t="shared" si="77"/>
        <v>Tuesday</v>
      </c>
      <c r="F993">
        <f>Assumptions!$B$2</f>
        <v>0.5</v>
      </c>
      <c r="G993">
        <f t="shared" si="78"/>
        <v>11</v>
      </c>
    </row>
    <row r="994" spans="1:7" x14ac:dyDescent="0.3">
      <c r="A994" s="2">
        <f t="shared" si="79"/>
        <v>46224.666666669073</v>
      </c>
      <c r="B994">
        <v>10.199999999999999</v>
      </c>
      <c r="C994" s="2">
        <f t="shared" si="75"/>
        <v>46224</v>
      </c>
      <c r="D994" s="1">
        <f t="shared" si="76"/>
        <v>16</v>
      </c>
      <c r="E994" t="str">
        <f t="shared" si="77"/>
        <v>Tuesday</v>
      </c>
      <c r="F994">
        <f>Assumptions!$B$2</f>
        <v>0.5</v>
      </c>
      <c r="G994">
        <f t="shared" si="78"/>
        <v>5.0999999999999996</v>
      </c>
    </row>
    <row r="995" spans="1:7" x14ac:dyDescent="0.3">
      <c r="A995" s="2">
        <f t="shared" si="79"/>
        <v>46224.687500002408</v>
      </c>
      <c r="B995">
        <v>12.2</v>
      </c>
      <c r="C995" s="2">
        <f t="shared" si="75"/>
        <v>46224</v>
      </c>
      <c r="D995" s="1">
        <f t="shared" si="76"/>
        <v>16.5</v>
      </c>
      <c r="E995" t="str">
        <f t="shared" si="77"/>
        <v>Tuesday</v>
      </c>
      <c r="F995">
        <f>Assumptions!$B$2</f>
        <v>0.5</v>
      </c>
      <c r="G995">
        <f t="shared" si="78"/>
        <v>6.1</v>
      </c>
    </row>
    <row r="996" spans="1:7" x14ac:dyDescent="0.3">
      <c r="A996" s="2">
        <f t="shared" si="79"/>
        <v>46224.708333335744</v>
      </c>
      <c r="B996">
        <v>13.4</v>
      </c>
      <c r="C996" s="2">
        <f t="shared" si="75"/>
        <v>46224</v>
      </c>
      <c r="D996" s="1">
        <f t="shared" si="76"/>
        <v>17</v>
      </c>
      <c r="E996" t="str">
        <f t="shared" si="77"/>
        <v>Tuesday</v>
      </c>
      <c r="F996">
        <f>Assumptions!$B$2</f>
        <v>0.5</v>
      </c>
      <c r="G996">
        <f t="shared" si="78"/>
        <v>6.7</v>
      </c>
    </row>
    <row r="997" spans="1:7" x14ac:dyDescent="0.3">
      <c r="A997" s="2">
        <f t="shared" si="79"/>
        <v>46224.72916666908</v>
      </c>
      <c r="B997">
        <v>16.399999999999999</v>
      </c>
      <c r="C997" s="2">
        <f t="shared" si="75"/>
        <v>46224</v>
      </c>
      <c r="D997" s="1">
        <f t="shared" si="76"/>
        <v>17.5</v>
      </c>
      <c r="E997" t="str">
        <f t="shared" si="77"/>
        <v>Tuesday</v>
      </c>
      <c r="F997">
        <f>Assumptions!$B$2</f>
        <v>0.5</v>
      </c>
      <c r="G997">
        <f t="shared" si="78"/>
        <v>8.1999999999999993</v>
      </c>
    </row>
    <row r="998" spans="1:7" x14ac:dyDescent="0.3">
      <c r="A998" s="2">
        <f t="shared" si="79"/>
        <v>46224.750000002416</v>
      </c>
      <c r="B998">
        <v>13.6</v>
      </c>
      <c r="C998" s="2">
        <f t="shared" si="75"/>
        <v>46224</v>
      </c>
      <c r="D998" s="1">
        <f t="shared" si="76"/>
        <v>18</v>
      </c>
      <c r="E998" t="str">
        <f t="shared" si="77"/>
        <v>Tuesday</v>
      </c>
      <c r="F998">
        <f>Assumptions!$B$2</f>
        <v>0.5</v>
      </c>
      <c r="G998">
        <f t="shared" si="78"/>
        <v>6.8</v>
      </c>
    </row>
    <row r="999" spans="1:7" x14ac:dyDescent="0.3">
      <c r="A999" s="2">
        <f t="shared" si="79"/>
        <v>46224.770833335751</v>
      </c>
      <c r="B999">
        <v>19.3</v>
      </c>
      <c r="C999" s="2">
        <f t="shared" si="75"/>
        <v>46224</v>
      </c>
      <c r="D999" s="1">
        <f t="shared" si="76"/>
        <v>18.5</v>
      </c>
      <c r="E999" t="str">
        <f t="shared" si="77"/>
        <v>Tuesday</v>
      </c>
      <c r="F999">
        <f>Assumptions!$B$2</f>
        <v>0.5</v>
      </c>
      <c r="G999">
        <f t="shared" si="78"/>
        <v>9.65</v>
      </c>
    </row>
    <row r="1000" spans="1:7" x14ac:dyDescent="0.3">
      <c r="A1000" s="2">
        <f t="shared" si="79"/>
        <v>46224.791666669087</v>
      </c>
      <c r="B1000">
        <v>7.1</v>
      </c>
      <c r="C1000" s="2">
        <f t="shared" si="75"/>
        <v>46224</v>
      </c>
      <c r="D1000" s="1">
        <f t="shared" si="76"/>
        <v>19</v>
      </c>
      <c r="E1000" t="str">
        <f t="shared" si="77"/>
        <v>Tuesday</v>
      </c>
      <c r="F1000">
        <f>Assumptions!$B$2</f>
        <v>0.5</v>
      </c>
      <c r="G1000">
        <f t="shared" si="78"/>
        <v>3.55</v>
      </c>
    </row>
    <row r="1001" spans="1:7" x14ac:dyDescent="0.3">
      <c r="A1001" s="2">
        <f t="shared" si="79"/>
        <v>46224.812500002423</v>
      </c>
      <c r="B1001">
        <v>5.8</v>
      </c>
      <c r="C1001" s="2">
        <f t="shared" si="75"/>
        <v>46224</v>
      </c>
      <c r="D1001" s="1">
        <f t="shared" si="76"/>
        <v>19.5</v>
      </c>
      <c r="E1001" t="str">
        <f t="shared" si="77"/>
        <v>Tuesday</v>
      </c>
      <c r="F1001">
        <f>Assumptions!$B$2</f>
        <v>0.5</v>
      </c>
      <c r="G1001">
        <f t="shared" si="78"/>
        <v>2.9</v>
      </c>
    </row>
    <row r="1002" spans="1:7" x14ac:dyDescent="0.3">
      <c r="A1002" s="2">
        <f t="shared" si="79"/>
        <v>46224.833333335759</v>
      </c>
      <c r="B1002">
        <v>7.6</v>
      </c>
      <c r="C1002" s="2">
        <f t="shared" si="75"/>
        <v>46224</v>
      </c>
      <c r="D1002" s="1">
        <f t="shared" si="76"/>
        <v>20</v>
      </c>
      <c r="E1002" t="str">
        <f t="shared" si="77"/>
        <v>Tuesday</v>
      </c>
      <c r="F1002">
        <f>Assumptions!$B$2</f>
        <v>0.5</v>
      </c>
      <c r="G1002">
        <f t="shared" si="78"/>
        <v>3.8</v>
      </c>
    </row>
    <row r="1003" spans="1:7" x14ac:dyDescent="0.3">
      <c r="A1003" s="2">
        <f t="shared" si="79"/>
        <v>46224.854166669094</v>
      </c>
      <c r="B1003">
        <v>5.3</v>
      </c>
      <c r="C1003" s="2">
        <f t="shared" si="75"/>
        <v>46224</v>
      </c>
      <c r="D1003" s="1">
        <f t="shared" si="76"/>
        <v>20.5</v>
      </c>
      <c r="E1003" t="str">
        <f t="shared" si="77"/>
        <v>Tuesday</v>
      </c>
      <c r="F1003">
        <f>Assumptions!$B$2</f>
        <v>0.5</v>
      </c>
      <c r="G1003">
        <f t="shared" si="78"/>
        <v>2.65</v>
      </c>
    </row>
    <row r="1004" spans="1:7" x14ac:dyDescent="0.3">
      <c r="A1004" s="2">
        <f t="shared" si="79"/>
        <v>46224.87500000243</v>
      </c>
      <c r="B1004">
        <v>4.9000000000000004</v>
      </c>
      <c r="C1004" s="2">
        <f t="shared" si="75"/>
        <v>46224</v>
      </c>
      <c r="D1004" s="1">
        <f t="shared" si="76"/>
        <v>21</v>
      </c>
      <c r="E1004" t="str">
        <f t="shared" si="77"/>
        <v>Tuesday</v>
      </c>
      <c r="F1004">
        <f>Assumptions!$B$2</f>
        <v>0.5</v>
      </c>
      <c r="G1004">
        <f t="shared" si="78"/>
        <v>2.4500000000000002</v>
      </c>
    </row>
    <row r="1005" spans="1:7" x14ac:dyDescent="0.3">
      <c r="A1005" s="2">
        <f t="shared" si="79"/>
        <v>46224.895833335766</v>
      </c>
      <c r="B1005">
        <v>5.4</v>
      </c>
      <c r="C1005" s="2">
        <f t="shared" si="75"/>
        <v>46224</v>
      </c>
      <c r="D1005" s="1">
        <f t="shared" si="76"/>
        <v>21.5</v>
      </c>
      <c r="E1005" t="str">
        <f t="shared" si="77"/>
        <v>Tuesday</v>
      </c>
      <c r="F1005">
        <f>Assumptions!$B$2</f>
        <v>0.5</v>
      </c>
      <c r="G1005">
        <f t="shared" si="78"/>
        <v>2.7</v>
      </c>
    </row>
    <row r="1006" spans="1:7" x14ac:dyDescent="0.3">
      <c r="A1006" s="2">
        <f t="shared" si="79"/>
        <v>46224.916666669102</v>
      </c>
      <c r="B1006">
        <v>6.5</v>
      </c>
      <c r="C1006" s="2">
        <f t="shared" si="75"/>
        <v>46224</v>
      </c>
      <c r="D1006" s="1">
        <f t="shared" si="76"/>
        <v>22</v>
      </c>
      <c r="E1006" t="str">
        <f t="shared" si="77"/>
        <v>Tuesday</v>
      </c>
      <c r="F1006">
        <f>Assumptions!$B$2</f>
        <v>0.5</v>
      </c>
      <c r="G1006">
        <f t="shared" si="78"/>
        <v>3.25</v>
      </c>
    </row>
    <row r="1007" spans="1:7" x14ac:dyDescent="0.3">
      <c r="A1007" s="2">
        <f t="shared" si="79"/>
        <v>46224.937500002437</v>
      </c>
      <c r="B1007">
        <v>7</v>
      </c>
      <c r="C1007" s="2">
        <f t="shared" si="75"/>
        <v>46224</v>
      </c>
      <c r="D1007" s="1">
        <f t="shared" si="76"/>
        <v>22.5</v>
      </c>
      <c r="E1007" t="str">
        <f t="shared" si="77"/>
        <v>Tuesday</v>
      </c>
      <c r="F1007">
        <f>Assumptions!$B$2</f>
        <v>0.5</v>
      </c>
      <c r="G1007">
        <f t="shared" si="78"/>
        <v>3.5</v>
      </c>
    </row>
    <row r="1008" spans="1:7" x14ac:dyDescent="0.3">
      <c r="A1008" s="2">
        <f t="shared" si="79"/>
        <v>46224.958333335773</v>
      </c>
      <c r="B1008">
        <v>7.7</v>
      </c>
      <c r="C1008" s="2">
        <f t="shared" si="75"/>
        <v>46224</v>
      </c>
      <c r="D1008" s="1">
        <f t="shared" si="76"/>
        <v>23</v>
      </c>
      <c r="E1008" t="str">
        <f t="shared" si="77"/>
        <v>Tuesday</v>
      </c>
      <c r="F1008">
        <f>Assumptions!$B$2</f>
        <v>0.5</v>
      </c>
      <c r="G1008">
        <f t="shared" si="78"/>
        <v>3.85</v>
      </c>
    </row>
    <row r="1009" spans="1:7" x14ac:dyDescent="0.3">
      <c r="A1009" s="2">
        <f t="shared" si="79"/>
        <v>46224.979166669109</v>
      </c>
      <c r="B1009">
        <v>7.5</v>
      </c>
      <c r="C1009" s="2">
        <f t="shared" si="75"/>
        <v>46224</v>
      </c>
      <c r="D1009" s="1">
        <f t="shared" si="76"/>
        <v>23.5</v>
      </c>
      <c r="E1009" t="str">
        <f t="shared" si="77"/>
        <v>Tuesday</v>
      </c>
      <c r="F1009">
        <f>Assumptions!$B$2</f>
        <v>0.5</v>
      </c>
      <c r="G1009">
        <f t="shared" si="78"/>
        <v>3.75</v>
      </c>
    </row>
    <row r="1010" spans="1:7" x14ac:dyDescent="0.3">
      <c r="A1010" s="2">
        <f t="shared" si="79"/>
        <v>46225.000000002445</v>
      </c>
      <c r="B1010">
        <v>2.2999999999999998</v>
      </c>
      <c r="C1010" s="2">
        <f t="shared" si="75"/>
        <v>46225</v>
      </c>
      <c r="D1010" s="1">
        <f t="shared" si="76"/>
        <v>0</v>
      </c>
      <c r="E1010" t="str">
        <f t="shared" si="77"/>
        <v>Wednesday</v>
      </c>
      <c r="F1010">
        <f>Assumptions!$B$2</f>
        <v>0.5</v>
      </c>
      <c r="G1010">
        <f t="shared" si="78"/>
        <v>1.1499999999999999</v>
      </c>
    </row>
    <row r="1011" spans="1:7" x14ac:dyDescent="0.3">
      <c r="A1011" s="2">
        <f t="shared" si="79"/>
        <v>46225.02083333578</v>
      </c>
      <c r="B1011">
        <v>1.9</v>
      </c>
      <c r="C1011" s="2">
        <f t="shared" si="75"/>
        <v>46225</v>
      </c>
      <c r="D1011" s="1">
        <f t="shared" si="76"/>
        <v>0.5</v>
      </c>
      <c r="E1011" t="str">
        <f t="shared" si="77"/>
        <v>Wednesday</v>
      </c>
      <c r="F1011">
        <f>Assumptions!$B$2</f>
        <v>0.5</v>
      </c>
      <c r="G1011">
        <f t="shared" si="78"/>
        <v>0.95</v>
      </c>
    </row>
    <row r="1012" spans="1:7" x14ac:dyDescent="0.3">
      <c r="A1012" s="2">
        <f t="shared" si="79"/>
        <v>46225.041666669116</v>
      </c>
      <c r="B1012">
        <v>2.6</v>
      </c>
      <c r="C1012" s="2">
        <f t="shared" si="75"/>
        <v>46225</v>
      </c>
      <c r="D1012" s="1">
        <f t="shared" si="76"/>
        <v>1</v>
      </c>
      <c r="E1012" t="str">
        <f t="shared" si="77"/>
        <v>Wednesday</v>
      </c>
      <c r="F1012">
        <f>Assumptions!$B$2</f>
        <v>0.5</v>
      </c>
      <c r="G1012">
        <f t="shared" si="78"/>
        <v>1.3</v>
      </c>
    </row>
    <row r="1013" spans="1:7" x14ac:dyDescent="0.3">
      <c r="A1013" s="2">
        <f t="shared" si="79"/>
        <v>46225.062500002452</v>
      </c>
      <c r="B1013">
        <v>2.9</v>
      </c>
      <c r="C1013" s="2">
        <f t="shared" si="75"/>
        <v>46225</v>
      </c>
      <c r="D1013" s="1">
        <f t="shared" si="76"/>
        <v>1.5</v>
      </c>
      <c r="E1013" t="str">
        <f t="shared" si="77"/>
        <v>Wednesday</v>
      </c>
      <c r="F1013">
        <f>Assumptions!$B$2</f>
        <v>0.5</v>
      </c>
      <c r="G1013">
        <f t="shared" si="78"/>
        <v>1.45</v>
      </c>
    </row>
    <row r="1014" spans="1:7" x14ac:dyDescent="0.3">
      <c r="A1014" s="2">
        <f t="shared" si="79"/>
        <v>46225.083333335788</v>
      </c>
      <c r="B1014">
        <v>2.8</v>
      </c>
      <c r="C1014" s="2">
        <f t="shared" si="75"/>
        <v>46225</v>
      </c>
      <c r="D1014" s="1">
        <f t="shared" si="76"/>
        <v>2</v>
      </c>
      <c r="E1014" t="str">
        <f t="shared" si="77"/>
        <v>Wednesday</v>
      </c>
      <c r="F1014">
        <f>Assumptions!$B$2</f>
        <v>0.5</v>
      </c>
      <c r="G1014">
        <f t="shared" si="78"/>
        <v>1.4</v>
      </c>
    </row>
    <row r="1015" spans="1:7" x14ac:dyDescent="0.3">
      <c r="A1015" s="2">
        <f t="shared" si="79"/>
        <v>46225.104166669124</v>
      </c>
      <c r="B1015">
        <v>2.2000000000000002</v>
      </c>
      <c r="C1015" s="2">
        <f t="shared" si="75"/>
        <v>46225</v>
      </c>
      <c r="D1015" s="1">
        <f t="shared" si="76"/>
        <v>2.5</v>
      </c>
      <c r="E1015" t="str">
        <f t="shared" si="77"/>
        <v>Wednesday</v>
      </c>
      <c r="F1015">
        <f>Assumptions!$B$2</f>
        <v>0.5</v>
      </c>
      <c r="G1015">
        <f t="shared" si="78"/>
        <v>1.1000000000000001</v>
      </c>
    </row>
    <row r="1016" spans="1:7" x14ac:dyDescent="0.3">
      <c r="A1016" s="2">
        <f t="shared" si="79"/>
        <v>46225.125000002459</v>
      </c>
      <c r="B1016">
        <v>2.5</v>
      </c>
      <c r="C1016" s="2">
        <f t="shared" si="75"/>
        <v>46225</v>
      </c>
      <c r="D1016" s="1">
        <f t="shared" si="76"/>
        <v>3</v>
      </c>
      <c r="E1016" t="str">
        <f t="shared" si="77"/>
        <v>Wednesday</v>
      </c>
      <c r="F1016">
        <f>Assumptions!$B$2</f>
        <v>0.5</v>
      </c>
      <c r="G1016">
        <f t="shared" si="78"/>
        <v>1.25</v>
      </c>
    </row>
    <row r="1017" spans="1:7" x14ac:dyDescent="0.3">
      <c r="A1017" s="2">
        <f t="shared" si="79"/>
        <v>46225.145833335795</v>
      </c>
      <c r="B1017">
        <v>2.2000000000000002</v>
      </c>
      <c r="C1017" s="2">
        <f t="shared" si="75"/>
        <v>46225</v>
      </c>
      <c r="D1017" s="1">
        <f t="shared" si="76"/>
        <v>3.5</v>
      </c>
      <c r="E1017" t="str">
        <f t="shared" si="77"/>
        <v>Wednesday</v>
      </c>
      <c r="F1017">
        <f>Assumptions!$B$2</f>
        <v>0.5</v>
      </c>
      <c r="G1017">
        <f t="shared" si="78"/>
        <v>1.1000000000000001</v>
      </c>
    </row>
    <row r="1018" spans="1:7" x14ac:dyDescent="0.3">
      <c r="A1018" s="2">
        <f t="shared" si="79"/>
        <v>46225.166666669131</v>
      </c>
      <c r="B1018">
        <v>3</v>
      </c>
      <c r="C1018" s="2">
        <f t="shared" si="75"/>
        <v>46225</v>
      </c>
      <c r="D1018" s="1">
        <f t="shared" si="76"/>
        <v>4</v>
      </c>
      <c r="E1018" t="str">
        <f t="shared" si="77"/>
        <v>Wednesday</v>
      </c>
      <c r="F1018">
        <f>Assumptions!$B$2</f>
        <v>0.5</v>
      </c>
      <c r="G1018">
        <f t="shared" si="78"/>
        <v>1.5</v>
      </c>
    </row>
    <row r="1019" spans="1:7" x14ac:dyDescent="0.3">
      <c r="A1019" s="2">
        <f t="shared" si="79"/>
        <v>46225.187500002467</v>
      </c>
      <c r="B1019">
        <v>2.6</v>
      </c>
      <c r="C1019" s="2">
        <f t="shared" si="75"/>
        <v>46225</v>
      </c>
      <c r="D1019" s="1">
        <f t="shared" si="76"/>
        <v>4.5</v>
      </c>
      <c r="E1019" t="str">
        <f t="shared" si="77"/>
        <v>Wednesday</v>
      </c>
      <c r="F1019">
        <f>Assumptions!$B$2</f>
        <v>0.5</v>
      </c>
      <c r="G1019">
        <f t="shared" si="78"/>
        <v>1.3</v>
      </c>
    </row>
    <row r="1020" spans="1:7" x14ac:dyDescent="0.3">
      <c r="A1020" s="2">
        <f t="shared" si="79"/>
        <v>46225.208333335802</v>
      </c>
      <c r="B1020">
        <v>2.2999999999999998</v>
      </c>
      <c r="C1020" s="2">
        <f t="shared" si="75"/>
        <v>46225</v>
      </c>
      <c r="D1020" s="1">
        <f t="shared" si="76"/>
        <v>5</v>
      </c>
      <c r="E1020" t="str">
        <f t="shared" si="77"/>
        <v>Wednesday</v>
      </c>
      <c r="F1020">
        <f>Assumptions!$B$2</f>
        <v>0.5</v>
      </c>
      <c r="G1020">
        <f t="shared" si="78"/>
        <v>1.1499999999999999</v>
      </c>
    </row>
    <row r="1021" spans="1:7" x14ac:dyDescent="0.3">
      <c r="A1021" s="2">
        <f t="shared" si="79"/>
        <v>46225.229166669138</v>
      </c>
      <c r="B1021">
        <v>2.8</v>
      </c>
      <c r="C1021" s="2">
        <f t="shared" si="75"/>
        <v>46225</v>
      </c>
      <c r="D1021" s="1">
        <f t="shared" si="76"/>
        <v>5.5</v>
      </c>
      <c r="E1021" t="str">
        <f t="shared" si="77"/>
        <v>Wednesday</v>
      </c>
      <c r="F1021">
        <f>Assumptions!$B$2</f>
        <v>0.5</v>
      </c>
      <c r="G1021">
        <f t="shared" si="78"/>
        <v>1.4</v>
      </c>
    </row>
    <row r="1022" spans="1:7" x14ac:dyDescent="0.3">
      <c r="A1022" s="2">
        <f t="shared" si="79"/>
        <v>46225.250000002474</v>
      </c>
      <c r="B1022">
        <v>6.4</v>
      </c>
      <c r="C1022" s="2">
        <f t="shared" si="75"/>
        <v>46225</v>
      </c>
      <c r="D1022" s="1">
        <f t="shared" si="76"/>
        <v>6</v>
      </c>
      <c r="E1022" t="str">
        <f t="shared" si="77"/>
        <v>Wednesday</v>
      </c>
      <c r="F1022">
        <f>Assumptions!$B$2</f>
        <v>0.5</v>
      </c>
      <c r="G1022">
        <f t="shared" si="78"/>
        <v>3.2</v>
      </c>
    </row>
    <row r="1023" spans="1:7" x14ac:dyDescent="0.3">
      <c r="A1023" s="2">
        <f t="shared" si="79"/>
        <v>46225.27083333581</v>
      </c>
      <c r="B1023">
        <v>5.3</v>
      </c>
      <c r="C1023" s="2">
        <f t="shared" si="75"/>
        <v>46225</v>
      </c>
      <c r="D1023" s="1">
        <f t="shared" si="76"/>
        <v>6.5</v>
      </c>
      <c r="E1023" t="str">
        <f t="shared" si="77"/>
        <v>Wednesday</v>
      </c>
      <c r="F1023">
        <f>Assumptions!$B$2</f>
        <v>0.5</v>
      </c>
      <c r="G1023">
        <f t="shared" si="78"/>
        <v>2.65</v>
      </c>
    </row>
    <row r="1024" spans="1:7" x14ac:dyDescent="0.3">
      <c r="A1024" s="2">
        <f t="shared" si="79"/>
        <v>46225.291666669145</v>
      </c>
      <c r="B1024">
        <v>8</v>
      </c>
      <c r="C1024" s="2">
        <f t="shared" si="75"/>
        <v>46225</v>
      </c>
      <c r="D1024" s="1">
        <f t="shared" si="76"/>
        <v>7</v>
      </c>
      <c r="E1024" t="str">
        <f t="shared" si="77"/>
        <v>Wednesday</v>
      </c>
      <c r="F1024">
        <f>Assumptions!$B$2</f>
        <v>0.5</v>
      </c>
      <c r="G1024">
        <f t="shared" si="78"/>
        <v>4</v>
      </c>
    </row>
    <row r="1025" spans="1:7" x14ac:dyDescent="0.3">
      <c r="A1025" s="2">
        <f t="shared" si="79"/>
        <v>46225.312500002481</v>
      </c>
      <c r="B1025">
        <v>7.5</v>
      </c>
      <c r="C1025" s="2">
        <f t="shared" si="75"/>
        <v>46225</v>
      </c>
      <c r="D1025" s="1">
        <f t="shared" si="76"/>
        <v>7.5</v>
      </c>
      <c r="E1025" t="str">
        <f t="shared" si="77"/>
        <v>Wednesday</v>
      </c>
      <c r="F1025">
        <f>Assumptions!$B$2</f>
        <v>0.5</v>
      </c>
      <c r="G1025">
        <f t="shared" si="78"/>
        <v>3.75</v>
      </c>
    </row>
    <row r="1026" spans="1:7" x14ac:dyDescent="0.3">
      <c r="A1026" s="2">
        <f t="shared" si="79"/>
        <v>46225.333333335817</v>
      </c>
      <c r="B1026">
        <v>12.7</v>
      </c>
      <c r="C1026" s="2">
        <f t="shared" si="75"/>
        <v>46225</v>
      </c>
      <c r="D1026" s="1">
        <f t="shared" si="76"/>
        <v>8</v>
      </c>
      <c r="E1026" t="str">
        <f t="shared" si="77"/>
        <v>Wednesday</v>
      </c>
      <c r="F1026">
        <f>Assumptions!$B$2</f>
        <v>0.5</v>
      </c>
      <c r="G1026">
        <f t="shared" si="78"/>
        <v>6.35</v>
      </c>
    </row>
    <row r="1027" spans="1:7" x14ac:dyDescent="0.3">
      <c r="A1027" s="2">
        <f t="shared" si="79"/>
        <v>46225.354166669153</v>
      </c>
      <c r="B1027">
        <v>21.9</v>
      </c>
      <c r="C1027" s="2">
        <f t="shared" ref="C1027:C1090" si="80">INT(A1027)</f>
        <v>46225</v>
      </c>
      <c r="D1027" s="1">
        <f t="shared" ref="D1027:D1090" si="81">HOUR(A1027)+MINUTE(A1027)/60</f>
        <v>8.5</v>
      </c>
      <c r="E1027" t="str">
        <f t="shared" ref="E1027:E1090" si="82">TEXT(A1027,"dddd")</f>
        <v>Wednesday</v>
      </c>
      <c r="F1027">
        <f>Assumptions!$B$2</f>
        <v>0.5</v>
      </c>
      <c r="G1027">
        <f t="shared" ref="G1027:G1090" si="83">B1027*F1027</f>
        <v>10.95</v>
      </c>
    </row>
    <row r="1028" spans="1:7" x14ac:dyDescent="0.3">
      <c r="A1028" s="2">
        <f t="shared" ref="A1028:A1091" si="84">A1027+TIME(0,30,0)</f>
        <v>46225.375000002488</v>
      </c>
      <c r="B1028">
        <v>13.5</v>
      </c>
      <c r="C1028" s="2">
        <f t="shared" si="80"/>
        <v>46225</v>
      </c>
      <c r="D1028" s="1">
        <f t="shared" si="81"/>
        <v>9</v>
      </c>
      <c r="E1028" t="str">
        <f t="shared" si="82"/>
        <v>Wednesday</v>
      </c>
      <c r="F1028">
        <f>Assumptions!$B$2</f>
        <v>0.5</v>
      </c>
      <c r="G1028">
        <f t="shared" si="83"/>
        <v>6.75</v>
      </c>
    </row>
    <row r="1029" spans="1:7" x14ac:dyDescent="0.3">
      <c r="A1029" s="2">
        <f t="shared" si="84"/>
        <v>46225.395833335824</v>
      </c>
      <c r="B1029">
        <v>17.7</v>
      </c>
      <c r="C1029" s="2">
        <f t="shared" si="80"/>
        <v>46225</v>
      </c>
      <c r="D1029" s="1">
        <f t="shared" si="81"/>
        <v>9.5</v>
      </c>
      <c r="E1029" t="str">
        <f t="shared" si="82"/>
        <v>Wednesday</v>
      </c>
      <c r="F1029">
        <f>Assumptions!$B$2</f>
        <v>0.5</v>
      </c>
      <c r="G1029">
        <f t="shared" si="83"/>
        <v>8.85</v>
      </c>
    </row>
    <row r="1030" spans="1:7" x14ac:dyDescent="0.3">
      <c r="A1030" s="2">
        <f t="shared" si="84"/>
        <v>46225.41666666916</v>
      </c>
      <c r="B1030">
        <v>17.600000000000001</v>
      </c>
      <c r="C1030" s="2">
        <f t="shared" si="80"/>
        <v>46225</v>
      </c>
      <c r="D1030" s="1">
        <f t="shared" si="81"/>
        <v>10</v>
      </c>
      <c r="E1030" t="str">
        <f t="shared" si="82"/>
        <v>Wednesday</v>
      </c>
      <c r="F1030">
        <f>Assumptions!$B$2</f>
        <v>0.5</v>
      </c>
      <c r="G1030">
        <f t="shared" si="83"/>
        <v>8.8000000000000007</v>
      </c>
    </row>
    <row r="1031" spans="1:7" x14ac:dyDescent="0.3">
      <c r="A1031" s="2">
        <f t="shared" si="84"/>
        <v>46225.437500002496</v>
      </c>
      <c r="B1031">
        <v>21.9</v>
      </c>
      <c r="C1031" s="2">
        <f t="shared" si="80"/>
        <v>46225</v>
      </c>
      <c r="D1031" s="1">
        <f t="shared" si="81"/>
        <v>10.5</v>
      </c>
      <c r="E1031" t="str">
        <f t="shared" si="82"/>
        <v>Wednesday</v>
      </c>
      <c r="F1031">
        <f>Assumptions!$B$2</f>
        <v>0.5</v>
      </c>
      <c r="G1031">
        <f t="shared" si="83"/>
        <v>10.95</v>
      </c>
    </row>
    <row r="1032" spans="1:7" x14ac:dyDescent="0.3">
      <c r="A1032" s="2">
        <f t="shared" si="84"/>
        <v>46225.458333335831</v>
      </c>
      <c r="B1032">
        <v>21.3</v>
      </c>
      <c r="C1032" s="2">
        <f t="shared" si="80"/>
        <v>46225</v>
      </c>
      <c r="D1032" s="1">
        <f t="shared" si="81"/>
        <v>11</v>
      </c>
      <c r="E1032" t="str">
        <f t="shared" si="82"/>
        <v>Wednesday</v>
      </c>
      <c r="F1032">
        <f>Assumptions!$B$2</f>
        <v>0.5</v>
      </c>
      <c r="G1032">
        <f t="shared" si="83"/>
        <v>10.65</v>
      </c>
    </row>
    <row r="1033" spans="1:7" x14ac:dyDescent="0.3">
      <c r="A1033" s="2">
        <f t="shared" si="84"/>
        <v>46225.479166669167</v>
      </c>
      <c r="B1033">
        <v>16.399999999999999</v>
      </c>
      <c r="C1033" s="2">
        <f t="shared" si="80"/>
        <v>46225</v>
      </c>
      <c r="D1033" s="1">
        <f t="shared" si="81"/>
        <v>11.5</v>
      </c>
      <c r="E1033" t="str">
        <f t="shared" si="82"/>
        <v>Wednesday</v>
      </c>
      <c r="F1033">
        <f>Assumptions!$B$2</f>
        <v>0.5</v>
      </c>
      <c r="G1033">
        <f t="shared" si="83"/>
        <v>8.1999999999999993</v>
      </c>
    </row>
    <row r="1034" spans="1:7" x14ac:dyDescent="0.3">
      <c r="A1034" s="2">
        <f t="shared" si="84"/>
        <v>46225.500000002503</v>
      </c>
      <c r="B1034">
        <v>19.399999999999999</v>
      </c>
      <c r="C1034" s="2">
        <f t="shared" si="80"/>
        <v>46225</v>
      </c>
      <c r="D1034" s="1">
        <f t="shared" si="81"/>
        <v>12</v>
      </c>
      <c r="E1034" t="str">
        <f t="shared" si="82"/>
        <v>Wednesday</v>
      </c>
      <c r="F1034">
        <f>Assumptions!$B$2</f>
        <v>0.5</v>
      </c>
      <c r="G1034">
        <f t="shared" si="83"/>
        <v>9.6999999999999993</v>
      </c>
    </row>
    <row r="1035" spans="1:7" x14ac:dyDescent="0.3">
      <c r="A1035" s="2">
        <f t="shared" si="84"/>
        <v>46225.520833335839</v>
      </c>
      <c r="B1035">
        <v>23.8</v>
      </c>
      <c r="C1035" s="2">
        <f t="shared" si="80"/>
        <v>46225</v>
      </c>
      <c r="D1035" s="1">
        <f t="shared" si="81"/>
        <v>12.5</v>
      </c>
      <c r="E1035" t="str">
        <f t="shared" si="82"/>
        <v>Wednesday</v>
      </c>
      <c r="F1035">
        <f>Assumptions!$B$2</f>
        <v>0.5</v>
      </c>
      <c r="G1035">
        <f t="shared" si="83"/>
        <v>11.9</v>
      </c>
    </row>
    <row r="1036" spans="1:7" x14ac:dyDescent="0.3">
      <c r="A1036" s="2">
        <f t="shared" si="84"/>
        <v>46225.541666669174</v>
      </c>
      <c r="B1036">
        <v>25.3</v>
      </c>
      <c r="C1036" s="2">
        <f t="shared" si="80"/>
        <v>46225</v>
      </c>
      <c r="D1036" s="1">
        <f t="shared" si="81"/>
        <v>13</v>
      </c>
      <c r="E1036" t="str">
        <f t="shared" si="82"/>
        <v>Wednesday</v>
      </c>
      <c r="F1036">
        <f>Assumptions!$B$2</f>
        <v>0.5</v>
      </c>
      <c r="G1036">
        <f t="shared" si="83"/>
        <v>12.65</v>
      </c>
    </row>
    <row r="1037" spans="1:7" x14ac:dyDescent="0.3">
      <c r="A1037" s="2">
        <f t="shared" si="84"/>
        <v>46225.56250000251</v>
      </c>
      <c r="B1037">
        <v>20.399999999999999</v>
      </c>
      <c r="C1037" s="2">
        <f t="shared" si="80"/>
        <v>46225</v>
      </c>
      <c r="D1037" s="1">
        <f t="shared" si="81"/>
        <v>13.5</v>
      </c>
      <c r="E1037" t="str">
        <f t="shared" si="82"/>
        <v>Wednesday</v>
      </c>
      <c r="F1037">
        <f>Assumptions!$B$2</f>
        <v>0.5</v>
      </c>
      <c r="G1037">
        <f t="shared" si="83"/>
        <v>10.199999999999999</v>
      </c>
    </row>
    <row r="1038" spans="1:7" x14ac:dyDescent="0.3">
      <c r="A1038" s="2">
        <f t="shared" si="84"/>
        <v>46225.583333335846</v>
      </c>
      <c r="B1038">
        <v>31.6</v>
      </c>
      <c r="C1038" s="2">
        <f t="shared" si="80"/>
        <v>46225</v>
      </c>
      <c r="D1038" s="1">
        <f t="shared" si="81"/>
        <v>14</v>
      </c>
      <c r="E1038" t="str">
        <f t="shared" si="82"/>
        <v>Wednesday</v>
      </c>
      <c r="F1038">
        <f>Assumptions!$B$2</f>
        <v>0.5</v>
      </c>
      <c r="G1038">
        <f t="shared" si="83"/>
        <v>15.8</v>
      </c>
    </row>
    <row r="1039" spans="1:7" x14ac:dyDescent="0.3">
      <c r="A1039" s="2">
        <f t="shared" si="84"/>
        <v>46225.604166669182</v>
      </c>
      <c r="B1039">
        <v>22.2</v>
      </c>
      <c r="C1039" s="2">
        <f t="shared" si="80"/>
        <v>46225</v>
      </c>
      <c r="D1039" s="1">
        <f t="shared" si="81"/>
        <v>14.5</v>
      </c>
      <c r="E1039" t="str">
        <f t="shared" si="82"/>
        <v>Wednesday</v>
      </c>
      <c r="F1039">
        <f>Assumptions!$B$2</f>
        <v>0.5</v>
      </c>
      <c r="G1039">
        <f t="shared" si="83"/>
        <v>11.1</v>
      </c>
    </row>
    <row r="1040" spans="1:7" x14ac:dyDescent="0.3">
      <c r="A1040" s="2">
        <f t="shared" si="84"/>
        <v>46225.625000002517</v>
      </c>
      <c r="B1040">
        <v>26.4</v>
      </c>
      <c r="C1040" s="2">
        <f t="shared" si="80"/>
        <v>46225</v>
      </c>
      <c r="D1040" s="1">
        <f t="shared" si="81"/>
        <v>15</v>
      </c>
      <c r="E1040" t="str">
        <f t="shared" si="82"/>
        <v>Wednesday</v>
      </c>
      <c r="F1040">
        <f>Assumptions!$B$2</f>
        <v>0.5</v>
      </c>
      <c r="G1040">
        <f t="shared" si="83"/>
        <v>13.2</v>
      </c>
    </row>
    <row r="1041" spans="1:7" x14ac:dyDescent="0.3">
      <c r="A1041" s="2">
        <f t="shared" si="84"/>
        <v>46225.645833335853</v>
      </c>
      <c r="B1041">
        <v>20.6</v>
      </c>
      <c r="C1041" s="2">
        <f t="shared" si="80"/>
        <v>46225</v>
      </c>
      <c r="D1041" s="1">
        <f t="shared" si="81"/>
        <v>15.5</v>
      </c>
      <c r="E1041" t="str">
        <f t="shared" si="82"/>
        <v>Wednesday</v>
      </c>
      <c r="F1041">
        <f>Assumptions!$B$2</f>
        <v>0.5</v>
      </c>
      <c r="G1041">
        <f t="shared" si="83"/>
        <v>10.3</v>
      </c>
    </row>
    <row r="1042" spans="1:7" x14ac:dyDescent="0.3">
      <c r="A1042" s="2">
        <f t="shared" si="84"/>
        <v>46225.666666669189</v>
      </c>
      <c r="B1042">
        <v>15</v>
      </c>
      <c r="C1042" s="2">
        <f t="shared" si="80"/>
        <v>46225</v>
      </c>
      <c r="D1042" s="1">
        <f t="shared" si="81"/>
        <v>16</v>
      </c>
      <c r="E1042" t="str">
        <f t="shared" si="82"/>
        <v>Wednesday</v>
      </c>
      <c r="F1042">
        <f>Assumptions!$B$2</f>
        <v>0.5</v>
      </c>
      <c r="G1042">
        <f t="shared" si="83"/>
        <v>7.5</v>
      </c>
    </row>
    <row r="1043" spans="1:7" x14ac:dyDescent="0.3">
      <c r="A1043" s="2">
        <f t="shared" si="84"/>
        <v>46225.687500002525</v>
      </c>
      <c r="B1043">
        <v>14.2</v>
      </c>
      <c r="C1043" s="2">
        <f t="shared" si="80"/>
        <v>46225</v>
      </c>
      <c r="D1043" s="1">
        <f t="shared" si="81"/>
        <v>16.5</v>
      </c>
      <c r="E1043" t="str">
        <f t="shared" si="82"/>
        <v>Wednesday</v>
      </c>
      <c r="F1043">
        <f>Assumptions!$B$2</f>
        <v>0.5</v>
      </c>
      <c r="G1043">
        <f t="shared" si="83"/>
        <v>7.1</v>
      </c>
    </row>
    <row r="1044" spans="1:7" x14ac:dyDescent="0.3">
      <c r="A1044" s="2">
        <f t="shared" si="84"/>
        <v>46225.708333335861</v>
      </c>
      <c r="B1044">
        <v>10.8</v>
      </c>
      <c r="C1044" s="2">
        <f t="shared" si="80"/>
        <v>46225</v>
      </c>
      <c r="D1044" s="1">
        <f t="shared" si="81"/>
        <v>17</v>
      </c>
      <c r="E1044" t="str">
        <f t="shared" si="82"/>
        <v>Wednesday</v>
      </c>
      <c r="F1044">
        <f>Assumptions!$B$2</f>
        <v>0.5</v>
      </c>
      <c r="G1044">
        <f t="shared" si="83"/>
        <v>5.4</v>
      </c>
    </row>
    <row r="1045" spans="1:7" x14ac:dyDescent="0.3">
      <c r="A1045" s="2">
        <f t="shared" si="84"/>
        <v>46225.729166669196</v>
      </c>
      <c r="B1045">
        <v>11.3</v>
      </c>
      <c r="C1045" s="2">
        <f t="shared" si="80"/>
        <v>46225</v>
      </c>
      <c r="D1045" s="1">
        <f t="shared" si="81"/>
        <v>17.5</v>
      </c>
      <c r="E1045" t="str">
        <f t="shared" si="82"/>
        <v>Wednesday</v>
      </c>
      <c r="F1045">
        <f>Assumptions!$B$2</f>
        <v>0.5</v>
      </c>
      <c r="G1045">
        <f t="shared" si="83"/>
        <v>5.65</v>
      </c>
    </row>
    <row r="1046" spans="1:7" x14ac:dyDescent="0.3">
      <c r="A1046" s="2">
        <f t="shared" si="84"/>
        <v>46225.750000002532</v>
      </c>
      <c r="B1046">
        <v>11.1</v>
      </c>
      <c r="C1046" s="2">
        <f t="shared" si="80"/>
        <v>46225</v>
      </c>
      <c r="D1046" s="1">
        <f t="shared" si="81"/>
        <v>18</v>
      </c>
      <c r="E1046" t="str">
        <f t="shared" si="82"/>
        <v>Wednesday</v>
      </c>
      <c r="F1046">
        <f>Assumptions!$B$2</f>
        <v>0.5</v>
      </c>
      <c r="G1046">
        <f t="shared" si="83"/>
        <v>5.55</v>
      </c>
    </row>
    <row r="1047" spans="1:7" x14ac:dyDescent="0.3">
      <c r="A1047" s="2">
        <f t="shared" si="84"/>
        <v>46225.770833335868</v>
      </c>
      <c r="B1047">
        <v>14.2</v>
      </c>
      <c r="C1047" s="2">
        <f t="shared" si="80"/>
        <v>46225</v>
      </c>
      <c r="D1047" s="1">
        <f t="shared" si="81"/>
        <v>18.5</v>
      </c>
      <c r="E1047" t="str">
        <f t="shared" si="82"/>
        <v>Wednesday</v>
      </c>
      <c r="F1047">
        <f>Assumptions!$B$2</f>
        <v>0.5</v>
      </c>
      <c r="G1047">
        <f t="shared" si="83"/>
        <v>7.1</v>
      </c>
    </row>
    <row r="1048" spans="1:7" x14ac:dyDescent="0.3">
      <c r="A1048" s="2">
        <f t="shared" si="84"/>
        <v>46225.791666669204</v>
      </c>
      <c r="B1048">
        <v>7.4</v>
      </c>
      <c r="C1048" s="2">
        <f t="shared" si="80"/>
        <v>46225</v>
      </c>
      <c r="D1048" s="1">
        <f t="shared" si="81"/>
        <v>19</v>
      </c>
      <c r="E1048" t="str">
        <f t="shared" si="82"/>
        <v>Wednesday</v>
      </c>
      <c r="F1048">
        <f>Assumptions!$B$2</f>
        <v>0.5</v>
      </c>
      <c r="G1048">
        <f t="shared" si="83"/>
        <v>3.7</v>
      </c>
    </row>
    <row r="1049" spans="1:7" x14ac:dyDescent="0.3">
      <c r="A1049" s="2">
        <f t="shared" si="84"/>
        <v>46225.812500002539</v>
      </c>
      <c r="B1049">
        <v>4.9000000000000004</v>
      </c>
      <c r="C1049" s="2">
        <f t="shared" si="80"/>
        <v>46225</v>
      </c>
      <c r="D1049" s="1">
        <f t="shared" si="81"/>
        <v>19.5</v>
      </c>
      <c r="E1049" t="str">
        <f t="shared" si="82"/>
        <v>Wednesday</v>
      </c>
      <c r="F1049">
        <f>Assumptions!$B$2</f>
        <v>0.5</v>
      </c>
      <c r="G1049">
        <f t="shared" si="83"/>
        <v>2.4500000000000002</v>
      </c>
    </row>
    <row r="1050" spans="1:7" x14ac:dyDescent="0.3">
      <c r="A1050" s="2">
        <f t="shared" si="84"/>
        <v>46225.833333335875</v>
      </c>
      <c r="B1050">
        <v>4.2</v>
      </c>
      <c r="C1050" s="2">
        <f t="shared" si="80"/>
        <v>46225</v>
      </c>
      <c r="D1050" s="1">
        <f t="shared" si="81"/>
        <v>20</v>
      </c>
      <c r="E1050" t="str">
        <f t="shared" si="82"/>
        <v>Wednesday</v>
      </c>
      <c r="F1050">
        <f>Assumptions!$B$2</f>
        <v>0.5</v>
      </c>
      <c r="G1050">
        <f t="shared" si="83"/>
        <v>2.1</v>
      </c>
    </row>
    <row r="1051" spans="1:7" x14ac:dyDescent="0.3">
      <c r="A1051" s="2">
        <f t="shared" si="84"/>
        <v>46225.854166669211</v>
      </c>
      <c r="B1051">
        <v>3.6</v>
      </c>
      <c r="C1051" s="2">
        <f t="shared" si="80"/>
        <v>46225</v>
      </c>
      <c r="D1051" s="1">
        <f t="shared" si="81"/>
        <v>20.5</v>
      </c>
      <c r="E1051" t="str">
        <f t="shared" si="82"/>
        <v>Wednesday</v>
      </c>
      <c r="F1051">
        <f>Assumptions!$B$2</f>
        <v>0.5</v>
      </c>
      <c r="G1051">
        <f t="shared" si="83"/>
        <v>1.8</v>
      </c>
    </row>
    <row r="1052" spans="1:7" x14ac:dyDescent="0.3">
      <c r="A1052" s="2">
        <f t="shared" si="84"/>
        <v>46225.875000002547</v>
      </c>
      <c r="B1052">
        <v>3.6</v>
      </c>
      <c r="C1052" s="2">
        <f t="shared" si="80"/>
        <v>46225</v>
      </c>
      <c r="D1052" s="1">
        <f t="shared" si="81"/>
        <v>21</v>
      </c>
      <c r="E1052" t="str">
        <f t="shared" si="82"/>
        <v>Wednesday</v>
      </c>
      <c r="F1052">
        <f>Assumptions!$B$2</f>
        <v>0.5</v>
      </c>
      <c r="G1052">
        <f t="shared" si="83"/>
        <v>1.8</v>
      </c>
    </row>
    <row r="1053" spans="1:7" x14ac:dyDescent="0.3">
      <c r="A1053" s="2">
        <f t="shared" si="84"/>
        <v>46225.895833335882</v>
      </c>
      <c r="B1053">
        <v>4.8</v>
      </c>
      <c r="C1053" s="2">
        <f t="shared" si="80"/>
        <v>46225</v>
      </c>
      <c r="D1053" s="1">
        <f t="shared" si="81"/>
        <v>21.5</v>
      </c>
      <c r="E1053" t="str">
        <f t="shared" si="82"/>
        <v>Wednesday</v>
      </c>
      <c r="F1053">
        <f>Assumptions!$B$2</f>
        <v>0.5</v>
      </c>
      <c r="G1053">
        <f t="shared" si="83"/>
        <v>2.4</v>
      </c>
    </row>
    <row r="1054" spans="1:7" x14ac:dyDescent="0.3">
      <c r="A1054" s="2">
        <f t="shared" si="84"/>
        <v>46225.916666669218</v>
      </c>
      <c r="B1054">
        <v>8</v>
      </c>
      <c r="C1054" s="2">
        <f t="shared" si="80"/>
        <v>46225</v>
      </c>
      <c r="D1054" s="1">
        <f t="shared" si="81"/>
        <v>22</v>
      </c>
      <c r="E1054" t="str">
        <f t="shared" si="82"/>
        <v>Wednesday</v>
      </c>
      <c r="F1054">
        <f>Assumptions!$B$2</f>
        <v>0.5</v>
      </c>
      <c r="G1054">
        <f t="shared" si="83"/>
        <v>4</v>
      </c>
    </row>
    <row r="1055" spans="1:7" x14ac:dyDescent="0.3">
      <c r="A1055" s="2">
        <f t="shared" si="84"/>
        <v>46225.937500002554</v>
      </c>
      <c r="B1055">
        <v>5.2</v>
      </c>
      <c r="C1055" s="2">
        <f t="shared" si="80"/>
        <v>46225</v>
      </c>
      <c r="D1055" s="1">
        <f t="shared" si="81"/>
        <v>22.5</v>
      </c>
      <c r="E1055" t="str">
        <f t="shared" si="82"/>
        <v>Wednesday</v>
      </c>
      <c r="F1055">
        <f>Assumptions!$B$2</f>
        <v>0.5</v>
      </c>
      <c r="G1055">
        <f t="shared" si="83"/>
        <v>2.6</v>
      </c>
    </row>
    <row r="1056" spans="1:7" x14ac:dyDescent="0.3">
      <c r="A1056" s="2">
        <f t="shared" si="84"/>
        <v>46225.95833333589</v>
      </c>
      <c r="B1056">
        <v>3.6</v>
      </c>
      <c r="C1056" s="2">
        <f t="shared" si="80"/>
        <v>46225</v>
      </c>
      <c r="D1056" s="1">
        <f t="shared" si="81"/>
        <v>23</v>
      </c>
      <c r="E1056" t="str">
        <f t="shared" si="82"/>
        <v>Wednesday</v>
      </c>
      <c r="F1056">
        <f>Assumptions!$B$2</f>
        <v>0.5</v>
      </c>
      <c r="G1056">
        <f t="shared" si="83"/>
        <v>1.8</v>
      </c>
    </row>
    <row r="1057" spans="1:7" x14ac:dyDescent="0.3">
      <c r="A1057" s="2">
        <f t="shared" si="84"/>
        <v>46225.979166669225</v>
      </c>
      <c r="B1057">
        <v>5.3</v>
      </c>
      <c r="C1057" s="2">
        <f t="shared" si="80"/>
        <v>46225</v>
      </c>
      <c r="D1057" s="1">
        <f t="shared" si="81"/>
        <v>23.5</v>
      </c>
      <c r="E1057" t="str">
        <f t="shared" si="82"/>
        <v>Wednesday</v>
      </c>
      <c r="F1057">
        <f>Assumptions!$B$2</f>
        <v>0.5</v>
      </c>
      <c r="G1057">
        <f t="shared" si="83"/>
        <v>2.65</v>
      </c>
    </row>
    <row r="1058" spans="1:7" x14ac:dyDescent="0.3">
      <c r="A1058" s="2">
        <f t="shared" si="84"/>
        <v>46226.000000002561</v>
      </c>
      <c r="B1058">
        <v>2.2999999999999998</v>
      </c>
      <c r="C1058" s="2">
        <f t="shared" si="80"/>
        <v>46226</v>
      </c>
      <c r="D1058" s="1">
        <f t="shared" si="81"/>
        <v>0</v>
      </c>
      <c r="E1058" t="str">
        <f t="shared" si="82"/>
        <v>Thursday</v>
      </c>
      <c r="F1058">
        <f>Assumptions!$B$2</f>
        <v>0.5</v>
      </c>
      <c r="G1058">
        <f t="shared" si="83"/>
        <v>1.1499999999999999</v>
      </c>
    </row>
    <row r="1059" spans="1:7" x14ac:dyDescent="0.3">
      <c r="A1059" s="2">
        <f t="shared" si="84"/>
        <v>46226.020833335897</v>
      </c>
      <c r="B1059">
        <v>3</v>
      </c>
      <c r="C1059" s="2">
        <f t="shared" si="80"/>
        <v>46226</v>
      </c>
      <c r="D1059" s="1">
        <f t="shared" si="81"/>
        <v>0.5</v>
      </c>
      <c r="E1059" t="str">
        <f t="shared" si="82"/>
        <v>Thursday</v>
      </c>
      <c r="F1059">
        <f>Assumptions!$B$2</f>
        <v>0.5</v>
      </c>
      <c r="G1059">
        <f t="shared" si="83"/>
        <v>1.5</v>
      </c>
    </row>
    <row r="1060" spans="1:7" x14ac:dyDescent="0.3">
      <c r="A1060" s="2">
        <f t="shared" si="84"/>
        <v>46226.041666669233</v>
      </c>
      <c r="B1060">
        <v>1.9</v>
      </c>
      <c r="C1060" s="2">
        <f t="shared" si="80"/>
        <v>46226</v>
      </c>
      <c r="D1060" s="1">
        <f t="shared" si="81"/>
        <v>1</v>
      </c>
      <c r="E1060" t="str">
        <f t="shared" si="82"/>
        <v>Thursday</v>
      </c>
      <c r="F1060">
        <f>Assumptions!$B$2</f>
        <v>0.5</v>
      </c>
      <c r="G1060">
        <f t="shared" si="83"/>
        <v>0.95</v>
      </c>
    </row>
    <row r="1061" spans="1:7" x14ac:dyDescent="0.3">
      <c r="A1061" s="2">
        <f t="shared" si="84"/>
        <v>46226.062500002568</v>
      </c>
      <c r="B1061">
        <v>2.2999999999999998</v>
      </c>
      <c r="C1061" s="2">
        <f t="shared" si="80"/>
        <v>46226</v>
      </c>
      <c r="D1061" s="1">
        <f t="shared" si="81"/>
        <v>1.5</v>
      </c>
      <c r="E1061" t="str">
        <f t="shared" si="82"/>
        <v>Thursday</v>
      </c>
      <c r="F1061">
        <f>Assumptions!$B$2</f>
        <v>0.5</v>
      </c>
      <c r="G1061">
        <f t="shared" si="83"/>
        <v>1.1499999999999999</v>
      </c>
    </row>
    <row r="1062" spans="1:7" x14ac:dyDescent="0.3">
      <c r="A1062" s="2">
        <f t="shared" si="84"/>
        <v>46226.083333335904</v>
      </c>
      <c r="B1062">
        <v>2.2000000000000002</v>
      </c>
      <c r="C1062" s="2">
        <f t="shared" si="80"/>
        <v>46226</v>
      </c>
      <c r="D1062" s="1">
        <f t="shared" si="81"/>
        <v>2</v>
      </c>
      <c r="E1062" t="str">
        <f t="shared" si="82"/>
        <v>Thursday</v>
      </c>
      <c r="F1062">
        <f>Assumptions!$B$2</f>
        <v>0.5</v>
      </c>
      <c r="G1062">
        <f t="shared" si="83"/>
        <v>1.1000000000000001</v>
      </c>
    </row>
    <row r="1063" spans="1:7" x14ac:dyDescent="0.3">
      <c r="A1063" s="2">
        <f t="shared" si="84"/>
        <v>46226.10416666924</v>
      </c>
      <c r="B1063">
        <v>1.8</v>
      </c>
      <c r="C1063" s="2">
        <f t="shared" si="80"/>
        <v>46226</v>
      </c>
      <c r="D1063" s="1">
        <f t="shared" si="81"/>
        <v>2.5</v>
      </c>
      <c r="E1063" t="str">
        <f t="shared" si="82"/>
        <v>Thursday</v>
      </c>
      <c r="F1063">
        <f>Assumptions!$B$2</f>
        <v>0.5</v>
      </c>
      <c r="G1063">
        <f t="shared" si="83"/>
        <v>0.9</v>
      </c>
    </row>
    <row r="1064" spans="1:7" x14ac:dyDescent="0.3">
      <c r="A1064" s="2">
        <f t="shared" si="84"/>
        <v>46226.125000002576</v>
      </c>
      <c r="B1064">
        <v>3</v>
      </c>
      <c r="C1064" s="2">
        <f t="shared" si="80"/>
        <v>46226</v>
      </c>
      <c r="D1064" s="1">
        <f t="shared" si="81"/>
        <v>3</v>
      </c>
      <c r="E1064" t="str">
        <f t="shared" si="82"/>
        <v>Thursday</v>
      </c>
      <c r="F1064">
        <f>Assumptions!$B$2</f>
        <v>0.5</v>
      </c>
      <c r="G1064">
        <f t="shared" si="83"/>
        <v>1.5</v>
      </c>
    </row>
    <row r="1065" spans="1:7" x14ac:dyDescent="0.3">
      <c r="A1065" s="2">
        <f t="shared" si="84"/>
        <v>46226.145833335911</v>
      </c>
      <c r="B1065">
        <v>2.6</v>
      </c>
      <c r="C1065" s="2">
        <f t="shared" si="80"/>
        <v>46226</v>
      </c>
      <c r="D1065" s="1">
        <f t="shared" si="81"/>
        <v>3.5</v>
      </c>
      <c r="E1065" t="str">
        <f t="shared" si="82"/>
        <v>Thursday</v>
      </c>
      <c r="F1065">
        <f>Assumptions!$B$2</f>
        <v>0.5</v>
      </c>
      <c r="G1065">
        <f t="shared" si="83"/>
        <v>1.3</v>
      </c>
    </row>
    <row r="1066" spans="1:7" x14ac:dyDescent="0.3">
      <c r="A1066" s="2">
        <f t="shared" si="84"/>
        <v>46226.166666669247</v>
      </c>
      <c r="B1066">
        <v>2.4</v>
      </c>
      <c r="C1066" s="2">
        <f t="shared" si="80"/>
        <v>46226</v>
      </c>
      <c r="D1066" s="1">
        <f t="shared" si="81"/>
        <v>4</v>
      </c>
      <c r="E1066" t="str">
        <f t="shared" si="82"/>
        <v>Thursday</v>
      </c>
      <c r="F1066">
        <f>Assumptions!$B$2</f>
        <v>0.5</v>
      </c>
      <c r="G1066">
        <f t="shared" si="83"/>
        <v>1.2</v>
      </c>
    </row>
    <row r="1067" spans="1:7" x14ac:dyDescent="0.3">
      <c r="A1067" s="2">
        <f t="shared" si="84"/>
        <v>46226.187500002583</v>
      </c>
      <c r="B1067">
        <v>2.4</v>
      </c>
      <c r="C1067" s="2">
        <f t="shared" si="80"/>
        <v>46226</v>
      </c>
      <c r="D1067" s="1">
        <f t="shared" si="81"/>
        <v>4.5</v>
      </c>
      <c r="E1067" t="str">
        <f t="shared" si="82"/>
        <v>Thursday</v>
      </c>
      <c r="F1067">
        <f>Assumptions!$B$2</f>
        <v>0.5</v>
      </c>
      <c r="G1067">
        <f t="shared" si="83"/>
        <v>1.2</v>
      </c>
    </row>
    <row r="1068" spans="1:7" x14ac:dyDescent="0.3">
      <c r="A1068" s="2">
        <f t="shared" si="84"/>
        <v>46226.208333335919</v>
      </c>
      <c r="B1068">
        <v>2.1</v>
      </c>
      <c r="C1068" s="2">
        <f t="shared" si="80"/>
        <v>46226</v>
      </c>
      <c r="D1068" s="1">
        <f t="shared" si="81"/>
        <v>5</v>
      </c>
      <c r="E1068" t="str">
        <f t="shared" si="82"/>
        <v>Thursday</v>
      </c>
      <c r="F1068">
        <f>Assumptions!$B$2</f>
        <v>0.5</v>
      </c>
      <c r="G1068">
        <f t="shared" si="83"/>
        <v>1.05</v>
      </c>
    </row>
    <row r="1069" spans="1:7" x14ac:dyDescent="0.3">
      <c r="A1069" s="2">
        <f t="shared" si="84"/>
        <v>46226.229166669254</v>
      </c>
      <c r="B1069">
        <v>2.2000000000000002</v>
      </c>
      <c r="C1069" s="2">
        <f t="shared" si="80"/>
        <v>46226</v>
      </c>
      <c r="D1069" s="1">
        <f t="shared" si="81"/>
        <v>5.5</v>
      </c>
      <c r="E1069" t="str">
        <f t="shared" si="82"/>
        <v>Thursday</v>
      </c>
      <c r="F1069">
        <f>Assumptions!$B$2</f>
        <v>0.5</v>
      </c>
      <c r="G1069">
        <f t="shared" si="83"/>
        <v>1.1000000000000001</v>
      </c>
    </row>
    <row r="1070" spans="1:7" x14ac:dyDescent="0.3">
      <c r="A1070" s="2">
        <f t="shared" si="84"/>
        <v>46226.25000000259</v>
      </c>
      <c r="B1070">
        <v>7</v>
      </c>
      <c r="C1070" s="2">
        <f t="shared" si="80"/>
        <v>46226</v>
      </c>
      <c r="D1070" s="1">
        <f t="shared" si="81"/>
        <v>6</v>
      </c>
      <c r="E1070" t="str">
        <f t="shared" si="82"/>
        <v>Thursday</v>
      </c>
      <c r="F1070">
        <f>Assumptions!$B$2</f>
        <v>0.5</v>
      </c>
      <c r="G1070">
        <f t="shared" si="83"/>
        <v>3.5</v>
      </c>
    </row>
    <row r="1071" spans="1:7" x14ac:dyDescent="0.3">
      <c r="A1071" s="2">
        <f t="shared" si="84"/>
        <v>46226.270833335926</v>
      </c>
      <c r="B1071">
        <v>7.5</v>
      </c>
      <c r="C1071" s="2">
        <f t="shared" si="80"/>
        <v>46226</v>
      </c>
      <c r="D1071" s="1">
        <f t="shared" si="81"/>
        <v>6.5</v>
      </c>
      <c r="E1071" t="str">
        <f t="shared" si="82"/>
        <v>Thursday</v>
      </c>
      <c r="F1071">
        <f>Assumptions!$B$2</f>
        <v>0.5</v>
      </c>
      <c r="G1071">
        <f t="shared" si="83"/>
        <v>3.75</v>
      </c>
    </row>
    <row r="1072" spans="1:7" x14ac:dyDescent="0.3">
      <c r="A1072" s="2">
        <f t="shared" si="84"/>
        <v>46226.291666669262</v>
      </c>
      <c r="B1072">
        <v>7.4</v>
      </c>
      <c r="C1072" s="2">
        <f t="shared" si="80"/>
        <v>46226</v>
      </c>
      <c r="D1072" s="1">
        <f t="shared" si="81"/>
        <v>7</v>
      </c>
      <c r="E1072" t="str">
        <f t="shared" si="82"/>
        <v>Thursday</v>
      </c>
      <c r="F1072">
        <f>Assumptions!$B$2</f>
        <v>0.5</v>
      </c>
      <c r="G1072">
        <f t="shared" si="83"/>
        <v>3.7</v>
      </c>
    </row>
    <row r="1073" spans="1:7" x14ac:dyDescent="0.3">
      <c r="A1073" s="2">
        <f t="shared" si="84"/>
        <v>46226.312500002598</v>
      </c>
      <c r="B1073">
        <v>6.6</v>
      </c>
      <c r="C1073" s="2">
        <f t="shared" si="80"/>
        <v>46226</v>
      </c>
      <c r="D1073" s="1">
        <f t="shared" si="81"/>
        <v>7.5</v>
      </c>
      <c r="E1073" t="str">
        <f t="shared" si="82"/>
        <v>Thursday</v>
      </c>
      <c r="F1073">
        <f>Assumptions!$B$2</f>
        <v>0.5</v>
      </c>
      <c r="G1073">
        <f t="shared" si="83"/>
        <v>3.3</v>
      </c>
    </row>
    <row r="1074" spans="1:7" x14ac:dyDescent="0.3">
      <c r="A1074" s="2">
        <f t="shared" si="84"/>
        <v>46226.333333335933</v>
      </c>
      <c r="B1074">
        <v>13.5</v>
      </c>
      <c r="C1074" s="2">
        <f t="shared" si="80"/>
        <v>46226</v>
      </c>
      <c r="D1074" s="1">
        <f t="shared" si="81"/>
        <v>8</v>
      </c>
      <c r="E1074" t="str">
        <f t="shared" si="82"/>
        <v>Thursday</v>
      </c>
      <c r="F1074">
        <f>Assumptions!$B$2</f>
        <v>0.5</v>
      </c>
      <c r="G1074">
        <f t="shared" si="83"/>
        <v>6.75</v>
      </c>
    </row>
    <row r="1075" spans="1:7" x14ac:dyDescent="0.3">
      <c r="A1075" s="2">
        <f t="shared" si="84"/>
        <v>46226.354166669269</v>
      </c>
      <c r="B1075">
        <v>18.5</v>
      </c>
      <c r="C1075" s="2">
        <f t="shared" si="80"/>
        <v>46226</v>
      </c>
      <c r="D1075" s="1">
        <f t="shared" si="81"/>
        <v>8.5</v>
      </c>
      <c r="E1075" t="str">
        <f t="shared" si="82"/>
        <v>Thursday</v>
      </c>
      <c r="F1075">
        <f>Assumptions!$B$2</f>
        <v>0.5</v>
      </c>
      <c r="G1075">
        <f t="shared" si="83"/>
        <v>9.25</v>
      </c>
    </row>
    <row r="1076" spans="1:7" x14ac:dyDescent="0.3">
      <c r="A1076" s="2">
        <f t="shared" si="84"/>
        <v>46226.375000002605</v>
      </c>
      <c r="B1076">
        <v>14.3</v>
      </c>
      <c r="C1076" s="2">
        <f t="shared" si="80"/>
        <v>46226</v>
      </c>
      <c r="D1076" s="1">
        <f t="shared" si="81"/>
        <v>9</v>
      </c>
      <c r="E1076" t="str">
        <f t="shared" si="82"/>
        <v>Thursday</v>
      </c>
      <c r="F1076">
        <f>Assumptions!$B$2</f>
        <v>0.5</v>
      </c>
      <c r="G1076">
        <f t="shared" si="83"/>
        <v>7.15</v>
      </c>
    </row>
    <row r="1077" spans="1:7" x14ac:dyDescent="0.3">
      <c r="A1077" s="2">
        <f t="shared" si="84"/>
        <v>46226.395833335941</v>
      </c>
      <c r="B1077">
        <v>19.5</v>
      </c>
      <c r="C1077" s="2">
        <f t="shared" si="80"/>
        <v>46226</v>
      </c>
      <c r="D1077" s="1">
        <f t="shared" si="81"/>
        <v>9.5</v>
      </c>
      <c r="E1077" t="str">
        <f t="shared" si="82"/>
        <v>Thursday</v>
      </c>
      <c r="F1077">
        <f>Assumptions!$B$2</f>
        <v>0.5</v>
      </c>
      <c r="G1077">
        <f t="shared" si="83"/>
        <v>9.75</v>
      </c>
    </row>
    <row r="1078" spans="1:7" x14ac:dyDescent="0.3">
      <c r="A1078" s="2">
        <f t="shared" si="84"/>
        <v>46226.416666669276</v>
      </c>
      <c r="B1078">
        <v>17.7</v>
      </c>
      <c r="C1078" s="2">
        <f t="shared" si="80"/>
        <v>46226</v>
      </c>
      <c r="D1078" s="1">
        <f t="shared" si="81"/>
        <v>10</v>
      </c>
      <c r="E1078" t="str">
        <f t="shared" si="82"/>
        <v>Thursday</v>
      </c>
      <c r="F1078">
        <f>Assumptions!$B$2</f>
        <v>0.5</v>
      </c>
      <c r="G1078">
        <f t="shared" si="83"/>
        <v>8.85</v>
      </c>
    </row>
    <row r="1079" spans="1:7" x14ac:dyDescent="0.3">
      <c r="A1079" s="2">
        <f t="shared" si="84"/>
        <v>46226.437500002612</v>
      </c>
      <c r="B1079">
        <v>14.7</v>
      </c>
      <c r="C1079" s="2">
        <f t="shared" si="80"/>
        <v>46226</v>
      </c>
      <c r="D1079" s="1">
        <f t="shared" si="81"/>
        <v>10.5</v>
      </c>
      <c r="E1079" t="str">
        <f t="shared" si="82"/>
        <v>Thursday</v>
      </c>
      <c r="F1079">
        <f>Assumptions!$B$2</f>
        <v>0.5</v>
      </c>
      <c r="G1079">
        <f t="shared" si="83"/>
        <v>7.35</v>
      </c>
    </row>
    <row r="1080" spans="1:7" x14ac:dyDescent="0.3">
      <c r="A1080" s="2">
        <f t="shared" si="84"/>
        <v>46226.458333335948</v>
      </c>
      <c r="B1080">
        <v>22</v>
      </c>
      <c r="C1080" s="2">
        <f t="shared" si="80"/>
        <v>46226</v>
      </c>
      <c r="D1080" s="1">
        <f t="shared" si="81"/>
        <v>11</v>
      </c>
      <c r="E1080" t="str">
        <f t="shared" si="82"/>
        <v>Thursday</v>
      </c>
      <c r="F1080">
        <f>Assumptions!$B$2</f>
        <v>0.5</v>
      </c>
      <c r="G1080">
        <f t="shared" si="83"/>
        <v>11</v>
      </c>
    </row>
    <row r="1081" spans="1:7" x14ac:dyDescent="0.3">
      <c r="A1081" s="2">
        <f t="shared" si="84"/>
        <v>46226.479166669284</v>
      </c>
      <c r="B1081">
        <v>13.9</v>
      </c>
      <c r="C1081" s="2">
        <f t="shared" si="80"/>
        <v>46226</v>
      </c>
      <c r="D1081" s="1">
        <f t="shared" si="81"/>
        <v>11.5</v>
      </c>
      <c r="E1081" t="str">
        <f t="shared" si="82"/>
        <v>Thursday</v>
      </c>
      <c r="F1081">
        <f>Assumptions!$B$2</f>
        <v>0.5</v>
      </c>
      <c r="G1081">
        <f t="shared" si="83"/>
        <v>6.95</v>
      </c>
    </row>
    <row r="1082" spans="1:7" x14ac:dyDescent="0.3">
      <c r="A1082" s="2">
        <f t="shared" si="84"/>
        <v>46226.500000002619</v>
      </c>
      <c r="B1082">
        <v>22</v>
      </c>
      <c r="C1082" s="2">
        <f t="shared" si="80"/>
        <v>46226</v>
      </c>
      <c r="D1082" s="1">
        <f t="shared" si="81"/>
        <v>12</v>
      </c>
      <c r="E1082" t="str">
        <f t="shared" si="82"/>
        <v>Thursday</v>
      </c>
      <c r="F1082">
        <f>Assumptions!$B$2</f>
        <v>0.5</v>
      </c>
      <c r="G1082">
        <f t="shared" si="83"/>
        <v>11</v>
      </c>
    </row>
    <row r="1083" spans="1:7" x14ac:dyDescent="0.3">
      <c r="A1083" s="2">
        <f t="shared" si="84"/>
        <v>46226.520833335955</v>
      </c>
      <c r="B1083">
        <v>30.7</v>
      </c>
      <c r="C1083" s="2">
        <f t="shared" si="80"/>
        <v>46226</v>
      </c>
      <c r="D1083" s="1">
        <f t="shared" si="81"/>
        <v>12.5</v>
      </c>
      <c r="E1083" t="str">
        <f t="shared" si="82"/>
        <v>Thursday</v>
      </c>
      <c r="F1083">
        <f>Assumptions!$B$2</f>
        <v>0.5</v>
      </c>
      <c r="G1083">
        <f t="shared" si="83"/>
        <v>15.35</v>
      </c>
    </row>
    <row r="1084" spans="1:7" x14ac:dyDescent="0.3">
      <c r="A1084" s="2">
        <f t="shared" si="84"/>
        <v>46226.541666669291</v>
      </c>
      <c r="B1084">
        <v>20.7</v>
      </c>
      <c r="C1084" s="2">
        <f t="shared" si="80"/>
        <v>46226</v>
      </c>
      <c r="D1084" s="1">
        <f t="shared" si="81"/>
        <v>13</v>
      </c>
      <c r="E1084" t="str">
        <f t="shared" si="82"/>
        <v>Thursday</v>
      </c>
      <c r="F1084">
        <f>Assumptions!$B$2</f>
        <v>0.5</v>
      </c>
      <c r="G1084">
        <f t="shared" si="83"/>
        <v>10.35</v>
      </c>
    </row>
    <row r="1085" spans="1:7" x14ac:dyDescent="0.3">
      <c r="A1085" s="2">
        <f t="shared" si="84"/>
        <v>46226.562500002627</v>
      </c>
      <c r="B1085">
        <v>21.3</v>
      </c>
      <c r="C1085" s="2">
        <f t="shared" si="80"/>
        <v>46226</v>
      </c>
      <c r="D1085" s="1">
        <f t="shared" si="81"/>
        <v>13.5</v>
      </c>
      <c r="E1085" t="str">
        <f t="shared" si="82"/>
        <v>Thursday</v>
      </c>
      <c r="F1085">
        <f>Assumptions!$B$2</f>
        <v>0.5</v>
      </c>
      <c r="G1085">
        <f t="shared" si="83"/>
        <v>10.65</v>
      </c>
    </row>
    <row r="1086" spans="1:7" x14ac:dyDescent="0.3">
      <c r="A1086" s="2">
        <f t="shared" si="84"/>
        <v>46226.583333335962</v>
      </c>
      <c r="B1086">
        <v>33.200000000000003</v>
      </c>
      <c r="C1086" s="2">
        <f t="shared" si="80"/>
        <v>46226</v>
      </c>
      <c r="D1086" s="1">
        <f t="shared" si="81"/>
        <v>14</v>
      </c>
      <c r="E1086" t="str">
        <f t="shared" si="82"/>
        <v>Thursday</v>
      </c>
      <c r="F1086">
        <f>Assumptions!$B$2</f>
        <v>0.5</v>
      </c>
      <c r="G1086">
        <f t="shared" si="83"/>
        <v>16.600000000000001</v>
      </c>
    </row>
    <row r="1087" spans="1:7" x14ac:dyDescent="0.3">
      <c r="A1087" s="2">
        <f t="shared" si="84"/>
        <v>46226.604166669298</v>
      </c>
      <c r="B1087">
        <v>29.3</v>
      </c>
      <c r="C1087" s="2">
        <f t="shared" si="80"/>
        <v>46226</v>
      </c>
      <c r="D1087" s="1">
        <f t="shared" si="81"/>
        <v>14.5</v>
      </c>
      <c r="E1087" t="str">
        <f t="shared" si="82"/>
        <v>Thursday</v>
      </c>
      <c r="F1087">
        <f>Assumptions!$B$2</f>
        <v>0.5</v>
      </c>
      <c r="G1087">
        <f t="shared" si="83"/>
        <v>14.65</v>
      </c>
    </row>
    <row r="1088" spans="1:7" x14ac:dyDescent="0.3">
      <c r="A1088" s="2">
        <f t="shared" si="84"/>
        <v>46226.625000002634</v>
      </c>
      <c r="B1088">
        <v>30</v>
      </c>
      <c r="C1088" s="2">
        <f t="shared" si="80"/>
        <v>46226</v>
      </c>
      <c r="D1088" s="1">
        <f t="shared" si="81"/>
        <v>15</v>
      </c>
      <c r="E1088" t="str">
        <f t="shared" si="82"/>
        <v>Thursday</v>
      </c>
      <c r="F1088">
        <f>Assumptions!$B$2</f>
        <v>0.5</v>
      </c>
      <c r="G1088">
        <f t="shared" si="83"/>
        <v>15</v>
      </c>
    </row>
    <row r="1089" spans="1:7" x14ac:dyDescent="0.3">
      <c r="A1089" s="2">
        <f t="shared" si="84"/>
        <v>46226.64583333597</v>
      </c>
      <c r="B1089">
        <v>31.1</v>
      </c>
      <c r="C1089" s="2">
        <f t="shared" si="80"/>
        <v>46226</v>
      </c>
      <c r="D1089" s="1">
        <f t="shared" si="81"/>
        <v>15.5</v>
      </c>
      <c r="E1089" t="str">
        <f t="shared" si="82"/>
        <v>Thursday</v>
      </c>
      <c r="F1089">
        <f>Assumptions!$B$2</f>
        <v>0.5</v>
      </c>
      <c r="G1089">
        <f t="shared" si="83"/>
        <v>15.55</v>
      </c>
    </row>
    <row r="1090" spans="1:7" x14ac:dyDescent="0.3">
      <c r="A1090" s="2">
        <f t="shared" si="84"/>
        <v>46226.666666669305</v>
      </c>
      <c r="B1090">
        <v>19.3</v>
      </c>
      <c r="C1090" s="2">
        <f t="shared" si="80"/>
        <v>46226</v>
      </c>
      <c r="D1090" s="1">
        <f t="shared" si="81"/>
        <v>16</v>
      </c>
      <c r="E1090" t="str">
        <f t="shared" si="82"/>
        <v>Thursday</v>
      </c>
      <c r="F1090">
        <f>Assumptions!$B$2</f>
        <v>0.5</v>
      </c>
      <c r="G1090">
        <f t="shared" si="83"/>
        <v>9.65</v>
      </c>
    </row>
    <row r="1091" spans="1:7" x14ac:dyDescent="0.3">
      <c r="A1091" s="2">
        <f t="shared" si="84"/>
        <v>46226.687500002641</v>
      </c>
      <c r="B1091">
        <v>17.399999999999999</v>
      </c>
      <c r="C1091" s="2">
        <f t="shared" ref="C1091:C1154" si="85">INT(A1091)</f>
        <v>46226</v>
      </c>
      <c r="D1091" s="1">
        <f t="shared" ref="D1091:D1154" si="86">HOUR(A1091)+MINUTE(A1091)/60</f>
        <v>16.5</v>
      </c>
      <c r="E1091" t="str">
        <f t="shared" ref="E1091:E1154" si="87">TEXT(A1091,"dddd")</f>
        <v>Thursday</v>
      </c>
      <c r="F1091">
        <f>Assumptions!$B$2</f>
        <v>0.5</v>
      </c>
      <c r="G1091">
        <f t="shared" ref="G1091:G1154" si="88">B1091*F1091</f>
        <v>8.6999999999999993</v>
      </c>
    </row>
    <row r="1092" spans="1:7" x14ac:dyDescent="0.3">
      <c r="A1092" s="2">
        <f t="shared" ref="A1092:A1155" si="89">A1091+TIME(0,30,0)</f>
        <v>46226.708333335977</v>
      </c>
      <c r="B1092">
        <v>18.399999999999999</v>
      </c>
      <c r="C1092" s="2">
        <f t="shared" si="85"/>
        <v>46226</v>
      </c>
      <c r="D1092" s="1">
        <f t="shared" si="86"/>
        <v>17</v>
      </c>
      <c r="E1092" t="str">
        <f t="shared" si="87"/>
        <v>Thursday</v>
      </c>
      <c r="F1092">
        <f>Assumptions!$B$2</f>
        <v>0.5</v>
      </c>
      <c r="G1092">
        <f t="shared" si="88"/>
        <v>9.1999999999999993</v>
      </c>
    </row>
    <row r="1093" spans="1:7" x14ac:dyDescent="0.3">
      <c r="A1093" s="2">
        <f t="shared" si="89"/>
        <v>46226.729166669313</v>
      </c>
      <c r="B1093">
        <v>16.8</v>
      </c>
      <c r="C1093" s="2">
        <f t="shared" si="85"/>
        <v>46226</v>
      </c>
      <c r="D1093" s="1">
        <f t="shared" si="86"/>
        <v>17.5</v>
      </c>
      <c r="E1093" t="str">
        <f t="shared" si="87"/>
        <v>Thursday</v>
      </c>
      <c r="F1093">
        <f>Assumptions!$B$2</f>
        <v>0.5</v>
      </c>
      <c r="G1093">
        <f t="shared" si="88"/>
        <v>8.4</v>
      </c>
    </row>
    <row r="1094" spans="1:7" x14ac:dyDescent="0.3">
      <c r="A1094" s="2">
        <f t="shared" si="89"/>
        <v>46226.750000002648</v>
      </c>
      <c r="B1094">
        <v>13.2</v>
      </c>
      <c r="C1094" s="2">
        <f t="shared" si="85"/>
        <v>46226</v>
      </c>
      <c r="D1094" s="1">
        <f t="shared" si="86"/>
        <v>18</v>
      </c>
      <c r="E1094" t="str">
        <f t="shared" si="87"/>
        <v>Thursday</v>
      </c>
      <c r="F1094">
        <f>Assumptions!$B$2</f>
        <v>0.5</v>
      </c>
      <c r="G1094">
        <f t="shared" si="88"/>
        <v>6.6</v>
      </c>
    </row>
    <row r="1095" spans="1:7" x14ac:dyDescent="0.3">
      <c r="A1095" s="2">
        <f t="shared" si="89"/>
        <v>46226.770833335984</v>
      </c>
      <c r="B1095">
        <v>19.899999999999999</v>
      </c>
      <c r="C1095" s="2">
        <f t="shared" si="85"/>
        <v>46226</v>
      </c>
      <c r="D1095" s="1">
        <f t="shared" si="86"/>
        <v>18.5</v>
      </c>
      <c r="E1095" t="str">
        <f t="shared" si="87"/>
        <v>Thursday</v>
      </c>
      <c r="F1095">
        <f>Assumptions!$B$2</f>
        <v>0.5</v>
      </c>
      <c r="G1095">
        <f t="shared" si="88"/>
        <v>9.9499999999999993</v>
      </c>
    </row>
    <row r="1096" spans="1:7" x14ac:dyDescent="0.3">
      <c r="A1096" s="2">
        <f t="shared" si="89"/>
        <v>46226.79166666932</v>
      </c>
      <c r="B1096">
        <v>7.4</v>
      </c>
      <c r="C1096" s="2">
        <f t="shared" si="85"/>
        <v>46226</v>
      </c>
      <c r="D1096" s="1">
        <f t="shared" si="86"/>
        <v>19</v>
      </c>
      <c r="E1096" t="str">
        <f t="shared" si="87"/>
        <v>Thursday</v>
      </c>
      <c r="F1096">
        <f>Assumptions!$B$2</f>
        <v>0.5</v>
      </c>
      <c r="G1096">
        <f t="shared" si="88"/>
        <v>3.7</v>
      </c>
    </row>
    <row r="1097" spans="1:7" x14ac:dyDescent="0.3">
      <c r="A1097" s="2">
        <f t="shared" si="89"/>
        <v>46226.812500002656</v>
      </c>
      <c r="B1097">
        <v>7.6</v>
      </c>
      <c r="C1097" s="2">
        <f t="shared" si="85"/>
        <v>46226</v>
      </c>
      <c r="D1097" s="1">
        <f t="shared" si="86"/>
        <v>19.5</v>
      </c>
      <c r="E1097" t="str">
        <f t="shared" si="87"/>
        <v>Thursday</v>
      </c>
      <c r="F1097">
        <f>Assumptions!$B$2</f>
        <v>0.5</v>
      </c>
      <c r="G1097">
        <f t="shared" si="88"/>
        <v>3.8</v>
      </c>
    </row>
    <row r="1098" spans="1:7" x14ac:dyDescent="0.3">
      <c r="A1098" s="2">
        <f t="shared" si="89"/>
        <v>46226.833333335991</v>
      </c>
      <c r="B1098">
        <v>3.9</v>
      </c>
      <c r="C1098" s="2">
        <f t="shared" si="85"/>
        <v>46226</v>
      </c>
      <c r="D1098" s="1">
        <f t="shared" si="86"/>
        <v>20</v>
      </c>
      <c r="E1098" t="str">
        <f t="shared" si="87"/>
        <v>Thursday</v>
      </c>
      <c r="F1098">
        <f>Assumptions!$B$2</f>
        <v>0.5</v>
      </c>
      <c r="G1098">
        <f t="shared" si="88"/>
        <v>1.95</v>
      </c>
    </row>
    <row r="1099" spans="1:7" x14ac:dyDescent="0.3">
      <c r="A1099" s="2">
        <f t="shared" si="89"/>
        <v>46226.854166669327</v>
      </c>
      <c r="B1099">
        <v>5.6</v>
      </c>
      <c r="C1099" s="2">
        <f t="shared" si="85"/>
        <v>46226</v>
      </c>
      <c r="D1099" s="1">
        <f t="shared" si="86"/>
        <v>20.5</v>
      </c>
      <c r="E1099" t="str">
        <f t="shared" si="87"/>
        <v>Thursday</v>
      </c>
      <c r="F1099">
        <f>Assumptions!$B$2</f>
        <v>0.5</v>
      </c>
      <c r="G1099">
        <f t="shared" si="88"/>
        <v>2.8</v>
      </c>
    </row>
    <row r="1100" spans="1:7" x14ac:dyDescent="0.3">
      <c r="A1100" s="2">
        <f t="shared" si="89"/>
        <v>46226.875000002663</v>
      </c>
      <c r="B1100">
        <v>5.9</v>
      </c>
      <c r="C1100" s="2">
        <f t="shared" si="85"/>
        <v>46226</v>
      </c>
      <c r="D1100" s="1">
        <f t="shared" si="86"/>
        <v>21</v>
      </c>
      <c r="E1100" t="str">
        <f t="shared" si="87"/>
        <v>Thursday</v>
      </c>
      <c r="F1100">
        <f>Assumptions!$B$2</f>
        <v>0.5</v>
      </c>
      <c r="G1100">
        <f t="shared" si="88"/>
        <v>2.95</v>
      </c>
    </row>
    <row r="1101" spans="1:7" x14ac:dyDescent="0.3">
      <c r="A1101" s="2">
        <f t="shared" si="89"/>
        <v>46226.895833335999</v>
      </c>
      <c r="B1101">
        <v>5.8</v>
      </c>
      <c r="C1101" s="2">
        <f t="shared" si="85"/>
        <v>46226</v>
      </c>
      <c r="D1101" s="1">
        <f t="shared" si="86"/>
        <v>21.5</v>
      </c>
      <c r="E1101" t="str">
        <f t="shared" si="87"/>
        <v>Thursday</v>
      </c>
      <c r="F1101">
        <f>Assumptions!$B$2</f>
        <v>0.5</v>
      </c>
      <c r="G1101">
        <f t="shared" si="88"/>
        <v>2.9</v>
      </c>
    </row>
    <row r="1102" spans="1:7" x14ac:dyDescent="0.3">
      <c r="A1102" s="2">
        <f t="shared" si="89"/>
        <v>46226.916666669335</v>
      </c>
      <c r="B1102">
        <v>4.5999999999999996</v>
      </c>
      <c r="C1102" s="2">
        <f t="shared" si="85"/>
        <v>46226</v>
      </c>
      <c r="D1102" s="1">
        <f t="shared" si="86"/>
        <v>22</v>
      </c>
      <c r="E1102" t="str">
        <f t="shared" si="87"/>
        <v>Thursday</v>
      </c>
      <c r="F1102">
        <f>Assumptions!$B$2</f>
        <v>0.5</v>
      </c>
      <c r="G1102">
        <f t="shared" si="88"/>
        <v>2.2999999999999998</v>
      </c>
    </row>
    <row r="1103" spans="1:7" x14ac:dyDescent="0.3">
      <c r="A1103" s="2">
        <f t="shared" si="89"/>
        <v>46226.93750000267</v>
      </c>
      <c r="B1103">
        <v>4.0999999999999996</v>
      </c>
      <c r="C1103" s="2">
        <f t="shared" si="85"/>
        <v>46226</v>
      </c>
      <c r="D1103" s="1">
        <f t="shared" si="86"/>
        <v>22.5</v>
      </c>
      <c r="E1103" t="str">
        <f t="shared" si="87"/>
        <v>Thursday</v>
      </c>
      <c r="F1103">
        <f>Assumptions!$B$2</f>
        <v>0.5</v>
      </c>
      <c r="G1103">
        <f t="shared" si="88"/>
        <v>2.0499999999999998</v>
      </c>
    </row>
    <row r="1104" spans="1:7" x14ac:dyDescent="0.3">
      <c r="A1104" s="2">
        <f t="shared" si="89"/>
        <v>46226.958333336006</v>
      </c>
      <c r="B1104">
        <v>6.5</v>
      </c>
      <c r="C1104" s="2">
        <f t="shared" si="85"/>
        <v>46226</v>
      </c>
      <c r="D1104" s="1">
        <f t="shared" si="86"/>
        <v>23</v>
      </c>
      <c r="E1104" t="str">
        <f t="shared" si="87"/>
        <v>Thursday</v>
      </c>
      <c r="F1104">
        <f>Assumptions!$B$2</f>
        <v>0.5</v>
      </c>
      <c r="G1104">
        <f t="shared" si="88"/>
        <v>3.25</v>
      </c>
    </row>
    <row r="1105" spans="1:7" x14ac:dyDescent="0.3">
      <c r="A1105" s="2">
        <f t="shared" si="89"/>
        <v>46226.979166669342</v>
      </c>
      <c r="B1105">
        <v>5.0999999999999996</v>
      </c>
      <c r="C1105" s="2">
        <f t="shared" si="85"/>
        <v>46226</v>
      </c>
      <c r="D1105" s="1">
        <f t="shared" si="86"/>
        <v>23.5</v>
      </c>
      <c r="E1105" t="str">
        <f t="shared" si="87"/>
        <v>Thursday</v>
      </c>
      <c r="F1105">
        <f>Assumptions!$B$2</f>
        <v>0.5</v>
      </c>
      <c r="G1105">
        <f t="shared" si="88"/>
        <v>2.5499999999999998</v>
      </c>
    </row>
    <row r="1106" spans="1:7" x14ac:dyDescent="0.3">
      <c r="A1106" s="2">
        <f t="shared" si="89"/>
        <v>46227.000000002678</v>
      </c>
      <c r="B1106">
        <v>2.9</v>
      </c>
      <c r="C1106" s="2">
        <f t="shared" si="85"/>
        <v>46227</v>
      </c>
      <c r="D1106" s="1">
        <f t="shared" si="86"/>
        <v>0</v>
      </c>
      <c r="E1106" t="str">
        <f t="shared" si="87"/>
        <v>Friday</v>
      </c>
      <c r="F1106">
        <f>Assumptions!$B$2</f>
        <v>0.5</v>
      </c>
      <c r="G1106">
        <f t="shared" si="88"/>
        <v>1.45</v>
      </c>
    </row>
    <row r="1107" spans="1:7" x14ac:dyDescent="0.3">
      <c r="A1107" s="2">
        <f t="shared" si="89"/>
        <v>46227.020833336013</v>
      </c>
      <c r="B1107">
        <v>2.4</v>
      </c>
      <c r="C1107" s="2">
        <f t="shared" si="85"/>
        <v>46227</v>
      </c>
      <c r="D1107" s="1">
        <f t="shared" si="86"/>
        <v>0.5</v>
      </c>
      <c r="E1107" t="str">
        <f t="shared" si="87"/>
        <v>Friday</v>
      </c>
      <c r="F1107">
        <f>Assumptions!$B$2</f>
        <v>0.5</v>
      </c>
      <c r="G1107">
        <f t="shared" si="88"/>
        <v>1.2</v>
      </c>
    </row>
    <row r="1108" spans="1:7" x14ac:dyDescent="0.3">
      <c r="A1108" s="2">
        <f t="shared" si="89"/>
        <v>46227.041666669349</v>
      </c>
      <c r="B1108">
        <v>2.5</v>
      </c>
      <c r="C1108" s="2">
        <f t="shared" si="85"/>
        <v>46227</v>
      </c>
      <c r="D1108" s="1">
        <f t="shared" si="86"/>
        <v>1</v>
      </c>
      <c r="E1108" t="str">
        <f t="shared" si="87"/>
        <v>Friday</v>
      </c>
      <c r="F1108">
        <f>Assumptions!$B$2</f>
        <v>0.5</v>
      </c>
      <c r="G1108">
        <f t="shared" si="88"/>
        <v>1.25</v>
      </c>
    </row>
    <row r="1109" spans="1:7" x14ac:dyDescent="0.3">
      <c r="A1109" s="2">
        <f t="shared" si="89"/>
        <v>46227.062500002685</v>
      </c>
      <c r="B1109">
        <v>2.8</v>
      </c>
      <c r="C1109" s="2">
        <f t="shared" si="85"/>
        <v>46227</v>
      </c>
      <c r="D1109" s="1">
        <f t="shared" si="86"/>
        <v>1.5</v>
      </c>
      <c r="E1109" t="str">
        <f t="shared" si="87"/>
        <v>Friday</v>
      </c>
      <c r="F1109">
        <f>Assumptions!$B$2</f>
        <v>0.5</v>
      </c>
      <c r="G1109">
        <f t="shared" si="88"/>
        <v>1.4</v>
      </c>
    </row>
    <row r="1110" spans="1:7" x14ac:dyDescent="0.3">
      <c r="A1110" s="2">
        <f t="shared" si="89"/>
        <v>46227.083333336021</v>
      </c>
      <c r="B1110">
        <v>1.8</v>
      </c>
      <c r="C1110" s="2">
        <f t="shared" si="85"/>
        <v>46227</v>
      </c>
      <c r="D1110" s="1">
        <f t="shared" si="86"/>
        <v>2</v>
      </c>
      <c r="E1110" t="str">
        <f t="shared" si="87"/>
        <v>Friday</v>
      </c>
      <c r="F1110">
        <f>Assumptions!$B$2</f>
        <v>0.5</v>
      </c>
      <c r="G1110">
        <f t="shared" si="88"/>
        <v>0.9</v>
      </c>
    </row>
    <row r="1111" spans="1:7" x14ac:dyDescent="0.3">
      <c r="A1111" s="2">
        <f t="shared" si="89"/>
        <v>46227.104166669356</v>
      </c>
      <c r="B1111">
        <v>2.7</v>
      </c>
      <c r="C1111" s="2">
        <f t="shared" si="85"/>
        <v>46227</v>
      </c>
      <c r="D1111" s="1">
        <f t="shared" si="86"/>
        <v>2.5</v>
      </c>
      <c r="E1111" t="str">
        <f t="shared" si="87"/>
        <v>Friday</v>
      </c>
      <c r="F1111">
        <f>Assumptions!$B$2</f>
        <v>0.5</v>
      </c>
      <c r="G1111">
        <f t="shared" si="88"/>
        <v>1.35</v>
      </c>
    </row>
    <row r="1112" spans="1:7" x14ac:dyDescent="0.3">
      <c r="A1112" s="2">
        <f t="shared" si="89"/>
        <v>46227.125000002692</v>
      </c>
      <c r="B1112">
        <v>2.9</v>
      </c>
      <c r="C1112" s="2">
        <f t="shared" si="85"/>
        <v>46227</v>
      </c>
      <c r="D1112" s="1">
        <f t="shared" si="86"/>
        <v>3</v>
      </c>
      <c r="E1112" t="str">
        <f t="shared" si="87"/>
        <v>Friday</v>
      </c>
      <c r="F1112">
        <f>Assumptions!$B$2</f>
        <v>0.5</v>
      </c>
      <c r="G1112">
        <f t="shared" si="88"/>
        <v>1.45</v>
      </c>
    </row>
    <row r="1113" spans="1:7" x14ac:dyDescent="0.3">
      <c r="A1113" s="2">
        <f t="shared" si="89"/>
        <v>46227.145833336028</v>
      </c>
      <c r="B1113">
        <v>2.2000000000000002</v>
      </c>
      <c r="C1113" s="2">
        <f t="shared" si="85"/>
        <v>46227</v>
      </c>
      <c r="D1113" s="1">
        <f t="shared" si="86"/>
        <v>3.5</v>
      </c>
      <c r="E1113" t="str">
        <f t="shared" si="87"/>
        <v>Friday</v>
      </c>
      <c r="F1113">
        <f>Assumptions!$B$2</f>
        <v>0.5</v>
      </c>
      <c r="G1113">
        <f t="shared" si="88"/>
        <v>1.1000000000000001</v>
      </c>
    </row>
    <row r="1114" spans="1:7" x14ac:dyDescent="0.3">
      <c r="A1114" s="2">
        <f t="shared" si="89"/>
        <v>46227.166666669364</v>
      </c>
      <c r="B1114">
        <v>1.9</v>
      </c>
      <c r="C1114" s="2">
        <f t="shared" si="85"/>
        <v>46227</v>
      </c>
      <c r="D1114" s="1">
        <f t="shared" si="86"/>
        <v>4</v>
      </c>
      <c r="E1114" t="str">
        <f t="shared" si="87"/>
        <v>Friday</v>
      </c>
      <c r="F1114">
        <f>Assumptions!$B$2</f>
        <v>0.5</v>
      </c>
      <c r="G1114">
        <f t="shared" si="88"/>
        <v>0.95</v>
      </c>
    </row>
    <row r="1115" spans="1:7" x14ac:dyDescent="0.3">
      <c r="A1115" s="2">
        <f t="shared" si="89"/>
        <v>46227.187500002699</v>
      </c>
      <c r="B1115">
        <v>2.2000000000000002</v>
      </c>
      <c r="C1115" s="2">
        <f t="shared" si="85"/>
        <v>46227</v>
      </c>
      <c r="D1115" s="1">
        <f t="shared" si="86"/>
        <v>4.5</v>
      </c>
      <c r="E1115" t="str">
        <f t="shared" si="87"/>
        <v>Friday</v>
      </c>
      <c r="F1115">
        <f>Assumptions!$B$2</f>
        <v>0.5</v>
      </c>
      <c r="G1115">
        <f t="shared" si="88"/>
        <v>1.1000000000000001</v>
      </c>
    </row>
    <row r="1116" spans="1:7" x14ac:dyDescent="0.3">
      <c r="A1116" s="2">
        <f t="shared" si="89"/>
        <v>46227.208333336035</v>
      </c>
      <c r="B1116">
        <v>2.6</v>
      </c>
      <c r="C1116" s="2">
        <f t="shared" si="85"/>
        <v>46227</v>
      </c>
      <c r="D1116" s="1">
        <f t="shared" si="86"/>
        <v>5</v>
      </c>
      <c r="E1116" t="str">
        <f t="shared" si="87"/>
        <v>Friday</v>
      </c>
      <c r="F1116">
        <f>Assumptions!$B$2</f>
        <v>0.5</v>
      </c>
      <c r="G1116">
        <f t="shared" si="88"/>
        <v>1.3</v>
      </c>
    </row>
    <row r="1117" spans="1:7" x14ac:dyDescent="0.3">
      <c r="A1117" s="2">
        <f t="shared" si="89"/>
        <v>46227.229166669371</v>
      </c>
      <c r="B1117">
        <v>2.4</v>
      </c>
      <c r="C1117" s="2">
        <f t="shared" si="85"/>
        <v>46227</v>
      </c>
      <c r="D1117" s="1">
        <f t="shared" si="86"/>
        <v>5.5</v>
      </c>
      <c r="E1117" t="str">
        <f t="shared" si="87"/>
        <v>Friday</v>
      </c>
      <c r="F1117">
        <f>Assumptions!$B$2</f>
        <v>0.5</v>
      </c>
      <c r="G1117">
        <f t="shared" si="88"/>
        <v>1.2</v>
      </c>
    </row>
    <row r="1118" spans="1:7" x14ac:dyDescent="0.3">
      <c r="A1118" s="2">
        <f t="shared" si="89"/>
        <v>46227.250000002707</v>
      </c>
      <c r="B1118">
        <v>6.7</v>
      </c>
      <c r="C1118" s="2">
        <f t="shared" si="85"/>
        <v>46227</v>
      </c>
      <c r="D1118" s="1">
        <f t="shared" si="86"/>
        <v>6</v>
      </c>
      <c r="E1118" t="str">
        <f t="shared" si="87"/>
        <v>Friday</v>
      </c>
      <c r="F1118">
        <f>Assumptions!$B$2</f>
        <v>0.5</v>
      </c>
      <c r="G1118">
        <f t="shared" si="88"/>
        <v>3.35</v>
      </c>
    </row>
    <row r="1119" spans="1:7" x14ac:dyDescent="0.3">
      <c r="A1119" s="2">
        <f t="shared" si="89"/>
        <v>46227.270833336042</v>
      </c>
      <c r="B1119">
        <v>5.3</v>
      </c>
      <c r="C1119" s="2">
        <f t="shared" si="85"/>
        <v>46227</v>
      </c>
      <c r="D1119" s="1">
        <f t="shared" si="86"/>
        <v>6.5</v>
      </c>
      <c r="E1119" t="str">
        <f t="shared" si="87"/>
        <v>Friday</v>
      </c>
      <c r="F1119">
        <f>Assumptions!$B$2</f>
        <v>0.5</v>
      </c>
      <c r="G1119">
        <f t="shared" si="88"/>
        <v>2.65</v>
      </c>
    </row>
    <row r="1120" spans="1:7" x14ac:dyDescent="0.3">
      <c r="A1120" s="2">
        <f t="shared" si="89"/>
        <v>46227.291666669378</v>
      </c>
      <c r="B1120">
        <v>4.2</v>
      </c>
      <c r="C1120" s="2">
        <f t="shared" si="85"/>
        <v>46227</v>
      </c>
      <c r="D1120" s="1">
        <f t="shared" si="86"/>
        <v>7</v>
      </c>
      <c r="E1120" t="str">
        <f t="shared" si="87"/>
        <v>Friday</v>
      </c>
      <c r="F1120">
        <f>Assumptions!$B$2</f>
        <v>0.5</v>
      </c>
      <c r="G1120">
        <f t="shared" si="88"/>
        <v>2.1</v>
      </c>
    </row>
    <row r="1121" spans="1:7" x14ac:dyDescent="0.3">
      <c r="A1121" s="2">
        <f t="shared" si="89"/>
        <v>46227.312500002714</v>
      </c>
      <c r="B1121">
        <v>6</v>
      </c>
      <c r="C1121" s="2">
        <f t="shared" si="85"/>
        <v>46227</v>
      </c>
      <c r="D1121" s="1">
        <f t="shared" si="86"/>
        <v>7.5</v>
      </c>
      <c r="E1121" t="str">
        <f t="shared" si="87"/>
        <v>Friday</v>
      </c>
      <c r="F1121">
        <f>Assumptions!$B$2</f>
        <v>0.5</v>
      </c>
      <c r="G1121">
        <f t="shared" si="88"/>
        <v>3</v>
      </c>
    </row>
    <row r="1122" spans="1:7" x14ac:dyDescent="0.3">
      <c r="A1122" s="2">
        <f t="shared" si="89"/>
        <v>46227.33333333605</v>
      </c>
      <c r="B1122">
        <v>14.6</v>
      </c>
      <c r="C1122" s="2">
        <f t="shared" si="85"/>
        <v>46227</v>
      </c>
      <c r="D1122" s="1">
        <f t="shared" si="86"/>
        <v>8</v>
      </c>
      <c r="E1122" t="str">
        <f t="shared" si="87"/>
        <v>Friday</v>
      </c>
      <c r="F1122">
        <f>Assumptions!$B$2</f>
        <v>0.5</v>
      </c>
      <c r="G1122">
        <f t="shared" si="88"/>
        <v>7.3</v>
      </c>
    </row>
    <row r="1123" spans="1:7" x14ac:dyDescent="0.3">
      <c r="A1123" s="2">
        <f t="shared" si="89"/>
        <v>46227.354166669385</v>
      </c>
      <c r="B1123">
        <v>22</v>
      </c>
      <c r="C1123" s="2">
        <f t="shared" si="85"/>
        <v>46227</v>
      </c>
      <c r="D1123" s="1">
        <f t="shared" si="86"/>
        <v>8.5</v>
      </c>
      <c r="E1123" t="str">
        <f t="shared" si="87"/>
        <v>Friday</v>
      </c>
      <c r="F1123">
        <f>Assumptions!$B$2</f>
        <v>0.5</v>
      </c>
      <c r="G1123">
        <f t="shared" si="88"/>
        <v>11</v>
      </c>
    </row>
    <row r="1124" spans="1:7" x14ac:dyDescent="0.3">
      <c r="A1124" s="2">
        <f t="shared" si="89"/>
        <v>46227.375000002721</v>
      </c>
      <c r="B1124">
        <v>17.3</v>
      </c>
      <c r="C1124" s="2">
        <f t="shared" si="85"/>
        <v>46227</v>
      </c>
      <c r="D1124" s="1">
        <f t="shared" si="86"/>
        <v>9</v>
      </c>
      <c r="E1124" t="str">
        <f t="shared" si="87"/>
        <v>Friday</v>
      </c>
      <c r="F1124">
        <f>Assumptions!$B$2</f>
        <v>0.5</v>
      </c>
      <c r="G1124">
        <f t="shared" si="88"/>
        <v>8.65</v>
      </c>
    </row>
    <row r="1125" spans="1:7" x14ac:dyDescent="0.3">
      <c r="A1125" s="2">
        <f t="shared" si="89"/>
        <v>46227.395833336057</v>
      </c>
      <c r="B1125">
        <v>16.600000000000001</v>
      </c>
      <c r="C1125" s="2">
        <f t="shared" si="85"/>
        <v>46227</v>
      </c>
      <c r="D1125" s="1">
        <f t="shared" si="86"/>
        <v>9.5</v>
      </c>
      <c r="E1125" t="str">
        <f t="shared" si="87"/>
        <v>Friday</v>
      </c>
      <c r="F1125">
        <f>Assumptions!$B$2</f>
        <v>0.5</v>
      </c>
      <c r="G1125">
        <f t="shared" si="88"/>
        <v>8.3000000000000007</v>
      </c>
    </row>
    <row r="1126" spans="1:7" x14ac:dyDescent="0.3">
      <c r="A1126" s="2">
        <f t="shared" si="89"/>
        <v>46227.416666669393</v>
      </c>
      <c r="B1126">
        <v>19.2</v>
      </c>
      <c r="C1126" s="2">
        <f t="shared" si="85"/>
        <v>46227</v>
      </c>
      <c r="D1126" s="1">
        <f t="shared" si="86"/>
        <v>10</v>
      </c>
      <c r="E1126" t="str">
        <f t="shared" si="87"/>
        <v>Friday</v>
      </c>
      <c r="F1126">
        <f>Assumptions!$B$2</f>
        <v>0.5</v>
      </c>
      <c r="G1126">
        <f t="shared" si="88"/>
        <v>9.6</v>
      </c>
    </row>
    <row r="1127" spans="1:7" x14ac:dyDescent="0.3">
      <c r="A1127" s="2">
        <f t="shared" si="89"/>
        <v>46227.437500002728</v>
      </c>
      <c r="B1127">
        <v>21.9</v>
      </c>
      <c r="C1127" s="2">
        <f t="shared" si="85"/>
        <v>46227</v>
      </c>
      <c r="D1127" s="1">
        <f t="shared" si="86"/>
        <v>10.5</v>
      </c>
      <c r="E1127" t="str">
        <f t="shared" si="87"/>
        <v>Friday</v>
      </c>
      <c r="F1127">
        <f>Assumptions!$B$2</f>
        <v>0.5</v>
      </c>
      <c r="G1127">
        <f t="shared" si="88"/>
        <v>10.95</v>
      </c>
    </row>
    <row r="1128" spans="1:7" x14ac:dyDescent="0.3">
      <c r="A1128" s="2">
        <f t="shared" si="89"/>
        <v>46227.458333336064</v>
      </c>
      <c r="B1128">
        <v>18.600000000000001</v>
      </c>
      <c r="C1128" s="2">
        <f t="shared" si="85"/>
        <v>46227</v>
      </c>
      <c r="D1128" s="1">
        <f t="shared" si="86"/>
        <v>11</v>
      </c>
      <c r="E1128" t="str">
        <f t="shared" si="87"/>
        <v>Friday</v>
      </c>
      <c r="F1128">
        <f>Assumptions!$B$2</f>
        <v>0.5</v>
      </c>
      <c r="G1128">
        <f t="shared" si="88"/>
        <v>9.3000000000000007</v>
      </c>
    </row>
    <row r="1129" spans="1:7" x14ac:dyDescent="0.3">
      <c r="A1129" s="2">
        <f t="shared" si="89"/>
        <v>46227.4791666694</v>
      </c>
      <c r="B1129">
        <v>14.4</v>
      </c>
      <c r="C1129" s="2">
        <f t="shared" si="85"/>
        <v>46227</v>
      </c>
      <c r="D1129" s="1">
        <f t="shared" si="86"/>
        <v>11.5</v>
      </c>
      <c r="E1129" t="str">
        <f t="shared" si="87"/>
        <v>Friday</v>
      </c>
      <c r="F1129">
        <f>Assumptions!$B$2</f>
        <v>0.5</v>
      </c>
      <c r="G1129">
        <f t="shared" si="88"/>
        <v>7.2</v>
      </c>
    </row>
    <row r="1130" spans="1:7" x14ac:dyDescent="0.3">
      <c r="A1130" s="2">
        <f t="shared" si="89"/>
        <v>46227.500000002736</v>
      </c>
      <c r="B1130">
        <v>23.2</v>
      </c>
      <c r="C1130" s="2">
        <f t="shared" si="85"/>
        <v>46227</v>
      </c>
      <c r="D1130" s="1">
        <f t="shared" si="86"/>
        <v>12</v>
      </c>
      <c r="E1130" t="str">
        <f t="shared" si="87"/>
        <v>Friday</v>
      </c>
      <c r="F1130">
        <f>Assumptions!$B$2</f>
        <v>0.5</v>
      </c>
      <c r="G1130">
        <f t="shared" si="88"/>
        <v>11.6</v>
      </c>
    </row>
    <row r="1131" spans="1:7" x14ac:dyDescent="0.3">
      <c r="A1131" s="2">
        <f t="shared" si="89"/>
        <v>46227.520833336072</v>
      </c>
      <c r="B1131">
        <v>21.9</v>
      </c>
      <c r="C1131" s="2">
        <f t="shared" si="85"/>
        <v>46227</v>
      </c>
      <c r="D1131" s="1">
        <f t="shared" si="86"/>
        <v>12.5</v>
      </c>
      <c r="E1131" t="str">
        <f t="shared" si="87"/>
        <v>Friday</v>
      </c>
      <c r="F1131">
        <f>Assumptions!$B$2</f>
        <v>0.5</v>
      </c>
      <c r="G1131">
        <f t="shared" si="88"/>
        <v>10.95</v>
      </c>
    </row>
    <row r="1132" spans="1:7" x14ac:dyDescent="0.3">
      <c r="A1132" s="2">
        <f t="shared" si="89"/>
        <v>46227.541666669407</v>
      </c>
      <c r="B1132">
        <v>23.7</v>
      </c>
      <c r="C1132" s="2">
        <f t="shared" si="85"/>
        <v>46227</v>
      </c>
      <c r="D1132" s="1">
        <f t="shared" si="86"/>
        <v>13</v>
      </c>
      <c r="E1132" t="str">
        <f t="shared" si="87"/>
        <v>Friday</v>
      </c>
      <c r="F1132">
        <f>Assumptions!$B$2</f>
        <v>0.5</v>
      </c>
      <c r="G1132">
        <f t="shared" si="88"/>
        <v>11.85</v>
      </c>
    </row>
    <row r="1133" spans="1:7" x14ac:dyDescent="0.3">
      <c r="A1133" s="2">
        <f t="shared" si="89"/>
        <v>46227.562500002743</v>
      </c>
      <c r="B1133">
        <v>29</v>
      </c>
      <c r="C1133" s="2">
        <f t="shared" si="85"/>
        <v>46227</v>
      </c>
      <c r="D1133" s="1">
        <f t="shared" si="86"/>
        <v>13.5</v>
      </c>
      <c r="E1133" t="str">
        <f t="shared" si="87"/>
        <v>Friday</v>
      </c>
      <c r="F1133">
        <f>Assumptions!$B$2</f>
        <v>0.5</v>
      </c>
      <c r="G1133">
        <f t="shared" si="88"/>
        <v>14.5</v>
      </c>
    </row>
    <row r="1134" spans="1:7" x14ac:dyDescent="0.3">
      <c r="A1134" s="2">
        <f t="shared" si="89"/>
        <v>46227.583333336079</v>
      </c>
      <c r="B1134">
        <v>28.2</v>
      </c>
      <c r="C1134" s="2">
        <f t="shared" si="85"/>
        <v>46227</v>
      </c>
      <c r="D1134" s="1">
        <f t="shared" si="86"/>
        <v>14</v>
      </c>
      <c r="E1134" t="str">
        <f t="shared" si="87"/>
        <v>Friday</v>
      </c>
      <c r="F1134">
        <f>Assumptions!$B$2</f>
        <v>0.5</v>
      </c>
      <c r="G1134">
        <f t="shared" si="88"/>
        <v>14.1</v>
      </c>
    </row>
    <row r="1135" spans="1:7" x14ac:dyDescent="0.3">
      <c r="A1135" s="2">
        <f t="shared" si="89"/>
        <v>46227.604166669415</v>
      </c>
      <c r="B1135">
        <v>28.5</v>
      </c>
      <c r="C1135" s="2">
        <f t="shared" si="85"/>
        <v>46227</v>
      </c>
      <c r="D1135" s="1">
        <f t="shared" si="86"/>
        <v>14.5</v>
      </c>
      <c r="E1135" t="str">
        <f t="shared" si="87"/>
        <v>Friday</v>
      </c>
      <c r="F1135">
        <f>Assumptions!$B$2</f>
        <v>0.5</v>
      </c>
      <c r="G1135">
        <f t="shared" si="88"/>
        <v>14.25</v>
      </c>
    </row>
    <row r="1136" spans="1:7" x14ac:dyDescent="0.3">
      <c r="A1136" s="2">
        <f t="shared" si="89"/>
        <v>46227.62500000275</v>
      </c>
      <c r="B1136">
        <v>34.200000000000003</v>
      </c>
      <c r="C1136" s="2">
        <f t="shared" si="85"/>
        <v>46227</v>
      </c>
      <c r="D1136" s="1">
        <f t="shared" si="86"/>
        <v>15</v>
      </c>
      <c r="E1136" t="str">
        <f t="shared" si="87"/>
        <v>Friday</v>
      </c>
      <c r="F1136">
        <f>Assumptions!$B$2</f>
        <v>0.5</v>
      </c>
      <c r="G1136">
        <f t="shared" si="88"/>
        <v>17.100000000000001</v>
      </c>
    </row>
    <row r="1137" spans="1:7" x14ac:dyDescent="0.3">
      <c r="A1137" s="2">
        <f t="shared" si="89"/>
        <v>46227.645833336086</v>
      </c>
      <c r="B1137">
        <v>23.7</v>
      </c>
      <c r="C1137" s="2">
        <f t="shared" si="85"/>
        <v>46227</v>
      </c>
      <c r="D1137" s="1">
        <f t="shared" si="86"/>
        <v>15.5</v>
      </c>
      <c r="E1137" t="str">
        <f t="shared" si="87"/>
        <v>Friday</v>
      </c>
      <c r="F1137">
        <f>Assumptions!$B$2</f>
        <v>0.5</v>
      </c>
      <c r="G1137">
        <f t="shared" si="88"/>
        <v>11.85</v>
      </c>
    </row>
    <row r="1138" spans="1:7" x14ac:dyDescent="0.3">
      <c r="A1138" s="2">
        <f t="shared" si="89"/>
        <v>46227.666666669422</v>
      </c>
      <c r="B1138">
        <v>18</v>
      </c>
      <c r="C1138" s="2">
        <f t="shared" si="85"/>
        <v>46227</v>
      </c>
      <c r="D1138" s="1">
        <f t="shared" si="86"/>
        <v>16</v>
      </c>
      <c r="E1138" t="str">
        <f t="shared" si="87"/>
        <v>Friday</v>
      </c>
      <c r="F1138">
        <f>Assumptions!$B$2</f>
        <v>0.5</v>
      </c>
      <c r="G1138">
        <f t="shared" si="88"/>
        <v>9</v>
      </c>
    </row>
    <row r="1139" spans="1:7" x14ac:dyDescent="0.3">
      <c r="A1139" s="2">
        <f t="shared" si="89"/>
        <v>46227.687500002758</v>
      </c>
      <c r="B1139">
        <v>10.8</v>
      </c>
      <c r="C1139" s="2">
        <f t="shared" si="85"/>
        <v>46227</v>
      </c>
      <c r="D1139" s="1">
        <f t="shared" si="86"/>
        <v>16.5</v>
      </c>
      <c r="E1139" t="str">
        <f t="shared" si="87"/>
        <v>Friday</v>
      </c>
      <c r="F1139">
        <f>Assumptions!$B$2</f>
        <v>0.5</v>
      </c>
      <c r="G1139">
        <f t="shared" si="88"/>
        <v>5.4</v>
      </c>
    </row>
    <row r="1140" spans="1:7" x14ac:dyDescent="0.3">
      <c r="A1140" s="2">
        <f t="shared" si="89"/>
        <v>46227.708333336093</v>
      </c>
      <c r="B1140">
        <v>10.9</v>
      </c>
      <c r="C1140" s="2">
        <f t="shared" si="85"/>
        <v>46227</v>
      </c>
      <c r="D1140" s="1">
        <f t="shared" si="86"/>
        <v>17</v>
      </c>
      <c r="E1140" t="str">
        <f t="shared" si="87"/>
        <v>Friday</v>
      </c>
      <c r="F1140">
        <f>Assumptions!$B$2</f>
        <v>0.5</v>
      </c>
      <c r="G1140">
        <f t="shared" si="88"/>
        <v>5.45</v>
      </c>
    </row>
    <row r="1141" spans="1:7" x14ac:dyDescent="0.3">
      <c r="A1141" s="2">
        <f t="shared" si="89"/>
        <v>46227.729166669429</v>
      </c>
      <c r="B1141">
        <v>10.8</v>
      </c>
      <c r="C1141" s="2">
        <f t="shared" si="85"/>
        <v>46227</v>
      </c>
      <c r="D1141" s="1">
        <f t="shared" si="86"/>
        <v>17.5</v>
      </c>
      <c r="E1141" t="str">
        <f t="shared" si="87"/>
        <v>Friday</v>
      </c>
      <c r="F1141">
        <f>Assumptions!$B$2</f>
        <v>0.5</v>
      </c>
      <c r="G1141">
        <f t="shared" si="88"/>
        <v>5.4</v>
      </c>
    </row>
    <row r="1142" spans="1:7" x14ac:dyDescent="0.3">
      <c r="A1142" s="2">
        <f t="shared" si="89"/>
        <v>46227.750000002765</v>
      </c>
      <c r="B1142">
        <v>12.7</v>
      </c>
      <c r="C1142" s="2">
        <f t="shared" si="85"/>
        <v>46227</v>
      </c>
      <c r="D1142" s="1">
        <f t="shared" si="86"/>
        <v>18</v>
      </c>
      <c r="E1142" t="str">
        <f t="shared" si="87"/>
        <v>Friday</v>
      </c>
      <c r="F1142">
        <f>Assumptions!$B$2</f>
        <v>0.5</v>
      </c>
      <c r="G1142">
        <f t="shared" si="88"/>
        <v>6.35</v>
      </c>
    </row>
    <row r="1143" spans="1:7" x14ac:dyDescent="0.3">
      <c r="A1143" s="2">
        <f t="shared" si="89"/>
        <v>46227.770833336101</v>
      </c>
      <c r="B1143">
        <v>12.2</v>
      </c>
      <c r="C1143" s="2">
        <f t="shared" si="85"/>
        <v>46227</v>
      </c>
      <c r="D1143" s="1">
        <f t="shared" si="86"/>
        <v>18.5</v>
      </c>
      <c r="E1143" t="str">
        <f t="shared" si="87"/>
        <v>Friday</v>
      </c>
      <c r="F1143">
        <f>Assumptions!$B$2</f>
        <v>0.5</v>
      </c>
      <c r="G1143">
        <f t="shared" si="88"/>
        <v>6.1</v>
      </c>
    </row>
    <row r="1144" spans="1:7" x14ac:dyDescent="0.3">
      <c r="A1144" s="2">
        <f t="shared" si="89"/>
        <v>46227.791666669436</v>
      </c>
      <c r="B1144">
        <v>6.7</v>
      </c>
      <c r="C1144" s="2">
        <f t="shared" si="85"/>
        <v>46227</v>
      </c>
      <c r="D1144" s="1">
        <f t="shared" si="86"/>
        <v>19</v>
      </c>
      <c r="E1144" t="str">
        <f t="shared" si="87"/>
        <v>Friday</v>
      </c>
      <c r="F1144">
        <f>Assumptions!$B$2</f>
        <v>0.5</v>
      </c>
      <c r="G1144">
        <f t="shared" si="88"/>
        <v>3.35</v>
      </c>
    </row>
    <row r="1145" spans="1:7" x14ac:dyDescent="0.3">
      <c r="A1145" s="2">
        <f t="shared" si="89"/>
        <v>46227.812500002772</v>
      </c>
      <c r="B1145">
        <v>3.2</v>
      </c>
      <c r="C1145" s="2">
        <f t="shared" si="85"/>
        <v>46227</v>
      </c>
      <c r="D1145" s="1">
        <f t="shared" si="86"/>
        <v>19.5</v>
      </c>
      <c r="E1145" t="str">
        <f t="shared" si="87"/>
        <v>Friday</v>
      </c>
      <c r="F1145">
        <f>Assumptions!$B$2</f>
        <v>0.5</v>
      </c>
      <c r="G1145">
        <f t="shared" si="88"/>
        <v>1.6</v>
      </c>
    </row>
    <row r="1146" spans="1:7" x14ac:dyDescent="0.3">
      <c r="A1146" s="2">
        <f t="shared" si="89"/>
        <v>46227.833333336108</v>
      </c>
      <c r="B1146">
        <v>3.3</v>
      </c>
      <c r="C1146" s="2">
        <f t="shared" si="85"/>
        <v>46227</v>
      </c>
      <c r="D1146" s="1">
        <f t="shared" si="86"/>
        <v>20</v>
      </c>
      <c r="E1146" t="str">
        <f t="shared" si="87"/>
        <v>Friday</v>
      </c>
      <c r="F1146">
        <f>Assumptions!$B$2</f>
        <v>0.5</v>
      </c>
      <c r="G1146">
        <f t="shared" si="88"/>
        <v>1.65</v>
      </c>
    </row>
    <row r="1147" spans="1:7" x14ac:dyDescent="0.3">
      <c r="A1147" s="2">
        <f t="shared" si="89"/>
        <v>46227.854166669444</v>
      </c>
      <c r="B1147">
        <v>7.2</v>
      </c>
      <c r="C1147" s="2">
        <f t="shared" si="85"/>
        <v>46227</v>
      </c>
      <c r="D1147" s="1">
        <f t="shared" si="86"/>
        <v>20.5</v>
      </c>
      <c r="E1147" t="str">
        <f t="shared" si="87"/>
        <v>Friday</v>
      </c>
      <c r="F1147">
        <f>Assumptions!$B$2</f>
        <v>0.5</v>
      </c>
      <c r="G1147">
        <f t="shared" si="88"/>
        <v>3.6</v>
      </c>
    </row>
    <row r="1148" spans="1:7" x14ac:dyDescent="0.3">
      <c r="A1148" s="2">
        <f t="shared" si="89"/>
        <v>46227.875000002779</v>
      </c>
      <c r="B1148">
        <v>4.9000000000000004</v>
      </c>
      <c r="C1148" s="2">
        <f t="shared" si="85"/>
        <v>46227</v>
      </c>
      <c r="D1148" s="1">
        <f t="shared" si="86"/>
        <v>21</v>
      </c>
      <c r="E1148" t="str">
        <f t="shared" si="87"/>
        <v>Friday</v>
      </c>
      <c r="F1148">
        <f>Assumptions!$B$2</f>
        <v>0.5</v>
      </c>
      <c r="G1148">
        <f t="shared" si="88"/>
        <v>2.4500000000000002</v>
      </c>
    </row>
    <row r="1149" spans="1:7" x14ac:dyDescent="0.3">
      <c r="A1149" s="2">
        <f t="shared" si="89"/>
        <v>46227.895833336115</v>
      </c>
      <c r="B1149">
        <v>4.9000000000000004</v>
      </c>
      <c r="C1149" s="2">
        <f t="shared" si="85"/>
        <v>46227</v>
      </c>
      <c r="D1149" s="1">
        <f t="shared" si="86"/>
        <v>21.5</v>
      </c>
      <c r="E1149" t="str">
        <f t="shared" si="87"/>
        <v>Friday</v>
      </c>
      <c r="F1149">
        <f>Assumptions!$B$2</f>
        <v>0.5</v>
      </c>
      <c r="G1149">
        <f t="shared" si="88"/>
        <v>2.4500000000000002</v>
      </c>
    </row>
    <row r="1150" spans="1:7" x14ac:dyDescent="0.3">
      <c r="A1150" s="2">
        <f t="shared" si="89"/>
        <v>46227.916666669451</v>
      </c>
      <c r="B1150">
        <v>5.3</v>
      </c>
      <c r="C1150" s="2">
        <f t="shared" si="85"/>
        <v>46227</v>
      </c>
      <c r="D1150" s="1">
        <f t="shared" si="86"/>
        <v>22</v>
      </c>
      <c r="E1150" t="str">
        <f t="shared" si="87"/>
        <v>Friday</v>
      </c>
      <c r="F1150">
        <f>Assumptions!$B$2</f>
        <v>0.5</v>
      </c>
      <c r="G1150">
        <f t="shared" si="88"/>
        <v>2.65</v>
      </c>
    </row>
    <row r="1151" spans="1:7" x14ac:dyDescent="0.3">
      <c r="A1151" s="2">
        <f t="shared" si="89"/>
        <v>46227.937500002787</v>
      </c>
      <c r="B1151">
        <v>7</v>
      </c>
      <c r="C1151" s="2">
        <f t="shared" si="85"/>
        <v>46227</v>
      </c>
      <c r="D1151" s="1">
        <f t="shared" si="86"/>
        <v>22.5</v>
      </c>
      <c r="E1151" t="str">
        <f t="shared" si="87"/>
        <v>Friday</v>
      </c>
      <c r="F1151">
        <f>Assumptions!$B$2</f>
        <v>0.5</v>
      </c>
      <c r="G1151">
        <f t="shared" si="88"/>
        <v>3.5</v>
      </c>
    </row>
    <row r="1152" spans="1:7" x14ac:dyDescent="0.3">
      <c r="A1152" s="2">
        <f t="shared" si="89"/>
        <v>46227.958333336122</v>
      </c>
      <c r="B1152">
        <v>8</v>
      </c>
      <c r="C1152" s="2">
        <f t="shared" si="85"/>
        <v>46227</v>
      </c>
      <c r="D1152" s="1">
        <f t="shared" si="86"/>
        <v>23</v>
      </c>
      <c r="E1152" t="str">
        <f t="shared" si="87"/>
        <v>Friday</v>
      </c>
      <c r="F1152">
        <f>Assumptions!$B$2</f>
        <v>0.5</v>
      </c>
      <c r="G1152">
        <f t="shared" si="88"/>
        <v>4</v>
      </c>
    </row>
    <row r="1153" spans="1:7" x14ac:dyDescent="0.3">
      <c r="A1153" s="2">
        <f t="shared" si="89"/>
        <v>46227.979166669458</v>
      </c>
      <c r="B1153">
        <v>3.2</v>
      </c>
      <c r="C1153" s="2">
        <f t="shared" si="85"/>
        <v>46227</v>
      </c>
      <c r="D1153" s="1">
        <f t="shared" si="86"/>
        <v>23.5</v>
      </c>
      <c r="E1153" t="str">
        <f t="shared" si="87"/>
        <v>Friday</v>
      </c>
      <c r="F1153">
        <f>Assumptions!$B$2</f>
        <v>0.5</v>
      </c>
      <c r="G1153">
        <f t="shared" si="88"/>
        <v>1.6</v>
      </c>
    </row>
    <row r="1154" spans="1:7" x14ac:dyDescent="0.3">
      <c r="A1154" s="2">
        <f t="shared" si="89"/>
        <v>46228.000000002794</v>
      </c>
      <c r="B1154">
        <v>2.7</v>
      </c>
      <c r="C1154" s="2">
        <f t="shared" si="85"/>
        <v>46228</v>
      </c>
      <c r="D1154" s="1">
        <f t="shared" si="86"/>
        <v>0</v>
      </c>
      <c r="E1154" t="str">
        <f t="shared" si="87"/>
        <v>Saturday</v>
      </c>
      <c r="F1154">
        <f>Assumptions!$B$2</f>
        <v>0.5</v>
      </c>
      <c r="G1154">
        <f t="shared" si="88"/>
        <v>1.35</v>
      </c>
    </row>
    <row r="1155" spans="1:7" x14ac:dyDescent="0.3">
      <c r="A1155" s="2">
        <f t="shared" si="89"/>
        <v>46228.02083333613</v>
      </c>
      <c r="B1155">
        <v>2.1</v>
      </c>
      <c r="C1155" s="2">
        <f t="shared" ref="C1155:C1218" si="90">INT(A1155)</f>
        <v>46228</v>
      </c>
      <c r="D1155" s="1">
        <f t="shared" ref="D1155:D1218" si="91">HOUR(A1155)+MINUTE(A1155)/60</f>
        <v>0.5</v>
      </c>
      <c r="E1155" t="str">
        <f t="shared" ref="E1155:E1218" si="92">TEXT(A1155,"dddd")</f>
        <v>Saturday</v>
      </c>
      <c r="F1155">
        <f>Assumptions!$B$2</f>
        <v>0.5</v>
      </c>
      <c r="G1155">
        <f t="shared" ref="G1155:G1218" si="93">B1155*F1155</f>
        <v>1.05</v>
      </c>
    </row>
    <row r="1156" spans="1:7" x14ac:dyDescent="0.3">
      <c r="A1156" s="2">
        <f t="shared" ref="A1156:A1219" si="94">A1155+TIME(0,30,0)</f>
        <v>46228.041666669465</v>
      </c>
      <c r="B1156">
        <v>2.5</v>
      </c>
      <c r="C1156" s="2">
        <f t="shared" si="90"/>
        <v>46228</v>
      </c>
      <c r="D1156" s="1">
        <f t="shared" si="91"/>
        <v>1</v>
      </c>
      <c r="E1156" t="str">
        <f t="shared" si="92"/>
        <v>Saturday</v>
      </c>
      <c r="F1156">
        <f>Assumptions!$B$2</f>
        <v>0.5</v>
      </c>
      <c r="G1156">
        <f t="shared" si="93"/>
        <v>1.25</v>
      </c>
    </row>
    <row r="1157" spans="1:7" x14ac:dyDescent="0.3">
      <c r="A1157" s="2">
        <f t="shared" si="94"/>
        <v>46228.062500002801</v>
      </c>
      <c r="B1157">
        <v>2</v>
      </c>
      <c r="C1157" s="2">
        <f t="shared" si="90"/>
        <v>46228</v>
      </c>
      <c r="D1157" s="1">
        <f t="shared" si="91"/>
        <v>1.5</v>
      </c>
      <c r="E1157" t="str">
        <f t="shared" si="92"/>
        <v>Saturday</v>
      </c>
      <c r="F1157">
        <f>Assumptions!$B$2</f>
        <v>0.5</v>
      </c>
      <c r="G1157">
        <f t="shared" si="93"/>
        <v>1</v>
      </c>
    </row>
    <row r="1158" spans="1:7" x14ac:dyDescent="0.3">
      <c r="A1158" s="2">
        <f t="shared" si="94"/>
        <v>46228.083333336137</v>
      </c>
      <c r="B1158">
        <v>2.2000000000000002</v>
      </c>
      <c r="C1158" s="2">
        <f t="shared" si="90"/>
        <v>46228</v>
      </c>
      <c r="D1158" s="1">
        <f t="shared" si="91"/>
        <v>2</v>
      </c>
      <c r="E1158" t="str">
        <f t="shared" si="92"/>
        <v>Saturday</v>
      </c>
      <c r="F1158">
        <f>Assumptions!$B$2</f>
        <v>0.5</v>
      </c>
      <c r="G1158">
        <f t="shared" si="93"/>
        <v>1.1000000000000001</v>
      </c>
    </row>
    <row r="1159" spans="1:7" x14ac:dyDescent="0.3">
      <c r="A1159" s="2">
        <f t="shared" si="94"/>
        <v>46228.104166669473</v>
      </c>
      <c r="B1159">
        <v>2.7</v>
      </c>
      <c r="C1159" s="2">
        <f t="shared" si="90"/>
        <v>46228</v>
      </c>
      <c r="D1159" s="1">
        <f t="shared" si="91"/>
        <v>2.5</v>
      </c>
      <c r="E1159" t="str">
        <f t="shared" si="92"/>
        <v>Saturday</v>
      </c>
      <c r="F1159">
        <f>Assumptions!$B$2</f>
        <v>0.5</v>
      </c>
      <c r="G1159">
        <f t="shared" si="93"/>
        <v>1.35</v>
      </c>
    </row>
    <row r="1160" spans="1:7" x14ac:dyDescent="0.3">
      <c r="A1160" s="2">
        <f t="shared" si="94"/>
        <v>46228.125000002809</v>
      </c>
      <c r="B1160">
        <v>2.7</v>
      </c>
      <c r="C1160" s="2">
        <f t="shared" si="90"/>
        <v>46228</v>
      </c>
      <c r="D1160" s="1">
        <f t="shared" si="91"/>
        <v>3</v>
      </c>
      <c r="E1160" t="str">
        <f t="shared" si="92"/>
        <v>Saturday</v>
      </c>
      <c r="F1160">
        <f>Assumptions!$B$2</f>
        <v>0.5</v>
      </c>
      <c r="G1160">
        <f t="shared" si="93"/>
        <v>1.35</v>
      </c>
    </row>
    <row r="1161" spans="1:7" x14ac:dyDescent="0.3">
      <c r="A1161" s="2">
        <f t="shared" si="94"/>
        <v>46228.145833336144</v>
      </c>
      <c r="B1161">
        <v>2.5</v>
      </c>
      <c r="C1161" s="2">
        <f t="shared" si="90"/>
        <v>46228</v>
      </c>
      <c r="D1161" s="1">
        <f t="shared" si="91"/>
        <v>3.5</v>
      </c>
      <c r="E1161" t="str">
        <f t="shared" si="92"/>
        <v>Saturday</v>
      </c>
      <c r="F1161">
        <f>Assumptions!$B$2</f>
        <v>0.5</v>
      </c>
      <c r="G1161">
        <f t="shared" si="93"/>
        <v>1.25</v>
      </c>
    </row>
    <row r="1162" spans="1:7" x14ac:dyDescent="0.3">
      <c r="A1162" s="2">
        <f t="shared" si="94"/>
        <v>46228.16666666948</v>
      </c>
      <c r="B1162">
        <v>2.5</v>
      </c>
      <c r="C1162" s="2">
        <f t="shared" si="90"/>
        <v>46228</v>
      </c>
      <c r="D1162" s="1">
        <f t="shared" si="91"/>
        <v>4</v>
      </c>
      <c r="E1162" t="str">
        <f t="shared" si="92"/>
        <v>Saturday</v>
      </c>
      <c r="F1162">
        <f>Assumptions!$B$2</f>
        <v>0.5</v>
      </c>
      <c r="G1162">
        <f t="shared" si="93"/>
        <v>1.25</v>
      </c>
    </row>
    <row r="1163" spans="1:7" x14ac:dyDescent="0.3">
      <c r="A1163" s="2">
        <f t="shared" si="94"/>
        <v>46228.187500002816</v>
      </c>
      <c r="B1163">
        <v>2.1</v>
      </c>
      <c r="C1163" s="2">
        <f t="shared" si="90"/>
        <v>46228</v>
      </c>
      <c r="D1163" s="1">
        <f t="shared" si="91"/>
        <v>4.5</v>
      </c>
      <c r="E1163" t="str">
        <f t="shared" si="92"/>
        <v>Saturday</v>
      </c>
      <c r="F1163">
        <f>Assumptions!$B$2</f>
        <v>0.5</v>
      </c>
      <c r="G1163">
        <f t="shared" si="93"/>
        <v>1.05</v>
      </c>
    </row>
    <row r="1164" spans="1:7" x14ac:dyDescent="0.3">
      <c r="A1164" s="2">
        <f t="shared" si="94"/>
        <v>46228.208333336152</v>
      </c>
      <c r="B1164">
        <v>2</v>
      </c>
      <c r="C1164" s="2">
        <f t="shared" si="90"/>
        <v>46228</v>
      </c>
      <c r="D1164" s="1">
        <f t="shared" si="91"/>
        <v>5</v>
      </c>
      <c r="E1164" t="str">
        <f t="shared" si="92"/>
        <v>Saturday</v>
      </c>
      <c r="F1164">
        <f>Assumptions!$B$2</f>
        <v>0.5</v>
      </c>
      <c r="G1164">
        <f t="shared" si="93"/>
        <v>1</v>
      </c>
    </row>
    <row r="1165" spans="1:7" x14ac:dyDescent="0.3">
      <c r="A1165" s="2">
        <f t="shared" si="94"/>
        <v>46228.229166669487</v>
      </c>
      <c r="B1165">
        <v>2.7</v>
      </c>
      <c r="C1165" s="2">
        <f t="shared" si="90"/>
        <v>46228</v>
      </c>
      <c r="D1165" s="1">
        <f t="shared" si="91"/>
        <v>5.5</v>
      </c>
      <c r="E1165" t="str">
        <f t="shared" si="92"/>
        <v>Saturday</v>
      </c>
      <c r="F1165">
        <f>Assumptions!$B$2</f>
        <v>0.5</v>
      </c>
      <c r="G1165">
        <f t="shared" si="93"/>
        <v>1.35</v>
      </c>
    </row>
    <row r="1166" spans="1:7" x14ac:dyDescent="0.3">
      <c r="A1166" s="2">
        <f t="shared" si="94"/>
        <v>46228.250000002823</v>
      </c>
      <c r="B1166">
        <v>4.2</v>
      </c>
      <c r="C1166" s="2">
        <f t="shared" si="90"/>
        <v>46228</v>
      </c>
      <c r="D1166" s="1">
        <f t="shared" si="91"/>
        <v>6</v>
      </c>
      <c r="E1166" t="str">
        <f t="shared" si="92"/>
        <v>Saturday</v>
      </c>
      <c r="F1166">
        <f>Assumptions!$B$2</f>
        <v>0.5</v>
      </c>
      <c r="G1166">
        <f t="shared" si="93"/>
        <v>2.1</v>
      </c>
    </row>
    <row r="1167" spans="1:7" x14ac:dyDescent="0.3">
      <c r="A1167" s="2">
        <f t="shared" si="94"/>
        <v>46228.270833336159</v>
      </c>
      <c r="B1167">
        <v>4.8</v>
      </c>
      <c r="C1167" s="2">
        <f t="shared" si="90"/>
        <v>46228</v>
      </c>
      <c r="D1167" s="1">
        <f t="shared" si="91"/>
        <v>6.5</v>
      </c>
      <c r="E1167" t="str">
        <f t="shared" si="92"/>
        <v>Saturday</v>
      </c>
      <c r="F1167">
        <f>Assumptions!$B$2</f>
        <v>0.5</v>
      </c>
      <c r="G1167">
        <f t="shared" si="93"/>
        <v>2.4</v>
      </c>
    </row>
    <row r="1168" spans="1:7" x14ac:dyDescent="0.3">
      <c r="A1168" s="2">
        <f t="shared" si="94"/>
        <v>46228.291666669495</v>
      </c>
      <c r="B1168">
        <v>6.7</v>
      </c>
      <c r="C1168" s="2">
        <f t="shared" si="90"/>
        <v>46228</v>
      </c>
      <c r="D1168" s="1">
        <f t="shared" si="91"/>
        <v>7</v>
      </c>
      <c r="E1168" t="str">
        <f t="shared" si="92"/>
        <v>Saturday</v>
      </c>
      <c r="F1168">
        <f>Assumptions!$B$2</f>
        <v>0.5</v>
      </c>
      <c r="G1168">
        <f t="shared" si="93"/>
        <v>3.35</v>
      </c>
    </row>
    <row r="1169" spans="1:7" x14ac:dyDescent="0.3">
      <c r="A1169" s="2">
        <f t="shared" si="94"/>
        <v>46228.31250000283</v>
      </c>
      <c r="B1169">
        <v>7.4</v>
      </c>
      <c r="C1169" s="2">
        <f t="shared" si="90"/>
        <v>46228</v>
      </c>
      <c r="D1169" s="1">
        <f t="shared" si="91"/>
        <v>7.5</v>
      </c>
      <c r="E1169" t="str">
        <f t="shared" si="92"/>
        <v>Saturday</v>
      </c>
      <c r="F1169">
        <f>Assumptions!$B$2</f>
        <v>0.5</v>
      </c>
      <c r="G1169">
        <f t="shared" si="93"/>
        <v>3.7</v>
      </c>
    </row>
    <row r="1170" spans="1:7" x14ac:dyDescent="0.3">
      <c r="A1170" s="2">
        <f t="shared" si="94"/>
        <v>46228.333333336166</v>
      </c>
      <c r="B1170">
        <v>19</v>
      </c>
      <c r="C1170" s="2">
        <f t="shared" si="90"/>
        <v>46228</v>
      </c>
      <c r="D1170" s="1">
        <f t="shared" si="91"/>
        <v>8</v>
      </c>
      <c r="E1170" t="str">
        <f t="shared" si="92"/>
        <v>Saturday</v>
      </c>
      <c r="F1170">
        <f>Assumptions!$B$2</f>
        <v>0.5</v>
      </c>
      <c r="G1170">
        <f t="shared" si="93"/>
        <v>9.5</v>
      </c>
    </row>
    <row r="1171" spans="1:7" x14ac:dyDescent="0.3">
      <c r="A1171" s="2">
        <f t="shared" si="94"/>
        <v>46228.354166669502</v>
      </c>
      <c r="B1171">
        <v>19.899999999999999</v>
      </c>
      <c r="C1171" s="2">
        <f t="shared" si="90"/>
        <v>46228</v>
      </c>
      <c r="D1171" s="1">
        <f t="shared" si="91"/>
        <v>8.5</v>
      </c>
      <c r="E1171" t="str">
        <f t="shared" si="92"/>
        <v>Saturday</v>
      </c>
      <c r="F1171">
        <f>Assumptions!$B$2</f>
        <v>0.5</v>
      </c>
      <c r="G1171">
        <f t="shared" si="93"/>
        <v>9.9499999999999993</v>
      </c>
    </row>
    <row r="1172" spans="1:7" x14ac:dyDescent="0.3">
      <c r="A1172" s="2">
        <f t="shared" si="94"/>
        <v>46228.375000002838</v>
      </c>
      <c r="B1172">
        <v>13.8</v>
      </c>
      <c r="C1172" s="2">
        <f t="shared" si="90"/>
        <v>46228</v>
      </c>
      <c r="D1172" s="1">
        <f t="shared" si="91"/>
        <v>9</v>
      </c>
      <c r="E1172" t="str">
        <f t="shared" si="92"/>
        <v>Saturday</v>
      </c>
      <c r="F1172">
        <f>Assumptions!$B$2</f>
        <v>0.5</v>
      </c>
      <c r="G1172">
        <f t="shared" si="93"/>
        <v>6.9</v>
      </c>
    </row>
    <row r="1173" spans="1:7" x14ac:dyDescent="0.3">
      <c r="A1173" s="2">
        <f t="shared" si="94"/>
        <v>46228.395833336173</v>
      </c>
      <c r="B1173">
        <v>15.8</v>
      </c>
      <c r="C1173" s="2">
        <f t="shared" si="90"/>
        <v>46228</v>
      </c>
      <c r="D1173" s="1">
        <f t="shared" si="91"/>
        <v>9.5</v>
      </c>
      <c r="E1173" t="str">
        <f t="shared" si="92"/>
        <v>Saturday</v>
      </c>
      <c r="F1173">
        <f>Assumptions!$B$2</f>
        <v>0.5</v>
      </c>
      <c r="G1173">
        <f t="shared" si="93"/>
        <v>7.9</v>
      </c>
    </row>
    <row r="1174" spans="1:7" x14ac:dyDescent="0.3">
      <c r="A1174" s="2">
        <f t="shared" si="94"/>
        <v>46228.416666669509</v>
      </c>
      <c r="B1174">
        <v>18.600000000000001</v>
      </c>
      <c r="C1174" s="2">
        <f t="shared" si="90"/>
        <v>46228</v>
      </c>
      <c r="D1174" s="1">
        <f t="shared" si="91"/>
        <v>10</v>
      </c>
      <c r="E1174" t="str">
        <f t="shared" si="92"/>
        <v>Saturday</v>
      </c>
      <c r="F1174">
        <f>Assumptions!$B$2</f>
        <v>0.5</v>
      </c>
      <c r="G1174">
        <f t="shared" si="93"/>
        <v>9.3000000000000007</v>
      </c>
    </row>
    <row r="1175" spans="1:7" x14ac:dyDescent="0.3">
      <c r="A1175" s="2">
        <f t="shared" si="94"/>
        <v>46228.437500002845</v>
      </c>
      <c r="B1175">
        <v>14.8</v>
      </c>
      <c r="C1175" s="2">
        <f t="shared" si="90"/>
        <v>46228</v>
      </c>
      <c r="D1175" s="1">
        <f t="shared" si="91"/>
        <v>10.5</v>
      </c>
      <c r="E1175" t="str">
        <f t="shared" si="92"/>
        <v>Saturday</v>
      </c>
      <c r="F1175">
        <f>Assumptions!$B$2</f>
        <v>0.5</v>
      </c>
      <c r="G1175">
        <f t="shared" si="93"/>
        <v>7.4</v>
      </c>
    </row>
    <row r="1176" spans="1:7" x14ac:dyDescent="0.3">
      <c r="A1176" s="2">
        <f t="shared" si="94"/>
        <v>46228.458333336181</v>
      </c>
      <c r="B1176">
        <v>14.2</v>
      </c>
      <c r="C1176" s="2">
        <f t="shared" si="90"/>
        <v>46228</v>
      </c>
      <c r="D1176" s="1">
        <f t="shared" si="91"/>
        <v>11</v>
      </c>
      <c r="E1176" t="str">
        <f t="shared" si="92"/>
        <v>Saturday</v>
      </c>
      <c r="F1176">
        <f>Assumptions!$B$2</f>
        <v>0.5</v>
      </c>
      <c r="G1176">
        <f t="shared" si="93"/>
        <v>7.1</v>
      </c>
    </row>
    <row r="1177" spans="1:7" x14ac:dyDescent="0.3">
      <c r="A1177" s="2">
        <f t="shared" si="94"/>
        <v>46228.479166669516</v>
      </c>
      <c r="B1177">
        <v>18.899999999999999</v>
      </c>
      <c r="C1177" s="2">
        <f t="shared" si="90"/>
        <v>46228</v>
      </c>
      <c r="D1177" s="1">
        <f t="shared" si="91"/>
        <v>11.5</v>
      </c>
      <c r="E1177" t="str">
        <f t="shared" si="92"/>
        <v>Saturday</v>
      </c>
      <c r="F1177">
        <f>Assumptions!$B$2</f>
        <v>0.5</v>
      </c>
      <c r="G1177">
        <f t="shared" si="93"/>
        <v>9.4499999999999993</v>
      </c>
    </row>
    <row r="1178" spans="1:7" x14ac:dyDescent="0.3">
      <c r="A1178" s="2">
        <f t="shared" si="94"/>
        <v>46228.500000002852</v>
      </c>
      <c r="B1178">
        <v>33.1</v>
      </c>
      <c r="C1178" s="2">
        <f t="shared" si="90"/>
        <v>46228</v>
      </c>
      <c r="D1178" s="1">
        <f t="shared" si="91"/>
        <v>12</v>
      </c>
      <c r="E1178" t="str">
        <f t="shared" si="92"/>
        <v>Saturday</v>
      </c>
      <c r="F1178">
        <f>Assumptions!$B$2</f>
        <v>0.5</v>
      </c>
      <c r="G1178">
        <f t="shared" si="93"/>
        <v>16.55</v>
      </c>
    </row>
    <row r="1179" spans="1:7" x14ac:dyDescent="0.3">
      <c r="A1179" s="2">
        <f t="shared" si="94"/>
        <v>46228.520833336188</v>
      </c>
      <c r="B1179">
        <v>25.3</v>
      </c>
      <c r="C1179" s="2">
        <f t="shared" si="90"/>
        <v>46228</v>
      </c>
      <c r="D1179" s="1">
        <f t="shared" si="91"/>
        <v>12.5</v>
      </c>
      <c r="E1179" t="str">
        <f t="shared" si="92"/>
        <v>Saturday</v>
      </c>
      <c r="F1179">
        <f>Assumptions!$B$2</f>
        <v>0.5</v>
      </c>
      <c r="G1179">
        <f t="shared" si="93"/>
        <v>12.65</v>
      </c>
    </row>
    <row r="1180" spans="1:7" x14ac:dyDescent="0.3">
      <c r="A1180" s="2">
        <f t="shared" si="94"/>
        <v>46228.541666669524</v>
      </c>
      <c r="B1180">
        <v>23.1</v>
      </c>
      <c r="C1180" s="2">
        <f t="shared" si="90"/>
        <v>46228</v>
      </c>
      <c r="D1180" s="1">
        <f t="shared" si="91"/>
        <v>13</v>
      </c>
      <c r="E1180" t="str">
        <f t="shared" si="92"/>
        <v>Saturday</v>
      </c>
      <c r="F1180">
        <f>Assumptions!$B$2</f>
        <v>0.5</v>
      </c>
      <c r="G1180">
        <f t="shared" si="93"/>
        <v>11.55</v>
      </c>
    </row>
    <row r="1181" spans="1:7" x14ac:dyDescent="0.3">
      <c r="A1181" s="2">
        <f t="shared" si="94"/>
        <v>46228.562500002859</v>
      </c>
      <c r="B1181">
        <v>21.8</v>
      </c>
      <c r="C1181" s="2">
        <f t="shared" si="90"/>
        <v>46228</v>
      </c>
      <c r="D1181" s="1">
        <f t="shared" si="91"/>
        <v>13.5</v>
      </c>
      <c r="E1181" t="str">
        <f t="shared" si="92"/>
        <v>Saturday</v>
      </c>
      <c r="F1181">
        <f>Assumptions!$B$2</f>
        <v>0.5</v>
      </c>
      <c r="G1181">
        <f t="shared" si="93"/>
        <v>10.9</v>
      </c>
    </row>
    <row r="1182" spans="1:7" x14ac:dyDescent="0.3">
      <c r="A1182" s="2">
        <f t="shared" si="94"/>
        <v>46228.583333336195</v>
      </c>
      <c r="B1182">
        <v>31.1</v>
      </c>
      <c r="C1182" s="2">
        <f t="shared" si="90"/>
        <v>46228</v>
      </c>
      <c r="D1182" s="1">
        <f t="shared" si="91"/>
        <v>14</v>
      </c>
      <c r="E1182" t="str">
        <f t="shared" si="92"/>
        <v>Saturday</v>
      </c>
      <c r="F1182">
        <f>Assumptions!$B$2</f>
        <v>0.5</v>
      </c>
      <c r="G1182">
        <f t="shared" si="93"/>
        <v>15.55</v>
      </c>
    </row>
    <row r="1183" spans="1:7" x14ac:dyDescent="0.3">
      <c r="A1183" s="2">
        <f t="shared" si="94"/>
        <v>46228.604166669531</v>
      </c>
      <c r="B1183">
        <v>24.5</v>
      </c>
      <c r="C1183" s="2">
        <f t="shared" si="90"/>
        <v>46228</v>
      </c>
      <c r="D1183" s="1">
        <f t="shared" si="91"/>
        <v>14.5</v>
      </c>
      <c r="E1183" t="str">
        <f t="shared" si="92"/>
        <v>Saturday</v>
      </c>
      <c r="F1183">
        <f>Assumptions!$B$2</f>
        <v>0.5</v>
      </c>
      <c r="G1183">
        <f t="shared" si="93"/>
        <v>12.25</v>
      </c>
    </row>
    <row r="1184" spans="1:7" x14ac:dyDescent="0.3">
      <c r="A1184" s="2">
        <f t="shared" si="94"/>
        <v>46228.625000002867</v>
      </c>
      <c r="B1184">
        <v>33.700000000000003</v>
      </c>
      <c r="C1184" s="2">
        <f t="shared" si="90"/>
        <v>46228</v>
      </c>
      <c r="D1184" s="1">
        <f t="shared" si="91"/>
        <v>15</v>
      </c>
      <c r="E1184" t="str">
        <f t="shared" si="92"/>
        <v>Saturday</v>
      </c>
      <c r="F1184">
        <f>Assumptions!$B$2</f>
        <v>0.5</v>
      </c>
      <c r="G1184">
        <f t="shared" si="93"/>
        <v>16.850000000000001</v>
      </c>
    </row>
    <row r="1185" spans="1:7" x14ac:dyDescent="0.3">
      <c r="A1185" s="2">
        <f t="shared" si="94"/>
        <v>46228.645833336202</v>
      </c>
      <c r="B1185">
        <v>20.9</v>
      </c>
      <c r="C1185" s="2">
        <f t="shared" si="90"/>
        <v>46228</v>
      </c>
      <c r="D1185" s="1">
        <f t="shared" si="91"/>
        <v>15.5</v>
      </c>
      <c r="E1185" t="str">
        <f t="shared" si="92"/>
        <v>Saturday</v>
      </c>
      <c r="F1185">
        <f>Assumptions!$B$2</f>
        <v>0.5</v>
      </c>
      <c r="G1185">
        <f t="shared" si="93"/>
        <v>10.45</v>
      </c>
    </row>
    <row r="1186" spans="1:7" x14ac:dyDescent="0.3">
      <c r="A1186" s="2">
        <f t="shared" si="94"/>
        <v>46228.666666669538</v>
      </c>
      <c r="B1186">
        <v>13.2</v>
      </c>
      <c r="C1186" s="2">
        <f t="shared" si="90"/>
        <v>46228</v>
      </c>
      <c r="D1186" s="1">
        <f t="shared" si="91"/>
        <v>16</v>
      </c>
      <c r="E1186" t="str">
        <f t="shared" si="92"/>
        <v>Saturday</v>
      </c>
      <c r="F1186">
        <f>Assumptions!$B$2</f>
        <v>0.5</v>
      </c>
      <c r="G1186">
        <f t="shared" si="93"/>
        <v>6.6</v>
      </c>
    </row>
    <row r="1187" spans="1:7" x14ac:dyDescent="0.3">
      <c r="A1187" s="2">
        <f t="shared" si="94"/>
        <v>46228.687500002874</v>
      </c>
      <c r="B1187">
        <v>11.8</v>
      </c>
      <c r="C1187" s="2">
        <f t="shared" si="90"/>
        <v>46228</v>
      </c>
      <c r="D1187" s="1">
        <f t="shared" si="91"/>
        <v>16.5</v>
      </c>
      <c r="E1187" t="str">
        <f t="shared" si="92"/>
        <v>Saturday</v>
      </c>
      <c r="F1187">
        <f>Assumptions!$B$2</f>
        <v>0.5</v>
      </c>
      <c r="G1187">
        <f t="shared" si="93"/>
        <v>5.9</v>
      </c>
    </row>
    <row r="1188" spans="1:7" x14ac:dyDescent="0.3">
      <c r="A1188" s="2">
        <f t="shared" si="94"/>
        <v>46228.70833333621</v>
      </c>
      <c r="B1188">
        <v>11.2</v>
      </c>
      <c r="C1188" s="2">
        <f t="shared" si="90"/>
        <v>46228</v>
      </c>
      <c r="D1188" s="1">
        <f t="shared" si="91"/>
        <v>17</v>
      </c>
      <c r="E1188" t="str">
        <f t="shared" si="92"/>
        <v>Saturday</v>
      </c>
      <c r="F1188">
        <f>Assumptions!$B$2</f>
        <v>0.5</v>
      </c>
      <c r="G1188">
        <f t="shared" si="93"/>
        <v>5.6</v>
      </c>
    </row>
    <row r="1189" spans="1:7" x14ac:dyDescent="0.3">
      <c r="A1189" s="2">
        <f t="shared" si="94"/>
        <v>46228.729166669546</v>
      </c>
      <c r="B1189">
        <v>10.1</v>
      </c>
      <c r="C1189" s="2">
        <f t="shared" si="90"/>
        <v>46228</v>
      </c>
      <c r="D1189" s="1">
        <f t="shared" si="91"/>
        <v>17.5</v>
      </c>
      <c r="E1189" t="str">
        <f t="shared" si="92"/>
        <v>Saturday</v>
      </c>
      <c r="F1189">
        <f>Assumptions!$B$2</f>
        <v>0.5</v>
      </c>
      <c r="G1189">
        <f t="shared" si="93"/>
        <v>5.05</v>
      </c>
    </row>
    <row r="1190" spans="1:7" x14ac:dyDescent="0.3">
      <c r="A1190" s="2">
        <f t="shared" si="94"/>
        <v>46228.750000002881</v>
      </c>
      <c r="B1190">
        <v>17.7</v>
      </c>
      <c r="C1190" s="2">
        <f t="shared" si="90"/>
        <v>46228</v>
      </c>
      <c r="D1190" s="1">
        <f t="shared" si="91"/>
        <v>18</v>
      </c>
      <c r="E1190" t="str">
        <f t="shared" si="92"/>
        <v>Saturday</v>
      </c>
      <c r="F1190">
        <f>Assumptions!$B$2</f>
        <v>0.5</v>
      </c>
      <c r="G1190">
        <f t="shared" si="93"/>
        <v>8.85</v>
      </c>
    </row>
    <row r="1191" spans="1:7" x14ac:dyDescent="0.3">
      <c r="A1191" s="2">
        <f t="shared" si="94"/>
        <v>46228.770833336217</v>
      </c>
      <c r="B1191">
        <v>11.7</v>
      </c>
      <c r="C1191" s="2">
        <f t="shared" si="90"/>
        <v>46228</v>
      </c>
      <c r="D1191" s="1">
        <f t="shared" si="91"/>
        <v>18.5</v>
      </c>
      <c r="E1191" t="str">
        <f t="shared" si="92"/>
        <v>Saturday</v>
      </c>
      <c r="F1191">
        <f>Assumptions!$B$2</f>
        <v>0.5</v>
      </c>
      <c r="G1191">
        <f t="shared" si="93"/>
        <v>5.85</v>
      </c>
    </row>
    <row r="1192" spans="1:7" x14ac:dyDescent="0.3">
      <c r="A1192" s="2">
        <f t="shared" si="94"/>
        <v>46228.791666669553</v>
      </c>
      <c r="B1192">
        <v>5.3</v>
      </c>
      <c r="C1192" s="2">
        <f t="shared" si="90"/>
        <v>46228</v>
      </c>
      <c r="D1192" s="1">
        <f t="shared" si="91"/>
        <v>19</v>
      </c>
      <c r="E1192" t="str">
        <f t="shared" si="92"/>
        <v>Saturday</v>
      </c>
      <c r="F1192">
        <f>Assumptions!$B$2</f>
        <v>0.5</v>
      </c>
      <c r="G1192">
        <f t="shared" si="93"/>
        <v>2.65</v>
      </c>
    </row>
    <row r="1193" spans="1:7" x14ac:dyDescent="0.3">
      <c r="A1193" s="2">
        <f t="shared" si="94"/>
        <v>46228.812500002889</v>
      </c>
      <c r="B1193">
        <v>4.7</v>
      </c>
      <c r="C1193" s="2">
        <f t="shared" si="90"/>
        <v>46228</v>
      </c>
      <c r="D1193" s="1">
        <f t="shared" si="91"/>
        <v>19.5</v>
      </c>
      <c r="E1193" t="str">
        <f t="shared" si="92"/>
        <v>Saturday</v>
      </c>
      <c r="F1193">
        <f>Assumptions!$B$2</f>
        <v>0.5</v>
      </c>
      <c r="G1193">
        <f t="shared" si="93"/>
        <v>2.35</v>
      </c>
    </row>
    <row r="1194" spans="1:7" x14ac:dyDescent="0.3">
      <c r="A1194" s="2">
        <f t="shared" si="94"/>
        <v>46228.833333336224</v>
      </c>
      <c r="B1194">
        <v>3.7</v>
      </c>
      <c r="C1194" s="2">
        <f t="shared" si="90"/>
        <v>46228</v>
      </c>
      <c r="D1194" s="1">
        <f t="shared" si="91"/>
        <v>20</v>
      </c>
      <c r="E1194" t="str">
        <f t="shared" si="92"/>
        <v>Saturday</v>
      </c>
      <c r="F1194">
        <f>Assumptions!$B$2</f>
        <v>0.5</v>
      </c>
      <c r="G1194">
        <f t="shared" si="93"/>
        <v>1.85</v>
      </c>
    </row>
    <row r="1195" spans="1:7" x14ac:dyDescent="0.3">
      <c r="A1195" s="2">
        <f t="shared" si="94"/>
        <v>46228.85416666956</v>
      </c>
      <c r="B1195">
        <v>5.7</v>
      </c>
      <c r="C1195" s="2">
        <f t="shared" si="90"/>
        <v>46228</v>
      </c>
      <c r="D1195" s="1">
        <f t="shared" si="91"/>
        <v>20.5</v>
      </c>
      <c r="E1195" t="str">
        <f t="shared" si="92"/>
        <v>Saturday</v>
      </c>
      <c r="F1195">
        <f>Assumptions!$B$2</f>
        <v>0.5</v>
      </c>
      <c r="G1195">
        <f t="shared" si="93"/>
        <v>2.85</v>
      </c>
    </row>
    <row r="1196" spans="1:7" x14ac:dyDescent="0.3">
      <c r="A1196" s="2">
        <f t="shared" si="94"/>
        <v>46228.875000002896</v>
      </c>
      <c r="B1196">
        <v>5.9</v>
      </c>
      <c r="C1196" s="2">
        <f t="shared" si="90"/>
        <v>46228</v>
      </c>
      <c r="D1196" s="1">
        <f t="shared" si="91"/>
        <v>21</v>
      </c>
      <c r="E1196" t="str">
        <f t="shared" si="92"/>
        <v>Saturday</v>
      </c>
      <c r="F1196">
        <f>Assumptions!$B$2</f>
        <v>0.5</v>
      </c>
      <c r="G1196">
        <f t="shared" si="93"/>
        <v>2.95</v>
      </c>
    </row>
    <row r="1197" spans="1:7" x14ac:dyDescent="0.3">
      <c r="A1197" s="2">
        <f t="shared" si="94"/>
        <v>46228.895833336232</v>
      </c>
      <c r="B1197">
        <v>7.8</v>
      </c>
      <c r="C1197" s="2">
        <f t="shared" si="90"/>
        <v>46228</v>
      </c>
      <c r="D1197" s="1">
        <f t="shared" si="91"/>
        <v>21.5</v>
      </c>
      <c r="E1197" t="str">
        <f t="shared" si="92"/>
        <v>Saturday</v>
      </c>
      <c r="F1197">
        <f>Assumptions!$B$2</f>
        <v>0.5</v>
      </c>
      <c r="G1197">
        <f t="shared" si="93"/>
        <v>3.9</v>
      </c>
    </row>
    <row r="1198" spans="1:7" x14ac:dyDescent="0.3">
      <c r="A1198" s="2">
        <f t="shared" si="94"/>
        <v>46228.916666669567</v>
      </c>
      <c r="B1198">
        <v>4.5</v>
      </c>
      <c r="C1198" s="2">
        <f t="shared" si="90"/>
        <v>46228</v>
      </c>
      <c r="D1198" s="1">
        <f t="shared" si="91"/>
        <v>22</v>
      </c>
      <c r="E1198" t="str">
        <f t="shared" si="92"/>
        <v>Saturday</v>
      </c>
      <c r="F1198">
        <f>Assumptions!$B$2</f>
        <v>0.5</v>
      </c>
      <c r="G1198">
        <f t="shared" si="93"/>
        <v>2.25</v>
      </c>
    </row>
    <row r="1199" spans="1:7" x14ac:dyDescent="0.3">
      <c r="A1199" s="2">
        <f t="shared" si="94"/>
        <v>46228.937500002903</v>
      </c>
      <c r="B1199">
        <v>3.8</v>
      </c>
      <c r="C1199" s="2">
        <f t="shared" si="90"/>
        <v>46228</v>
      </c>
      <c r="D1199" s="1">
        <f t="shared" si="91"/>
        <v>22.5</v>
      </c>
      <c r="E1199" t="str">
        <f t="shared" si="92"/>
        <v>Saturday</v>
      </c>
      <c r="F1199">
        <f>Assumptions!$B$2</f>
        <v>0.5</v>
      </c>
      <c r="G1199">
        <f t="shared" si="93"/>
        <v>1.9</v>
      </c>
    </row>
    <row r="1200" spans="1:7" x14ac:dyDescent="0.3">
      <c r="A1200" s="2">
        <f t="shared" si="94"/>
        <v>46228.958333336239</v>
      </c>
      <c r="B1200">
        <v>4.7</v>
      </c>
      <c r="C1200" s="2">
        <f t="shared" si="90"/>
        <v>46228</v>
      </c>
      <c r="D1200" s="1">
        <f t="shared" si="91"/>
        <v>23</v>
      </c>
      <c r="E1200" t="str">
        <f t="shared" si="92"/>
        <v>Saturday</v>
      </c>
      <c r="F1200">
        <f>Assumptions!$B$2</f>
        <v>0.5</v>
      </c>
      <c r="G1200">
        <f t="shared" si="93"/>
        <v>2.35</v>
      </c>
    </row>
    <row r="1201" spans="1:7" x14ac:dyDescent="0.3">
      <c r="A1201" s="2">
        <f t="shared" si="94"/>
        <v>46228.979166669575</v>
      </c>
      <c r="B1201">
        <v>6.2</v>
      </c>
      <c r="C1201" s="2">
        <f t="shared" si="90"/>
        <v>46228</v>
      </c>
      <c r="D1201" s="1">
        <f t="shared" si="91"/>
        <v>23.5</v>
      </c>
      <c r="E1201" t="str">
        <f t="shared" si="92"/>
        <v>Saturday</v>
      </c>
      <c r="F1201">
        <f>Assumptions!$B$2</f>
        <v>0.5</v>
      </c>
      <c r="G1201">
        <f t="shared" si="93"/>
        <v>3.1</v>
      </c>
    </row>
    <row r="1202" spans="1:7" x14ac:dyDescent="0.3">
      <c r="A1202" s="2">
        <f t="shared" si="94"/>
        <v>46229.00000000291</v>
      </c>
      <c r="B1202">
        <v>2.8</v>
      </c>
      <c r="C1202" s="2">
        <f t="shared" si="90"/>
        <v>46229</v>
      </c>
      <c r="D1202" s="1">
        <f t="shared" si="91"/>
        <v>0</v>
      </c>
      <c r="E1202" t="str">
        <f t="shared" si="92"/>
        <v>Sunday</v>
      </c>
      <c r="F1202">
        <f>Assumptions!$B$2</f>
        <v>0.5</v>
      </c>
      <c r="G1202">
        <f t="shared" si="93"/>
        <v>1.4</v>
      </c>
    </row>
    <row r="1203" spans="1:7" x14ac:dyDescent="0.3">
      <c r="A1203" s="2">
        <f t="shared" si="94"/>
        <v>46229.020833336246</v>
      </c>
      <c r="B1203">
        <v>2.9</v>
      </c>
      <c r="C1203" s="2">
        <f t="shared" si="90"/>
        <v>46229</v>
      </c>
      <c r="D1203" s="1">
        <f t="shared" si="91"/>
        <v>0.5</v>
      </c>
      <c r="E1203" t="str">
        <f t="shared" si="92"/>
        <v>Sunday</v>
      </c>
      <c r="F1203">
        <f>Assumptions!$B$2</f>
        <v>0.5</v>
      </c>
      <c r="G1203">
        <f t="shared" si="93"/>
        <v>1.45</v>
      </c>
    </row>
    <row r="1204" spans="1:7" x14ac:dyDescent="0.3">
      <c r="A1204" s="2">
        <f t="shared" si="94"/>
        <v>46229.041666669582</v>
      </c>
      <c r="B1204">
        <v>2.6</v>
      </c>
      <c r="C1204" s="2">
        <f t="shared" si="90"/>
        <v>46229</v>
      </c>
      <c r="D1204" s="1">
        <f t="shared" si="91"/>
        <v>1</v>
      </c>
      <c r="E1204" t="str">
        <f t="shared" si="92"/>
        <v>Sunday</v>
      </c>
      <c r="F1204">
        <f>Assumptions!$B$2</f>
        <v>0.5</v>
      </c>
      <c r="G1204">
        <f t="shared" si="93"/>
        <v>1.3</v>
      </c>
    </row>
    <row r="1205" spans="1:7" x14ac:dyDescent="0.3">
      <c r="A1205" s="2">
        <f t="shared" si="94"/>
        <v>46229.062500002918</v>
      </c>
      <c r="B1205">
        <v>1.8</v>
      </c>
      <c r="C1205" s="2">
        <f t="shared" si="90"/>
        <v>46229</v>
      </c>
      <c r="D1205" s="1">
        <f t="shared" si="91"/>
        <v>1.5</v>
      </c>
      <c r="E1205" t="str">
        <f t="shared" si="92"/>
        <v>Sunday</v>
      </c>
      <c r="F1205">
        <f>Assumptions!$B$2</f>
        <v>0.5</v>
      </c>
      <c r="G1205">
        <f t="shared" si="93"/>
        <v>0.9</v>
      </c>
    </row>
    <row r="1206" spans="1:7" x14ac:dyDescent="0.3">
      <c r="A1206" s="2">
        <f t="shared" si="94"/>
        <v>46229.083333336253</v>
      </c>
      <c r="B1206">
        <v>2.7</v>
      </c>
      <c r="C1206" s="2">
        <f t="shared" si="90"/>
        <v>46229</v>
      </c>
      <c r="D1206" s="1">
        <f t="shared" si="91"/>
        <v>2</v>
      </c>
      <c r="E1206" t="str">
        <f t="shared" si="92"/>
        <v>Sunday</v>
      </c>
      <c r="F1206">
        <f>Assumptions!$B$2</f>
        <v>0.5</v>
      </c>
      <c r="G1206">
        <f t="shared" si="93"/>
        <v>1.35</v>
      </c>
    </row>
    <row r="1207" spans="1:7" x14ac:dyDescent="0.3">
      <c r="A1207" s="2">
        <f t="shared" si="94"/>
        <v>46229.104166669589</v>
      </c>
      <c r="B1207">
        <v>2.4</v>
      </c>
      <c r="C1207" s="2">
        <f t="shared" si="90"/>
        <v>46229</v>
      </c>
      <c r="D1207" s="1">
        <f t="shared" si="91"/>
        <v>2.5</v>
      </c>
      <c r="E1207" t="str">
        <f t="shared" si="92"/>
        <v>Sunday</v>
      </c>
      <c r="F1207">
        <f>Assumptions!$B$2</f>
        <v>0.5</v>
      </c>
      <c r="G1207">
        <f t="shared" si="93"/>
        <v>1.2</v>
      </c>
    </row>
    <row r="1208" spans="1:7" x14ac:dyDescent="0.3">
      <c r="A1208" s="2">
        <f t="shared" si="94"/>
        <v>46229.125000002925</v>
      </c>
      <c r="B1208">
        <v>1.8</v>
      </c>
      <c r="C1208" s="2">
        <f t="shared" si="90"/>
        <v>46229</v>
      </c>
      <c r="D1208" s="1">
        <f t="shared" si="91"/>
        <v>3</v>
      </c>
      <c r="E1208" t="str">
        <f t="shared" si="92"/>
        <v>Sunday</v>
      </c>
      <c r="F1208">
        <f>Assumptions!$B$2</f>
        <v>0.5</v>
      </c>
      <c r="G1208">
        <f t="shared" si="93"/>
        <v>0.9</v>
      </c>
    </row>
    <row r="1209" spans="1:7" x14ac:dyDescent="0.3">
      <c r="A1209" s="2">
        <f t="shared" si="94"/>
        <v>46229.145833336261</v>
      </c>
      <c r="B1209">
        <v>2.1</v>
      </c>
      <c r="C1209" s="2">
        <f t="shared" si="90"/>
        <v>46229</v>
      </c>
      <c r="D1209" s="1">
        <f t="shared" si="91"/>
        <v>3.5</v>
      </c>
      <c r="E1209" t="str">
        <f t="shared" si="92"/>
        <v>Sunday</v>
      </c>
      <c r="F1209">
        <f>Assumptions!$B$2</f>
        <v>0.5</v>
      </c>
      <c r="G1209">
        <f t="shared" si="93"/>
        <v>1.05</v>
      </c>
    </row>
    <row r="1210" spans="1:7" x14ac:dyDescent="0.3">
      <c r="A1210" s="2">
        <f t="shared" si="94"/>
        <v>46229.166666669596</v>
      </c>
      <c r="B1210">
        <v>2</v>
      </c>
      <c r="C1210" s="2">
        <f t="shared" si="90"/>
        <v>46229</v>
      </c>
      <c r="D1210" s="1">
        <f t="shared" si="91"/>
        <v>4</v>
      </c>
      <c r="E1210" t="str">
        <f t="shared" si="92"/>
        <v>Sunday</v>
      </c>
      <c r="F1210">
        <f>Assumptions!$B$2</f>
        <v>0.5</v>
      </c>
      <c r="G1210">
        <f t="shared" si="93"/>
        <v>1</v>
      </c>
    </row>
    <row r="1211" spans="1:7" x14ac:dyDescent="0.3">
      <c r="A1211" s="2">
        <f t="shared" si="94"/>
        <v>46229.187500002932</v>
      </c>
      <c r="B1211">
        <v>2.1</v>
      </c>
      <c r="C1211" s="2">
        <f t="shared" si="90"/>
        <v>46229</v>
      </c>
      <c r="D1211" s="1">
        <f t="shared" si="91"/>
        <v>4.5</v>
      </c>
      <c r="E1211" t="str">
        <f t="shared" si="92"/>
        <v>Sunday</v>
      </c>
      <c r="F1211">
        <f>Assumptions!$B$2</f>
        <v>0.5</v>
      </c>
      <c r="G1211">
        <f t="shared" si="93"/>
        <v>1.05</v>
      </c>
    </row>
    <row r="1212" spans="1:7" x14ac:dyDescent="0.3">
      <c r="A1212" s="2">
        <f t="shared" si="94"/>
        <v>46229.208333336268</v>
      </c>
      <c r="B1212">
        <v>2.7</v>
      </c>
      <c r="C1212" s="2">
        <f t="shared" si="90"/>
        <v>46229</v>
      </c>
      <c r="D1212" s="1">
        <f t="shared" si="91"/>
        <v>5</v>
      </c>
      <c r="E1212" t="str">
        <f t="shared" si="92"/>
        <v>Sunday</v>
      </c>
      <c r="F1212">
        <f>Assumptions!$B$2</f>
        <v>0.5</v>
      </c>
      <c r="G1212">
        <f t="shared" si="93"/>
        <v>1.35</v>
      </c>
    </row>
    <row r="1213" spans="1:7" x14ac:dyDescent="0.3">
      <c r="A1213" s="2">
        <f t="shared" si="94"/>
        <v>46229.229166669604</v>
      </c>
      <c r="B1213">
        <v>2</v>
      </c>
      <c r="C1213" s="2">
        <f t="shared" si="90"/>
        <v>46229</v>
      </c>
      <c r="D1213" s="1">
        <f t="shared" si="91"/>
        <v>5.5</v>
      </c>
      <c r="E1213" t="str">
        <f t="shared" si="92"/>
        <v>Sunday</v>
      </c>
      <c r="F1213">
        <f>Assumptions!$B$2</f>
        <v>0.5</v>
      </c>
      <c r="G1213">
        <f t="shared" si="93"/>
        <v>1</v>
      </c>
    </row>
    <row r="1214" spans="1:7" x14ac:dyDescent="0.3">
      <c r="A1214" s="2">
        <f t="shared" si="94"/>
        <v>46229.250000002939</v>
      </c>
      <c r="B1214">
        <v>7.6</v>
      </c>
      <c r="C1214" s="2">
        <f t="shared" si="90"/>
        <v>46229</v>
      </c>
      <c r="D1214" s="1">
        <f t="shared" si="91"/>
        <v>6</v>
      </c>
      <c r="E1214" t="str">
        <f t="shared" si="92"/>
        <v>Sunday</v>
      </c>
      <c r="F1214">
        <f>Assumptions!$B$2</f>
        <v>0.5</v>
      </c>
      <c r="G1214">
        <f t="shared" si="93"/>
        <v>3.8</v>
      </c>
    </row>
    <row r="1215" spans="1:7" x14ac:dyDescent="0.3">
      <c r="A1215" s="2">
        <f t="shared" si="94"/>
        <v>46229.270833336275</v>
      </c>
      <c r="B1215">
        <v>5.2</v>
      </c>
      <c r="C1215" s="2">
        <f t="shared" si="90"/>
        <v>46229</v>
      </c>
      <c r="D1215" s="1">
        <f t="shared" si="91"/>
        <v>6.5</v>
      </c>
      <c r="E1215" t="str">
        <f t="shared" si="92"/>
        <v>Sunday</v>
      </c>
      <c r="F1215">
        <f>Assumptions!$B$2</f>
        <v>0.5</v>
      </c>
      <c r="G1215">
        <f t="shared" si="93"/>
        <v>2.6</v>
      </c>
    </row>
    <row r="1216" spans="1:7" x14ac:dyDescent="0.3">
      <c r="A1216" s="2">
        <f t="shared" si="94"/>
        <v>46229.291666669611</v>
      </c>
      <c r="B1216">
        <v>4.7</v>
      </c>
      <c r="C1216" s="2">
        <f t="shared" si="90"/>
        <v>46229</v>
      </c>
      <c r="D1216" s="1">
        <f t="shared" si="91"/>
        <v>7</v>
      </c>
      <c r="E1216" t="str">
        <f t="shared" si="92"/>
        <v>Sunday</v>
      </c>
      <c r="F1216">
        <f>Assumptions!$B$2</f>
        <v>0.5</v>
      </c>
      <c r="G1216">
        <f t="shared" si="93"/>
        <v>2.35</v>
      </c>
    </row>
    <row r="1217" spans="1:7" x14ac:dyDescent="0.3">
      <c r="A1217" s="2">
        <f t="shared" si="94"/>
        <v>46229.312500002947</v>
      </c>
      <c r="B1217">
        <v>5.0999999999999996</v>
      </c>
      <c r="C1217" s="2">
        <f t="shared" si="90"/>
        <v>46229</v>
      </c>
      <c r="D1217" s="1">
        <f t="shared" si="91"/>
        <v>7.5</v>
      </c>
      <c r="E1217" t="str">
        <f t="shared" si="92"/>
        <v>Sunday</v>
      </c>
      <c r="F1217">
        <f>Assumptions!$B$2</f>
        <v>0.5</v>
      </c>
      <c r="G1217">
        <f t="shared" si="93"/>
        <v>2.5499999999999998</v>
      </c>
    </row>
    <row r="1218" spans="1:7" x14ac:dyDescent="0.3">
      <c r="A1218" s="2">
        <f t="shared" si="94"/>
        <v>46229.333333336283</v>
      </c>
      <c r="B1218">
        <v>21.9</v>
      </c>
      <c r="C1218" s="2">
        <f t="shared" si="90"/>
        <v>46229</v>
      </c>
      <c r="D1218" s="1">
        <f t="shared" si="91"/>
        <v>8</v>
      </c>
      <c r="E1218" t="str">
        <f t="shared" si="92"/>
        <v>Sunday</v>
      </c>
      <c r="F1218">
        <f>Assumptions!$B$2</f>
        <v>0.5</v>
      </c>
      <c r="G1218">
        <f t="shared" si="93"/>
        <v>10.95</v>
      </c>
    </row>
    <row r="1219" spans="1:7" x14ac:dyDescent="0.3">
      <c r="A1219" s="2">
        <f t="shared" si="94"/>
        <v>46229.354166669618</v>
      </c>
      <c r="B1219">
        <v>21.4</v>
      </c>
      <c r="C1219" s="2">
        <f t="shared" ref="C1219:C1282" si="95">INT(A1219)</f>
        <v>46229</v>
      </c>
      <c r="D1219" s="1">
        <f t="shared" ref="D1219:D1282" si="96">HOUR(A1219)+MINUTE(A1219)/60</f>
        <v>8.5</v>
      </c>
      <c r="E1219" t="str">
        <f t="shared" ref="E1219:E1282" si="97">TEXT(A1219,"dddd")</f>
        <v>Sunday</v>
      </c>
      <c r="F1219">
        <f>Assumptions!$B$2</f>
        <v>0.5</v>
      </c>
      <c r="G1219">
        <f t="shared" ref="G1219:G1282" si="98">B1219*F1219</f>
        <v>10.7</v>
      </c>
    </row>
    <row r="1220" spans="1:7" x14ac:dyDescent="0.3">
      <c r="A1220" s="2">
        <f t="shared" ref="A1220:A1283" si="99">A1219+TIME(0,30,0)</f>
        <v>46229.375000002954</v>
      </c>
      <c r="B1220">
        <v>20.399999999999999</v>
      </c>
      <c r="C1220" s="2">
        <f t="shared" si="95"/>
        <v>46229</v>
      </c>
      <c r="D1220" s="1">
        <f t="shared" si="96"/>
        <v>9</v>
      </c>
      <c r="E1220" t="str">
        <f t="shared" si="97"/>
        <v>Sunday</v>
      </c>
      <c r="F1220">
        <f>Assumptions!$B$2</f>
        <v>0.5</v>
      </c>
      <c r="G1220">
        <f t="shared" si="98"/>
        <v>10.199999999999999</v>
      </c>
    </row>
    <row r="1221" spans="1:7" x14ac:dyDescent="0.3">
      <c r="A1221" s="2">
        <f t="shared" si="99"/>
        <v>46229.39583333629</v>
      </c>
      <c r="B1221">
        <v>13.7</v>
      </c>
      <c r="C1221" s="2">
        <f t="shared" si="95"/>
        <v>46229</v>
      </c>
      <c r="D1221" s="1">
        <f t="shared" si="96"/>
        <v>9.5</v>
      </c>
      <c r="E1221" t="str">
        <f t="shared" si="97"/>
        <v>Sunday</v>
      </c>
      <c r="F1221">
        <f>Assumptions!$B$2</f>
        <v>0.5</v>
      </c>
      <c r="G1221">
        <f t="shared" si="98"/>
        <v>6.85</v>
      </c>
    </row>
    <row r="1222" spans="1:7" x14ac:dyDescent="0.3">
      <c r="A1222" s="2">
        <f t="shared" si="99"/>
        <v>46229.416666669626</v>
      </c>
      <c r="B1222">
        <v>13.8</v>
      </c>
      <c r="C1222" s="2">
        <f t="shared" si="95"/>
        <v>46229</v>
      </c>
      <c r="D1222" s="1">
        <f t="shared" si="96"/>
        <v>10</v>
      </c>
      <c r="E1222" t="str">
        <f t="shared" si="97"/>
        <v>Sunday</v>
      </c>
      <c r="F1222">
        <f>Assumptions!$B$2</f>
        <v>0.5</v>
      </c>
      <c r="G1222">
        <f t="shared" si="98"/>
        <v>6.9</v>
      </c>
    </row>
    <row r="1223" spans="1:7" x14ac:dyDescent="0.3">
      <c r="A1223" s="2">
        <f t="shared" si="99"/>
        <v>46229.437500002961</v>
      </c>
      <c r="B1223">
        <v>18.899999999999999</v>
      </c>
      <c r="C1223" s="2">
        <f t="shared" si="95"/>
        <v>46229</v>
      </c>
      <c r="D1223" s="1">
        <f t="shared" si="96"/>
        <v>10.5</v>
      </c>
      <c r="E1223" t="str">
        <f t="shared" si="97"/>
        <v>Sunday</v>
      </c>
      <c r="F1223">
        <f>Assumptions!$B$2</f>
        <v>0.5</v>
      </c>
      <c r="G1223">
        <f t="shared" si="98"/>
        <v>9.4499999999999993</v>
      </c>
    </row>
    <row r="1224" spans="1:7" x14ac:dyDescent="0.3">
      <c r="A1224" s="2">
        <f t="shared" si="99"/>
        <v>46229.458333336297</v>
      </c>
      <c r="B1224">
        <v>21.1</v>
      </c>
      <c r="C1224" s="2">
        <f t="shared" si="95"/>
        <v>46229</v>
      </c>
      <c r="D1224" s="1">
        <f t="shared" si="96"/>
        <v>11</v>
      </c>
      <c r="E1224" t="str">
        <f t="shared" si="97"/>
        <v>Sunday</v>
      </c>
      <c r="F1224">
        <f>Assumptions!$B$2</f>
        <v>0.5</v>
      </c>
      <c r="G1224">
        <f t="shared" si="98"/>
        <v>10.55</v>
      </c>
    </row>
    <row r="1225" spans="1:7" x14ac:dyDescent="0.3">
      <c r="A1225" s="2">
        <f t="shared" si="99"/>
        <v>46229.479166669633</v>
      </c>
      <c r="B1225">
        <v>15.8</v>
      </c>
      <c r="C1225" s="2">
        <f t="shared" si="95"/>
        <v>46229</v>
      </c>
      <c r="D1225" s="1">
        <f t="shared" si="96"/>
        <v>11.5</v>
      </c>
      <c r="E1225" t="str">
        <f t="shared" si="97"/>
        <v>Sunday</v>
      </c>
      <c r="F1225">
        <f>Assumptions!$B$2</f>
        <v>0.5</v>
      </c>
      <c r="G1225">
        <f t="shared" si="98"/>
        <v>7.9</v>
      </c>
    </row>
    <row r="1226" spans="1:7" x14ac:dyDescent="0.3">
      <c r="A1226" s="2">
        <f t="shared" si="99"/>
        <v>46229.500000002969</v>
      </c>
      <c r="B1226">
        <v>26.7</v>
      </c>
      <c r="C1226" s="2">
        <f t="shared" si="95"/>
        <v>46229</v>
      </c>
      <c r="D1226" s="1">
        <f t="shared" si="96"/>
        <v>12</v>
      </c>
      <c r="E1226" t="str">
        <f t="shared" si="97"/>
        <v>Sunday</v>
      </c>
      <c r="F1226">
        <f>Assumptions!$B$2</f>
        <v>0.5</v>
      </c>
      <c r="G1226">
        <f t="shared" si="98"/>
        <v>13.35</v>
      </c>
    </row>
    <row r="1227" spans="1:7" x14ac:dyDescent="0.3">
      <c r="A1227" s="2">
        <f t="shared" si="99"/>
        <v>46229.520833336304</v>
      </c>
      <c r="B1227">
        <v>31.5</v>
      </c>
      <c r="C1227" s="2">
        <f t="shared" si="95"/>
        <v>46229</v>
      </c>
      <c r="D1227" s="1">
        <f t="shared" si="96"/>
        <v>12.5</v>
      </c>
      <c r="E1227" t="str">
        <f t="shared" si="97"/>
        <v>Sunday</v>
      </c>
      <c r="F1227">
        <f>Assumptions!$B$2</f>
        <v>0.5</v>
      </c>
      <c r="G1227">
        <f t="shared" si="98"/>
        <v>15.75</v>
      </c>
    </row>
    <row r="1228" spans="1:7" x14ac:dyDescent="0.3">
      <c r="A1228" s="2">
        <f t="shared" si="99"/>
        <v>46229.54166666964</v>
      </c>
      <c r="B1228">
        <v>29.1</v>
      </c>
      <c r="C1228" s="2">
        <f t="shared" si="95"/>
        <v>46229</v>
      </c>
      <c r="D1228" s="1">
        <f t="shared" si="96"/>
        <v>13</v>
      </c>
      <c r="E1228" t="str">
        <f t="shared" si="97"/>
        <v>Sunday</v>
      </c>
      <c r="F1228">
        <f>Assumptions!$B$2</f>
        <v>0.5</v>
      </c>
      <c r="G1228">
        <f t="shared" si="98"/>
        <v>14.55</v>
      </c>
    </row>
    <row r="1229" spans="1:7" x14ac:dyDescent="0.3">
      <c r="A1229" s="2">
        <f t="shared" si="99"/>
        <v>46229.562500002976</v>
      </c>
      <c r="B1229">
        <v>32.9</v>
      </c>
      <c r="C1229" s="2">
        <f t="shared" si="95"/>
        <v>46229</v>
      </c>
      <c r="D1229" s="1">
        <f t="shared" si="96"/>
        <v>13.5</v>
      </c>
      <c r="E1229" t="str">
        <f t="shared" si="97"/>
        <v>Sunday</v>
      </c>
      <c r="F1229">
        <f>Assumptions!$B$2</f>
        <v>0.5</v>
      </c>
      <c r="G1229">
        <f t="shared" si="98"/>
        <v>16.45</v>
      </c>
    </row>
    <row r="1230" spans="1:7" x14ac:dyDescent="0.3">
      <c r="A1230" s="2">
        <f t="shared" si="99"/>
        <v>46229.583333336312</v>
      </c>
      <c r="B1230">
        <v>33.200000000000003</v>
      </c>
      <c r="C1230" s="2">
        <f t="shared" si="95"/>
        <v>46229</v>
      </c>
      <c r="D1230" s="1">
        <f t="shared" si="96"/>
        <v>14</v>
      </c>
      <c r="E1230" t="str">
        <f t="shared" si="97"/>
        <v>Sunday</v>
      </c>
      <c r="F1230">
        <f>Assumptions!$B$2</f>
        <v>0.5</v>
      </c>
      <c r="G1230">
        <f t="shared" si="98"/>
        <v>16.600000000000001</v>
      </c>
    </row>
    <row r="1231" spans="1:7" x14ac:dyDescent="0.3">
      <c r="A1231" s="2">
        <f t="shared" si="99"/>
        <v>46229.604166669647</v>
      </c>
      <c r="B1231">
        <v>32</v>
      </c>
      <c r="C1231" s="2">
        <f t="shared" si="95"/>
        <v>46229</v>
      </c>
      <c r="D1231" s="1">
        <f t="shared" si="96"/>
        <v>14.5</v>
      </c>
      <c r="E1231" t="str">
        <f t="shared" si="97"/>
        <v>Sunday</v>
      </c>
      <c r="F1231">
        <f>Assumptions!$B$2</f>
        <v>0.5</v>
      </c>
      <c r="G1231">
        <f t="shared" si="98"/>
        <v>16</v>
      </c>
    </row>
    <row r="1232" spans="1:7" x14ac:dyDescent="0.3">
      <c r="A1232" s="2">
        <f t="shared" si="99"/>
        <v>46229.625000002983</v>
      </c>
      <c r="B1232">
        <v>32.299999999999997</v>
      </c>
      <c r="C1232" s="2">
        <f t="shared" si="95"/>
        <v>46229</v>
      </c>
      <c r="D1232" s="1">
        <f t="shared" si="96"/>
        <v>15</v>
      </c>
      <c r="E1232" t="str">
        <f t="shared" si="97"/>
        <v>Sunday</v>
      </c>
      <c r="F1232">
        <f>Assumptions!$B$2</f>
        <v>0.5</v>
      </c>
      <c r="G1232">
        <f t="shared" si="98"/>
        <v>16.149999999999999</v>
      </c>
    </row>
    <row r="1233" spans="1:7" x14ac:dyDescent="0.3">
      <c r="A1233" s="2">
        <f t="shared" si="99"/>
        <v>46229.645833336319</v>
      </c>
      <c r="B1233">
        <v>22.1</v>
      </c>
      <c r="C1233" s="2">
        <f t="shared" si="95"/>
        <v>46229</v>
      </c>
      <c r="D1233" s="1">
        <f t="shared" si="96"/>
        <v>15.5</v>
      </c>
      <c r="E1233" t="str">
        <f t="shared" si="97"/>
        <v>Sunday</v>
      </c>
      <c r="F1233">
        <f>Assumptions!$B$2</f>
        <v>0.5</v>
      </c>
      <c r="G1233">
        <f t="shared" si="98"/>
        <v>11.05</v>
      </c>
    </row>
    <row r="1234" spans="1:7" x14ac:dyDescent="0.3">
      <c r="A1234" s="2">
        <f t="shared" si="99"/>
        <v>46229.666666669655</v>
      </c>
      <c r="B1234">
        <v>13</v>
      </c>
      <c r="C1234" s="2">
        <f t="shared" si="95"/>
        <v>46229</v>
      </c>
      <c r="D1234" s="1">
        <f t="shared" si="96"/>
        <v>16</v>
      </c>
      <c r="E1234" t="str">
        <f t="shared" si="97"/>
        <v>Sunday</v>
      </c>
      <c r="F1234">
        <f>Assumptions!$B$2</f>
        <v>0.5</v>
      </c>
      <c r="G1234">
        <f t="shared" si="98"/>
        <v>6.5</v>
      </c>
    </row>
    <row r="1235" spans="1:7" x14ac:dyDescent="0.3">
      <c r="A1235" s="2">
        <f t="shared" si="99"/>
        <v>46229.68750000299</v>
      </c>
      <c r="B1235">
        <v>19.100000000000001</v>
      </c>
      <c r="C1235" s="2">
        <f t="shared" si="95"/>
        <v>46229</v>
      </c>
      <c r="D1235" s="1">
        <f t="shared" si="96"/>
        <v>16.5</v>
      </c>
      <c r="E1235" t="str">
        <f t="shared" si="97"/>
        <v>Sunday</v>
      </c>
      <c r="F1235">
        <f>Assumptions!$B$2</f>
        <v>0.5</v>
      </c>
      <c r="G1235">
        <f t="shared" si="98"/>
        <v>9.5500000000000007</v>
      </c>
    </row>
    <row r="1236" spans="1:7" x14ac:dyDescent="0.3">
      <c r="A1236" s="2">
        <f t="shared" si="99"/>
        <v>46229.708333336326</v>
      </c>
      <c r="B1236">
        <v>10.6</v>
      </c>
      <c r="C1236" s="2">
        <f t="shared" si="95"/>
        <v>46229</v>
      </c>
      <c r="D1236" s="1">
        <f t="shared" si="96"/>
        <v>17</v>
      </c>
      <c r="E1236" t="str">
        <f t="shared" si="97"/>
        <v>Sunday</v>
      </c>
      <c r="F1236">
        <f>Assumptions!$B$2</f>
        <v>0.5</v>
      </c>
      <c r="G1236">
        <f t="shared" si="98"/>
        <v>5.3</v>
      </c>
    </row>
    <row r="1237" spans="1:7" x14ac:dyDescent="0.3">
      <c r="A1237" s="2">
        <f t="shared" si="99"/>
        <v>46229.729166669662</v>
      </c>
      <c r="B1237">
        <v>15.3</v>
      </c>
      <c r="C1237" s="2">
        <f t="shared" si="95"/>
        <v>46229</v>
      </c>
      <c r="D1237" s="1">
        <f t="shared" si="96"/>
        <v>17.5</v>
      </c>
      <c r="E1237" t="str">
        <f t="shared" si="97"/>
        <v>Sunday</v>
      </c>
      <c r="F1237">
        <f>Assumptions!$B$2</f>
        <v>0.5</v>
      </c>
      <c r="G1237">
        <f t="shared" si="98"/>
        <v>7.65</v>
      </c>
    </row>
    <row r="1238" spans="1:7" x14ac:dyDescent="0.3">
      <c r="A1238" s="2">
        <f t="shared" si="99"/>
        <v>46229.750000002998</v>
      </c>
      <c r="B1238">
        <v>12.4</v>
      </c>
      <c r="C1238" s="2">
        <f t="shared" si="95"/>
        <v>46229</v>
      </c>
      <c r="D1238" s="1">
        <f t="shared" si="96"/>
        <v>18</v>
      </c>
      <c r="E1238" t="str">
        <f t="shared" si="97"/>
        <v>Sunday</v>
      </c>
      <c r="F1238">
        <f>Assumptions!$B$2</f>
        <v>0.5</v>
      </c>
      <c r="G1238">
        <f t="shared" si="98"/>
        <v>6.2</v>
      </c>
    </row>
    <row r="1239" spans="1:7" x14ac:dyDescent="0.3">
      <c r="A1239" s="2">
        <f t="shared" si="99"/>
        <v>46229.770833336333</v>
      </c>
      <c r="B1239">
        <v>16.8</v>
      </c>
      <c r="C1239" s="2">
        <f t="shared" si="95"/>
        <v>46229</v>
      </c>
      <c r="D1239" s="1">
        <f t="shared" si="96"/>
        <v>18.5</v>
      </c>
      <c r="E1239" t="str">
        <f t="shared" si="97"/>
        <v>Sunday</v>
      </c>
      <c r="F1239">
        <f>Assumptions!$B$2</f>
        <v>0.5</v>
      </c>
      <c r="G1239">
        <f t="shared" si="98"/>
        <v>8.4</v>
      </c>
    </row>
    <row r="1240" spans="1:7" x14ac:dyDescent="0.3">
      <c r="A1240" s="2">
        <f t="shared" si="99"/>
        <v>46229.791666669669</v>
      </c>
      <c r="B1240">
        <v>3</v>
      </c>
      <c r="C1240" s="2">
        <f t="shared" si="95"/>
        <v>46229</v>
      </c>
      <c r="D1240" s="1">
        <f t="shared" si="96"/>
        <v>19</v>
      </c>
      <c r="E1240" t="str">
        <f t="shared" si="97"/>
        <v>Sunday</v>
      </c>
      <c r="F1240">
        <f>Assumptions!$B$2</f>
        <v>0.5</v>
      </c>
      <c r="G1240">
        <f t="shared" si="98"/>
        <v>1.5</v>
      </c>
    </row>
    <row r="1241" spans="1:7" x14ac:dyDescent="0.3">
      <c r="A1241" s="2">
        <f t="shared" si="99"/>
        <v>46229.812500003005</v>
      </c>
      <c r="B1241">
        <v>6.5</v>
      </c>
      <c r="C1241" s="2">
        <f t="shared" si="95"/>
        <v>46229</v>
      </c>
      <c r="D1241" s="1">
        <f t="shared" si="96"/>
        <v>19.5</v>
      </c>
      <c r="E1241" t="str">
        <f t="shared" si="97"/>
        <v>Sunday</v>
      </c>
      <c r="F1241">
        <f>Assumptions!$B$2</f>
        <v>0.5</v>
      </c>
      <c r="G1241">
        <f t="shared" si="98"/>
        <v>3.25</v>
      </c>
    </row>
    <row r="1242" spans="1:7" x14ac:dyDescent="0.3">
      <c r="A1242" s="2">
        <f t="shared" si="99"/>
        <v>46229.833333336341</v>
      </c>
      <c r="B1242">
        <v>7.3</v>
      </c>
      <c r="C1242" s="2">
        <f t="shared" si="95"/>
        <v>46229</v>
      </c>
      <c r="D1242" s="1">
        <f t="shared" si="96"/>
        <v>20</v>
      </c>
      <c r="E1242" t="str">
        <f t="shared" si="97"/>
        <v>Sunday</v>
      </c>
      <c r="F1242">
        <f>Assumptions!$B$2</f>
        <v>0.5</v>
      </c>
      <c r="G1242">
        <f t="shared" si="98"/>
        <v>3.65</v>
      </c>
    </row>
    <row r="1243" spans="1:7" x14ac:dyDescent="0.3">
      <c r="A1243" s="2">
        <f t="shared" si="99"/>
        <v>46229.854166669676</v>
      </c>
      <c r="B1243">
        <v>3</v>
      </c>
      <c r="C1243" s="2">
        <f t="shared" si="95"/>
        <v>46229</v>
      </c>
      <c r="D1243" s="1">
        <f t="shared" si="96"/>
        <v>20.5</v>
      </c>
      <c r="E1243" t="str">
        <f t="shared" si="97"/>
        <v>Sunday</v>
      </c>
      <c r="F1243">
        <f>Assumptions!$B$2</f>
        <v>0.5</v>
      </c>
      <c r="G1243">
        <f t="shared" si="98"/>
        <v>1.5</v>
      </c>
    </row>
    <row r="1244" spans="1:7" x14ac:dyDescent="0.3">
      <c r="A1244" s="2">
        <f t="shared" si="99"/>
        <v>46229.875000003012</v>
      </c>
      <c r="B1244">
        <v>4.4000000000000004</v>
      </c>
      <c r="C1244" s="2">
        <f t="shared" si="95"/>
        <v>46229</v>
      </c>
      <c r="D1244" s="1">
        <f t="shared" si="96"/>
        <v>21</v>
      </c>
      <c r="E1244" t="str">
        <f t="shared" si="97"/>
        <v>Sunday</v>
      </c>
      <c r="F1244">
        <f>Assumptions!$B$2</f>
        <v>0.5</v>
      </c>
      <c r="G1244">
        <f t="shared" si="98"/>
        <v>2.2000000000000002</v>
      </c>
    </row>
    <row r="1245" spans="1:7" x14ac:dyDescent="0.3">
      <c r="A1245" s="2">
        <f t="shared" si="99"/>
        <v>46229.895833336348</v>
      </c>
      <c r="B1245">
        <v>6.4</v>
      </c>
      <c r="C1245" s="2">
        <f t="shared" si="95"/>
        <v>46229</v>
      </c>
      <c r="D1245" s="1">
        <f t="shared" si="96"/>
        <v>21.5</v>
      </c>
      <c r="E1245" t="str">
        <f t="shared" si="97"/>
        <v>Sunday</v>
      </c>
      <c r="F1245">
        <f>Assumptions!$B$2</f>
        <v>0.5</v>
      </c>
      <c r="G1245">
        <f t="shared" si="98"/>
        <v>3.2</v>
      </c>
    </row>
    <row r="1246" spans="1:7" x14ac:dyDescent="0.3">
      <c r="A1246" s="2">
        <f t="shared" si="99"/>
        <v>46229.916666669684</v>
      </c>
      <c r="B1246">
        <v>5.7</v>
      </c>
      <c r="C1246" s="2">
        <f t="shared" si="95"/>
        <v>46229</v>
      </c>
      <c r="D1246" s="1">
        <f t="shared" si="96"/>
        <v>22</v>
      </c>
      <c r="E1246" t="str">
        <f t="shared" si="97"/>
        <v>Sunday</v>
      </c>
      <c r="F1246">
        <f>Assumptions!$B$2</f>
        <v>0.5</v>
      </c>
      <c r="G1246">
        <f t="shared" si="98"/>
        <v>2.85</v>
      </c>
    </row>
    <row r="1247" spans="1:7" x14ac:dyDescent="0.3">
      <c r="A1247" s="2">
        <f t="shared" si="99"/>
        <v>46229.93750000302</v>
      </c>
      <c r="B1247">
        <v>5.3</v>
      </c>
      <c r="C1247" s="2">
        <f t="shared" si="95"/>
        <v>46229</v>
      </c>
      <c r="D1247" s="1">
        <f t="shared" si="96"/>
        <v>22.5</v>
      </c>
      <c r="E1247" t="str">
        <f t="shared" si="97"/>
        <v>Sunday</v>
      </c>
      <c r="F1247">
        <f>Assumptions!$B$2</f>
        <v>0.5</v>
      </c>
      <c r="G1247">
        <f t="shared" si="98"/>
        <v>2.65</v>
      </c>
    </row>
    <row r="1248" spans="1:7" x14ac:dyDescent="0.3">
      <c r="A1248" s="2">
        <f t="shared" si="99"/>
        <v>46229.958333336355</v>
      </c>
      <c r="B1248">
        <v>4.7</v>
      </c>
      <c r="C1248" s="2">
        <f t="shared" si="95"/>
        <v>46229</v>
      </c>
      <c r="D1248" s="1">
        <f t="shared" si="96"/>
        <v>23</v>
      </c>
      <c r="E1248" t="str">
        <f t="shared" si="97"/>
        <v>Sunday</v>
      </c>
      <c r="F1248">
        <f>Assumptions!$B$2</f>
        <v>0.5</v>
      </c>
      <c r="G1248">
        <f t="shared" si="98"/>
        <v>2.35</v>
      </c>
    </row>
    <row r="1249" spans="1:7" x14ac:dyDescent="0.3">
      <c r="A1249" s="2">
        <f t="shared" si="99"/>
        <v>46229.979166669691</v>
      </c>
      <c r="B1249">
        <v>4.5999999999999996</v>
      </c>
      <c r="C1249" s="2">
        <f t="shared" si="95"/>
        <v>46229</v>
      </c>
      <c r="D1249" s="1">
        <f t="shared" si="96"/>
        <v>23.5</v>
      </c>
      <c r="E1249" t="str">
        <f t="shared" si="97"/>
        <v>Sunday</v>
      </c>
      <c r="F1249">
        <f>Assumptions!$B$2</f>
        <v>0.5</v>
      </c>
      <c r="G1249">
        <f t="shared" si="98"/>
        <v>2.2999999999999998</v>
      </c>
    </row>
    <row r="1250" spans="1:7" x14ac:dyDescent="0.3">
      <c r="A1250" s="2">
        <f t="shared" si="99"/>
        <v>46230.000000003027</v>
      </c>
      <c r="B1250">
        <v>1.8</v>
      </c>
      <c r="C1250" s="2">
        <f t="shared" si="95"/>
        <v>46230</v>
      </c>
      <c r="D1250" s="1">
        <f t="shared" si="96"/>
        <v>0</v>
      </c>
      <c r="E1250" t="str">
        <f t="shared" si="97"/>
        <v>Monday</v>
      </c>
      <c r="F1250">
        <f>Assumptions!$B$2</f>
        <v>0.5</v>
      </c>
      <c r="G1250">
        <f t="shared" si="98"/>
        <v>0.9</v>
      </c>
    </row>
    <row r="1251" spans="1:7" x14ac:dyDescent="0.3">
      <c r="A1251" s="2">
        <f t="shared" si="99"/>
        <v>46230.020833336363</v>
      </c>
      <c r="B1251">
        <v>1.8</v>
      </c>
      <c r="C1251" s="2">
        <f t="shared" si="95"/>
        <v>46230</v>
      </c>
      <c r="D1251" s="1">
        <f t="shared" si="96"/>
        <v>0.5</v>
      </c>
      <c r="E1251" t="str">
        <f t="shared" si="97"/>
        <v>Monday</v>
      </c>
      <c r="F1251">
        <f>Assumptions!$B$2</f>
        <v>0.5</v>
      </c>
      <c r="G1251">
        <f t="shared" si="98"/>
        <v>0.9</v>
      </c>
    </row>
    <row r="1252" spans="1:7" x14ac:dyDescent="0.3">
      <c r="A1252" s="2">
        <f t="shared" si="99"/>
        <v>46230.041666669698</v>
      </c>
      <c r="B1252">
        <v>2.8</v>
      </c>
      <c r="C1252" s="2">
        <f t="shared" si="95"/>
        <v>46230</v>
      </c>
      <c r="D1252" s="1">
        <f t="shared" si="96"/>
        <v>1</v>
      </c>
      <c r="E1252" t="str">
        <f t="shared" si="97"/>
        <v>Monday</v>
      </c>
      <c r="F1252">
        <f>Assumptions!$B$2</f>
        <v>0.5</v>
      </c>
      <c r="G1252">
        <f t="shared" si="98"/>
        <v>1.4</v>
      </c>
    </row>
    <row r="1253" spans="1:7" x14ac:dyDescent="0.3">
      <c r="A1253" s="2">
        <f t="shared" si="99"/>
        <v>46230.062500003034</v>
      </c>
      <c r="B1253">
        <v>2.6</v>
      </c>
      <c r="C1253" s="2">
        <f t="shared" si="95"/>
        <v>46230</v>
      </c>
      <c r="D1253" s="1">
        <f t="shared" si="96"/>
        <v>1.5</v>
      </c>
      <c r="E1253" t="str">
        <f t="shared" si="97"/>
        <v>Monday</v>
      </c>
      <c r="F1253">
        <f>Assumptions!$B$2</f>
        <v>0.5</v>
      </c>
      <c r="G1253">
        <f t="shared" si="98"/>
        <v>1.3</v>
      </c>
    </row>
    <row r="1254" spans="1:7" x14ac:dyDescent="0.3">
      <c r="A1254" s="2">
        <f t="shared" si="99"/>
        <v>46230.08333333637</v>
      </c>
      <c r="B1254">
        <v>2.7</v>
      </c>
      <c r="C1254" s="2">
        <f t="shared" si="95"/>
        <v>46230</v>
      </c>
      <c r="D1254" s="1">
        <f t="shared" si="96"/>
        <v>2</v>
      </c>
      <c r="E1254" t="str">
        <f t="shared" si="97"/>
        <v>Monday</v>
      </c>
      <c r="F1254">
        <f>Assumptions!$B$2</f>
        <v>0.5</v>
      </c>
      <c r="G1254">
        <f t="shared" si="98"/>
        <v>1.35</v>
      </c>
    </row>
    <row r="1255" spans="1:7" x14ac:dyDescent="0.3">
      <c r="A1255" s="2">
        <f t="shared" si="99"/>
        <v>46230.104166669706</v>
      </c>
      <c r="B1255">
        <v>1.8</v>
      </c>
      <c r="C1255" s="2">
        <f t="shared" si="95"/>
        <v>46230</v>
      </c>
      <c r="D1255" s="1">
        <f t="shared" si="96"/>
        <v>2.5</v>
      </c>
      <c r="E1255" t="str">
        <f t="shared" si="97"/>
        <v>Monday</v>
      </c>
      <c r="F1255">
        <f>Assumptions!$B$2</f>
        <v>0.5</v>
      </c>
      <c r="G1255">
        <f t="shared" si="98"/>
        <v>0.9</v>
      </c>
    </row>
    <row r="1256" spans="1:7" x14ac:dyDescent="0.3">
      <c r="A1256" s="2">
        <f t="shared" si="99"/>
        <v>46230.125000003041</v>
      </c>
      <c r="B1256">
        <v>2.6</v>
      </c>
      <c r="C1256" s="2">
        <f t="shared" si="95"/>
        <v>46230</v>
      </c>
      <c r="D1256" s="1">
        <f t="shared" si="96"/>
        <v>3</v>
      </c>
      <c r="E1256" t="str">
        <f t="shared" si="97"/>
        <v>Monday</v>
      </c>
      <c r="F1256">
        <f>Assumptions!$B$2</f>
        <v>0.5</v>
      </c>
      <c r="G1256">
        <f t="shared" si="98"/>
        <v>1.3</v>
      </c>
    </row>
    <row r="1257" spans="1:7" x14ac:dyDescent="0.3">
      <c r="A1257" s="2">
        <f t="shared" si="99"/>
        <v>46230.145833336377</v>
      </c>
      <c r="B1257">
        <v>1.8</v>
      </c>
      <c r="C1257" s="2">
        <f t="shared" si="95"/>
        <v>46230</v>
      </c>
      <c r="D1257" s="1">
        <f t="shared" si="96"/>
        <v>3.5</v>
      </c>
      <c r="E1257" t="str">
        <f t="shared" si="97"/>
        <v>Monday</v>
      </c>
      <c r="F1257">
        <f>Assumptions!$B$2</f>
        <v>0.5</v>
      </c>
      <c r="G1257">
        <f t="shared" si="98"/>
        <v>0.9</v>
      </c>
    </row>
    <row r="1258" spans="1:7" x14ac:dyDescent="0.3">
      <c r="A1258" s="2">
        <f t="shared" si="99"/>
        <v>46230.166666669713</v>
      </c>
      <c r="B1258">
        <v>2.7</v>
      </c>
      <c r="C1258" s="2">
        <f t="shared" si="95"/>
        <v>46230</v>
      </c>
      <c r="D1258" s="1">
        <f t="shared" si="96"/>
        <v>4</v>
      </c>
      <c r="E1258" t="str">
        <f t="shared" si="97"/>
        <v>Monday</v>
      </c>
      <c r="F1258">
        <f>Assumptions!$B$2</f>
        <v>0.5</v>
      </c>
      <c r="G1258">
        <f t="shared" si="98"/>
        <v>1.35</v>
      </c>
    </row>
    <row r="1259" spans="1:7" x14ac:dyDescent="0.3">
      <c r="A1259" s="2">
        <f t="shared" si="99"/>
        <v>46230.187500003049</v>
      </c>
      <c r="B1259">
        <v>1.8</v>
      </c>
      <c r="C1259" s="2">
        <f t="shared" si="95"/>
        <v>46230</v>
      </c>
      <c r="D1259" s="1">
        <f t="shared" si="96"/>
        <v>4.5</v>
      </c>
      <c r="E1259" t="str">
        <f t="shared" si="97"/>
        <v>Monday</v>
      </c>
      <c r="F1259">
        <f>Assumptions!$B$2</f>
        <v>0.5</v>
      </c>
      <c r="G1259">
        <f t="shared" si="98"/>
        <v>0.9</v>
      </c>
    </row>
    <row r="1260" spans="1:7" x14ac:dyDescent="0.3">
      <c r="A1260" s="2">
        <f t="shared" si="99"/>
        <v>46230.208333336384</v>
      </c>
      <c r="B1260">
        <v>2.2000000000000002</v>
      </c>
      <c r="C1260" s="2">
        <f t="shared" si="95"/>
        <v>46230</v>
      </c>
      <c r="D1260" s="1">
        <f t="shared" si="96"/>
        <v>5</v>
      </c>
      <c r="E1260" t="str">
        <f t="shared" si="97"/>
        <v>Monday</v>
      </c>
      <c r="F1260">
        <f>Assumptions!$B$2</f>
        <v>0.5</v>
      </c>
      <c r="G1260">
        <f t="shared" si="98"/>
        <v>1.1000000000000001</v>
      </c>
    </row>
    <row r="1261" spans="1:7" x14ac:dyDescent="0.3">
      <c r="A1261" s="2">
        <f t="shared" si="99"/>
        <v>46230.22916666972</v>
      </c>
      <c r="B1261">
        <v>2.4</v>
      </c>
      <c r="C1261" s="2">
        <f t="shared" si="95"/>
        <v>46230</v>
      </c>
      <c r="D1261" s="1">
        <f t="shared" si="96"/>
        <v>5.5</v>
      </c>
      <c r="E1261" t="str">
        <f t="shared" si="97"/>
        <v>Monday</v>
      </c>
      <c r="F1261">
        <f>Assumptions!$B$2</f>
        <v>0.5</v>
      </c>
      <c r="G1261">
        <f t="shared" si="98"/>
        <v>1.2</v>
      </c>
    </row>
    <row r="1262" spans="1:7" x14ac:dyDescent="0.3">
      <c r="A1262" s="2">
        <f t="shared" si="99"/>
        <v>46230.250000003056</v>
      </c>
      <c r="B1262">
        <v>5.9</v>
      </c>
      <c r="C1262" s="2">
        <f t="shared" si="95"/>
        <v>46230</v>
      </c>
      <c r="D1262" s="1">
        <f t="shared" si="96"/>
        <v>6</v>
      </c>
      <c r="E1262" t="str">
        <f t="shared" si="97"/>
        <v>Monday</v>
      </c>
      <c r="F1262">
        <f>Assumptions!$B$2</f>
        <v>0.5</v>
      </c>
      <c r="G1262">
        <f t="shared" si="98"/>
        <v>2.95</v>
      </c>
    </row>
    <row r="1263" spans="1:7" x14ac:dyDescent="0.3">
      <c r="A1263" s="2">
        <f t="shared" si="99"/>
        <v>46230.270833336392</v>
      </c>
      <c r="B1263">
        <v>5.4</v>
      </c>
      <c r="C1263" s="2">
        <f t="shared" si="95"/>
        <v>46230</v>
      </c>
      <c r="D1263" s="1">
        <f t="shared" si="96"/>
        <v>6.5</v>
      </c>
      <c r="E1263" t="str">
        <f t="shared" si="97"/>
        <v>Monday</v>
      </c>
      <c r="F1263">
        <f>Assumptions!$B$2</f>
        <v>0.5</v>
      </c>
      <c r="G1263">
        <f t="shared" si="98"/>
        <v>2.7</v>
      </c>
    </row>
    <row r="1264" spans="1:7" x14ac:dyDescent="0.3">
      <c r="A1264" s="2">
        <f t="shared" si="99"/>
        <v>46230.291666669727</v>
      </c>
      <c r="B1264">
        <v>7.2</v>
      </c>
      <c r="C1264" s="2">
        <f t="shared" si="95"/>
        <v>46230</v>
      </c>
      <c r="D1264" s="1">
        <f t="shared" si="96"/>
        <v>7</v>
      </c>
      <c r="E1264" t="str">
        <f t="shared" si="97"/>
        <v>Monday</v>
      </c>
      <c r="F1264">
        <f>Assumptions!$B$2</f>
        <v>0.5</v>
      </c>
      <c r="G1264">
        <f t="shared" si="98"/>
        <v>3.6</v>
      </c>
    </row>
    <row r="1265" spans="1:7" x14ac:dyDescent="0.3">
      <c r="A1265" s="2">
        <f t="shared" si="99"/>
        <v>46230.312500003063</v>
      </c>
      <c r="B1265">
        <v>7.5</v>
      </c>
      <c r="C1265" s="2">
        <f t="shared" si="95"/>
        <v>46230</v>
      </c>
      <c r="D1265" s="1">
        <f t="shared" si="96"/>
        <v>7.5</v>
      </c>
      <c r="E1265" t="str">
        <f t="shared" si="97"/>
        <v>Monday</v>
      </c>
      <c r="F1265">
        <f>Assumptions!$B$2</f>
        <v>0.5</v>
      </c>
      <c r="G1265">
        <f t="shared" si="98"/>
        <v>3.75</v>
      </c>
    </row>
    <row r="1266" spans="1:7" x14ac:dyDescent="0.3">
      <c r="A1266" s="2">
        <f t="shared" si="99"/>
        <v>46230.333333336399</v>
      </c>
      <c r="B1266">
        <v>17.2</v>
      </c>
      <c r="C1266" s="2">
        <f t="shared" si="95"/>
        <v>46230</v>
      </c>
      <c r="D1266" s="1">
        <f t="shared" si="96"/>
        <v>8</v>
      </c>
      <c r="E1266" t="str">
        <f t="shared" si="97"/>
        <v>Monday</v>
      </c>
      <c r="F1266">
        <f>Assumptions!$B$2</f>
        <v>0.5</v>
      </c>
      <c r="G1266">
        <f t="shared" si="98"/>
        <v>8.6</v>
      </c>
    </row>
    <row r="1267" spans="1:7" x14ac:dyDescent="0.3">
      <c r="A1267" s="2">
        <f t="shared" si="99"/>
        <v>46230.354166669735</v>
      </c>
      <c r="B1267">
        <v>15.2</v>
      </c>
      <c r="C1267" s="2">
        <f t="shared" si="95"/>
        <v>46230</v>
      </c>
      <c r="D1267" s="1">
        <f t="shared" si="96"/>
        <v>8.5</v>
      </c>
      <c r="E1267" t="str">
        <f t="shared" si="97"/>
        <v>Monday</v>
      </c>
      <c r="F1267">
        <f>Assumptions!$B$2</f>
        <v>0.5</v>
      </c>
      <c r="G1267">
        <f t="shared" si="98"/>
        <v>7.6</v>
      </c>
    </row>
    <row r="1268" spans="1:7" x14ac:dyDescent="0.3">
      <c r="A1268" s="2">
        <f t="shared" si="99"/>
        <v>46230.37500000307</v>
      </c>
      <c r="B1268">
        <v>17.5</v>
      </c>
      <c r="C1268" s="2">
        <f t="shared" si="95"/>
        <v>46230</v>
      </c>
      <c r="D1268" s="1">
        <f t="shared" si="96"/>
        <v>9</v>
      </c>
      <c r="E1268" t="str">
        <f t="shared" si="97"/>
        <v>Monday</v>
      </c>
      <c r="F1268">
        <f>Assumptions!$B$2</f>
        <v>0.5</v>
      </c>
      <c r="G1268">
        <f t="shared" si="98"/>
        <v>8.75</v>
      </c>
    </row>
    <row r="1269" spans="1:7" x14ac:dyDescent="0.3">
      <c r="A1269" s="2">
        <f t="shared" si="99"/>
        <v>46230.395833336406</v>
      </c>
      <c r="B1269">
        <v>18.7</v>
      </c>
      <c r="C1269" s="2">
        <f t="shared" si="95"/>
        <v>46230</v>
      </c>
      <c r="D1269" s="1">
        <f t="shared" si="96"/>
        <v>9.5</v>
      </c>
      <c r="E1269" t="str">
        <f t="shared" si="97"/>
        <v>Monday</v>
      </c>
      <c r="F1269">
        <f>Assumptions!$B$2</f>
        <v>0.5</v>
      </c>
      <c r="G1269">
        <f t="shared" si="98"/>
        <v>9.35</v>
      </c>
    </row>
    <row r="1270" spans="1:7" x14ac:dyDescent="0.3">
      <c r="A1270" s="2">
        <f t="shared" si="99"/>
        <v>46230.416666669742</v>
      </c>
      <c r="B1270">
        <v>21.7</v>
      </c>
      <c r="C1270" s="2">
        <f t="shared" si="95"/>
        <v>46230</v>
      </c>
      <c r="D1270" s="1">
        <f t="shared" si="96"/>
        <v>10</v>
      </c>
      <c r="E1270" t="str">
        <f t="shared" si="97"/>
        <v>Monday</v>
      </c>
      <c r="F1270">
        <f>Assumptions!$B$2</f>
        <v>0.5</v>
      </c>
      <c r="G1270">
        <f t="shared" si="98"/>
        <v>10.85</v>
      </c>
    </row>
    <row r="1271" spans="1:7" x14ac:dyDescent="0.3">
      <c r="A1271" s="2">
        <f t="shared" si="99"/>
        <v>46230.437500003078</v>
      </c>
      <c r="B1271">
        <v>18.2</v>
      </c>
      <c r="C1271" s="2">
        <f t="shared" si="95"/>
        <v>46230</v>
      </c>
      <c r="D1271" s="1">
        <f t="shared" si="96"/>
        <v>10.5</v>
      </c>
      <c r="E1271" t="str">
        <f t="shared" si="97"/>
        <v>Monday</v>
      </c>
      <c r="F1271">
        <f>Assumptions!$B$2</f>
        <v>0.5</v>
      </c>
      <c r="G1271">
        <f t="shared" si="98"/>
        <v>9.1</v>
      </c>
    </row>
    <row r="1272" spans="1:7" x14ac:dyDescent="0.3">
      <c r="A1272" s="2">
        <f t="shared" si="99"/>
        <v>46230.458333336413</v>
      </c>
      <c r="B1272">
        <v>12.3</v>
      </c>
      <c r="C1272" s="2">
        <f t="shared" si="95"/>
        <v>46230</v>
      </c>
      <c r="D1272" s="1">
        <f t="shared" si="96"/>
        <v>11</v>
      </c>
      <c r="E1272" t="str">
        <f t="shared" si="97"/>
        <v>Monday</v>
      </c>
      <c r="F1272">
        <f>Assumptions!$B$2</f>
        <v>0.5</v>
      </c>
      <c r="G1272">
        <f t="shared" si="98"/>
        <v>6.15</v>
      </c>
    </row>
    <row r="1273" spans="1:7" x14ac:dyDescent="0.3">
      <c r="A1273" s="2">
        <f t="shared" si="99"/>
        <v>46230.479166669749</v>
      </c>
      <c r="B1273">
        <v>14.1</v>
      </c>
      <c r="C1273" s="2">
        <f t="shared" si="95"/>
        <v>46230</v>
      </c>
      <c r="D1273" s="1">
        <f t="shared" si="96"/>
        <v>11.5</v>
      </c>
      <c r="E1273" t="str">
        <f t="shared" si="97"/>
        <v>Monday</v>
      </c>
      <c r="F1273">
        <f>Assumptions!$B$2</f>
        <v>0.5</v>
      </c>
      <c r="G1273">
        <f t="shared" si="98"/>
        <v>7.05</v>
      </c>
    </row>
    <row r="1274" spans="1:7" x14ac:dyDescent="0.3">
      <c r="A1274" s="2">
        <f t="shared" si="99"/>
        <v>46230.500000003085</v>
      </c>
      <c r="B1274">
        <v>24.1</v>
      </c>
      <c r="C1274" s="2">
        <f t="shared" si="95"/>
        <v>46230</v>
      </c>
      <c r="D1274" s="1">
        <f t="shared" si="96"/>
        <v>12</v>
      </c>
      <c r="E1274" t="str">
        <f t="shared" si="97"/>
        <v>Monday</v>
      </c>
      <c r="F1274">
        <f>Assumptions!$B$2</f>
        <v>0.5</v>
      </c>
      <c r="G1274">
        <f t="shared" si="98"/>
        <v>12.05</v>
      </c>
    </row>
    <row r="1275" spans="1:7" x14ac:dyDescent="0.3">
      <c r="A1275" s="2">
        <f t="shared" si="99"/>
        <v>46230.520833336421</v>
      </c>
      <c r="B1275">
        <v>29.1</v>
      </c>
      <c r="C1275" s="2">
        <f t="shared" si="95"/>
        <v>46230</v>
      </c>
      <c r="D1275" s="1">
        <f t="shared" si="96"/>
        <v>12.5</v>
      </c>
      <c r="E1275" t="str">
        <f t="shared" si="97"/>
        <v>Monday</v>
      </c>
      <c r="F1275">
        <f>Assumptions!$B$2</f>
        <v>0.5</v>
      </c>
      <c r="G1275">
        <f t="shared" si="98"/>
        <v>14.55</v>
      </c>
    </row>
    <row r="1276" spans="1:7" x14ac:dyDescent="0.3">
      <c r="A1276" s="2">
        <f t="shared" si="99"/>
        <v>46230.541666669757</v>
      </c>
      <c r="B1276">
        <v>18</v>
      </c>
      <c r="C1276" s="2">
        <f t="shared" si="95"/>
        <v>46230</v>
      </c>
      <c r="D1276" s="1">
        <f t="shared" si="96"/>
        <v>13</v>
      </c>
      <c r="E1276" t="str">
        <f t="shared" si="97"/>
        <v>Monday</v>
      </c>
      <c r="F1276">
        <f>Assumptions!$B$2</f>
        <v>0.5</v>
      </c>
      <c r="G1276">
        <f t="shared" si="98"/>
        <v>9</v>
      </c>
    </row>
    <row r="1277" spans="1:7" x14ac:dyDescent="0.3">
      <c r="A1277" s="2">
        <f t="shared" si="99"/>
        <v>46230.562500003092</v>
      </c>
      <c r="B1277">
        <v>27.6</v>
      </c>
      <c r="C1277" s="2">
        <f t="shared" si="95"/>
        <v>46230</v>
      </c>
      <c r="D1277" s="1">
        <f t="shared" si="96"/>
        <v>13.5</v>
      </c>
      <c r="E1277" t="str">
        <f t="shared" si="97"/>
        <v>Monday</v>
      </c>
      <c r="F1277">
        <f>Assumptions!$B$2</f>
        <v>0.5</v>
      </c>
      <c r="G1277">
        <f t="shared" si="98"/>
        <v>13.8</v>
      </c>
    </row>
    <row r="1278" spans="1:7" x14ac:dyDescent="0.3">
      <c r="A1278" s="2">
        <f t="shared" si="99"/>
        <v>46230.583333336428</v>
      </c>
      <c r="B1278">
        <v>20.9</v>
      </c>
      <c r="C1278" s="2">
        <f t="shared" si="95"/>
        <v>46230</v>
      </c>
      <c r="D1278" s="1">
        <f t="shared" si="96"/>
        <v>14</v>
      </c>
      <c r="E1278" t="str">
        <f t="shared" si="97"/>
        <v>Monday</v>
      </c>
      <c r="F1278">
        <f>Assumptions!$B$2</f>
        <v>0.5</v>
      </c>
      <c r="G1278">
        <f t="shared" si="98"/>
        <v>10.45</v>
      </c>
    </row>
    <row r="1279" spans="1:7" x14ac:dyDescent="0.3">
      <c r="A1279" s="2">
        <f t="shared" si="99"/>
        <v>46230.604166669764</v>
      </c>
      <c r="B1279">
        <v>20.399999999999999</v>
      </c>
      <c r="C1279" s="2">
        <f t="shared" si="95"/>
        <v>46230</v>
      </c>
      <c r="D1279" s="1">
        <f t="shared" si="96"/>
        <v>14.5</v>
      </c>
      <c r="E1279" t="str">
        <f t="shared" si="97"/>
        <v>Monday</v>
      </c>
      <c r="F1279">
        <f>Assumptions!$B$2</f>
        <v>0.5</v>
      </c>
      <c r="G1279">
        <f t="shared" si="98"/>
        <v>10.199999999999999</v>
      </c>
    </row>
    <row r="1280" spans="1:7" x14ac:dyDescent="0.3">
      <c r="A1280" s="2">
        <f t="shared" si="99"/>
        <v>46230.6250000031</v>
      </c>
      <c r="B1280">
        <v>32.799999999999997</v>
      </c>
      <c r="C1280" s="2">
        <f t="shared" si="95"/>
        <v>46230</v>
      </c>
      <c r="D1280" s="1">
        <f t="shared" si="96"/>
        <v>15</v>
      </c>
      <c r="E1280" t="str">
        <f t="shared" si="97"/>
        <v>Monday</v>
      </c>
      <c r="F1280">
        <f>Assumptions!$B$2</f>
        <v>0.5</v>
      </c>
      <c r="G1280">
        <f t="shared" si="98"/>
        <v>16.399999999999999</v>
      </c>
    </row>
    <row r="1281" spans="1:7" x14ac:dyDescent="0.3">
      <c r="A1281" s="2">
        <f t="shared" si="99"/>
        <v>46230.645833336435</v>
      </c>
      <c r="B1281">
        <v>27.9</v>
      </c>
      <c r="C1281" s="2">
        <f t="shared" si="95"/>
        <v>46230</v>
      </c>
      <c r="D1281" s="1">
        <f t="shared" si="96"/>
        <v>15.5</v>
      </c>
      <c r="E1281" t="str">
        <f t="shared" si="97"/>
        <v>Monday</v>
      </c>
      <c r="F1281">
        <f>Assumptions!$B$2</f>
        <v>0.5</v>
      </c>
      <c r="G1281">
        <f t="shared" si="98"/>
        <v>13.95</v>
      </c>
    </row>
    <row r="1282" spans="1:7" x14ac:dyDescent="0.3">
      <c r="A1282" s="2">
        <f t="shared" si="99"/>
        <v>46230.666666669771</v>
      </c>
      <c r="B1282">
        <v>14.3</v>
      </c>
      <c r="C1282" s="2">
        <f t="shared" si="95"/>
        <v>46230</v>
      </c>
      <c r="D1282" s="1">
        <f t="shared" si="96"/>
        <v>16</v>
      </c>
      <c r="E1282" t="str">
        <f t="shared" si="97"/>
        <v>Monday</v>
      </c>
      <c r="F1282">
        <f>Assumptions!$B$2</f>
        <v>0.5</v>
      </c>
      <c r="G1282">
        <f t="shared" si="98"/>
        <v>7.15</v>
      </c>
    </row>
    <row r="1283" spans="1:7" x14ac:dyDescent="0.3">
      <c r="A1283" s="2">
        <f t="shared" si="99"/>
        <v>46230.687500003107</v>
      </c>
      <c r="B1283">
        <v>17.7</v>
      </c>
      <c r="C1283" s="2">
        <f t="shared" ref="C1283:C1346" si="100">INT(A1283)</f>
        <v>46230</v>
      </c>
      <c r="D1283" s="1">
        <f t="shared" ref="D1283:D1346" si="101">HOUR(A1283)+MINUTE(A1283)/60</f>
        <v>16.5</v>
      </c>
      <c r="E1283" t="str">
        <f t="shared" ref="E1283:E1346" si="102">TEXT(A1283,"dddd")</f>
        <v>Monday</v>
      </c>
      <c r="F1283">
        <f>Assumptions!$B$2</f>
        <v>0.5</v>
      </c>
      <c r="G1283">
        <f t="shared" ref="G1283:G1346" si="103">B1283*F1283</f>
        <v>8.85</v>
      </c>
    </row>
    <row r="1284" spans="1:7" x14ac:dyDescent="0.3">
      <c r="A1284" s="2">
        <f t="shared" ref="A1284:A1347" si="104">A1283+TIME(0,30,0)</f>
        <v>46230.708333336443</v>
      </c>
      <c r="B1284">
        <v>10.6</v>
      </c>
      <c r="C1284" s="2">
        <f t="shared" si="100"/>
        <v>46230</v>
      </c>
      <c r="D1284" s="1">
        <f t="shared" si="101"/>
        <v>17</v>
      </c>
      <c r="E1284" t="str">
        <f t="shared" si="102"/>
        <v>Monday</v>
      </c>
      <c r="F1284">
        <f>Assumptions!$B$2</f>
        <v>0.5</v>
      </c>
      <c r="G1284">
        <f t="shared" si="103"/>
        <v>5.3</v>
      </c>
    </row>
    <row r="1285" spans="1:7" x14ac:dyDescent="0.3">
      <c r="A1285" s="2">
        <f t="shared" si="104"/>
        <v>46230.729166669778</v>
      </c>
      <c r="B1285">
        <v>19.3</v>
      </c>
      <c r="C1285" s="2">
        <f t="shared" si="100"/>
        <v>46230</v>
      </c>
      <c r="D1285" s="1">
        <f t="shared" si="101"/>
        <v>17.5</v>
      </c>
      <c r="E1285" t="str">
        <f t="shared" si="102"/>
        <v>Monday</v>
      </c>
      <c r="F1285">
        <f>Assumptions!$B$2</f>
        <v>0.5</v>
      </c>
      <c r="G1285">
        <f t="shared" si="103"/>
        <v>9.65</v>
      </c>
    </row>
    <row r="1286" spans="1:7" x14ac:dyDescent="0.3">
      <c r="A1286" s="2">
        <f t="shared" si="104"/>
        <v>46230.750000003114</v>
      </c>
      <c r="B1286">
        <v>16.100000000000001</v>
      </c>
      <c r="C1286" s="2">
        <f t="shared" si="100"/>
        <v>46230</v>
      </c>
      <c r="D1286" s="1">
        <f t="shared" si="101"/>
        <v>18</v>
      </c>
      <c r="E1286" t="str">
        <f t="shared" si="102"/>
        <v>Monday</v>
      </c>
      <c r="F1286">
        <f>Assumptions!$B$2</f>
        <v>0.5</v>
      </c>
      <c r="G1286">
        <f t="shared" si="103"/>
        <v>8.0500000000000007</v>
      </c>
    </row>
    <row r="1287" spans="1:7" x14ac:dyDescent="0.3">
      <c r="A1287" s="2">
        <f t="shared" si="104"/>
        <v>46230.77083333645</v>
      </c>
      <c r="B1287">
        <v>17.3</v>
      </c>
      <c r="C1287" s="2">
        <f t="shared" si="100"/>
        <v>46230</v>
      </c>
      <c r="D1287" s="1">
        <f t="shared" si="101"/>
        <v>18.5</v>
      </c>
      <c r="E1287" t="str">
        <f t="shared" si="102"/>
        <v>Monday</v>
      </c>
      <c r="F1287">
        <f>Assumptions!$B$2</f>
        <v>0.5</v>
      </c>
      <c r="G1287">
        <f t="shared" si="103"/>
        <v>8.65</v>
      </c>
    </row>
    <row r="1288" spans="1:7" x14ac:dyDescent="0.3">
      <c r="A1288" s="2">
        <f t="shared" si="104"/>
        <v>46230.791666669786</v>
      </c>
      <c r="B1288">
        <v>3.8</v>
      </c>
      <c r="C1288" s="2">
        <f t="shared" si="100"/>
        <v>46230</v>
      </c>
      <c r="D1288" s="1">
        <f t="shared" si="101"/>
        <v>19</v>
      </c>
      <c r="E1288" t="str">
        <f t="shared" si="102"/>
        <v>Monday</v>
      </c>
      <c r="F1288">
        <f>Assumptions!$B$2</f>
        <v>0.5</v>
      </c>
      <c r="G1288">
        <f t="shared" si="103"/>
        <v>1.9</v>
      </c>
    </row>
    <row r="1289" spans="1:7" x14ac:dyDescent="0.3">
      <c r="A1289" s="2">
        <f t="shared" si="104"/>
        <v>46230.812500003121</v>
      </c>
      <c r="B1289">
        <v>4.2</v>
      </c>
      <c r="C1289" s="2">
        <f t="shared" si="100"/>
        <v>46230</v>
      </c>
      <c r="D1289" s="1">
        <f t="shared" si="101"/>
        <v>19.5</v>
      </c>
      <c r="E1289" t="str">
        <f t="shared" si="102"/>
        <v>Monday</v>
      </c>
      <c r="F1289">
        <f>Assumptions!$B$2</f>
        <v>0.5</v>
      </c>
      <c r="G1289">
        <f t="shared" si="103"/>
        <v>2.1</v>
      </c>
    </row>
    <row r="1290" spans="1:7" x14ac:dyDescent="0.3">
      <c r="A1290" s="2">
        <f t="shared" si="104"/>
        <v>46230.833333336457</v>
      </c>
      <c r="B1290">
        <v>7.9</v>
      </c>
      <c r="C1290" s="2">
        <f t="shared" si="100"/>
        <v>46230</v>
      </c>
      <c r="D1290" s="1">
        <f t="shared" si="101"/>
        <v>20</v>
      </c>
      <c r="E1290" t="str">
        <f t="shared" si="102"/>
        <v>Monday</v>
      </c>
      <c r="F1290">
        <f>Assumptions!$B$2</f>
        <v>0.5</v>
      </c>
      <c r="G1290">
        <f t="shared" si="103"/>
        <v>3.95</v>
      </c>
    </row>
    <row r="1291" spans="1:7" x14ac:dyDescent="0.3">
      <c r="A1291" s="2">
        <f t="shared" si="104"/>
        <v>46230.854166669793</v>
      </c>
      <c r="B1291">
        <v>3.7</v>
      </c>
      <c r="C1291" s="2">
        <f t="shared" si="100"/>
        <v>46230</v>
      </c>
      <c r="D1291" s="1">
        <f t="shared" si="101"/>
        <v>20.5</v>
      </c>
      <c r="E1291" t="str">
        <f t="shared" si="102"/>
        <v>Monday</v>
      </c>
      <c r="F1291">
        <f>Assumptions!$B$2</f>
        <v>0.5</v>
      </c>
      <c r="G1291">
        <f t="shared" si="103"/>
        <v>1.85</v>
      </c>
    </row>
    <row r="1292" spans="1:7" x14ac:dyDescent="0.3">
      <c r="A1292" s="2">
        <f t="shared" si="104"/>
        <v>46230.875000003129</v>
      </c>
      <c r="B1292">
        <v>3.9</v>
      </c>
      <c r="C1292" s="2">
        <f t="shared" si="100"/>
        <v>46230</v>
      </c>
      <c r="D1292" s="1">
        <f t="shared" si="101"/>
        <v>21</v>
      </c>
      <c r="E1292" t="str">
        <f t="shared" si="102"/>
        <v>Monday</v>
      </c>
      <c r="F1292">
        <f>Assumptions!$B$2</f>
        <v>0.5</v>
      </c>
      <c r="G1292">
        <f t="shared" si="103"/>
        <v>1.95</v>
      </c>
    </row>
    <row r="1293" spans="1:7" x14ac:dyDescent="0.3">
      <c r="A1293" s="2">
        <f t="shared" si="104"/>
        <v>46230.895833336464</v>
      </c>
      <c r="B1293">
        <v>3.5</v>
      </c>
      <c r="C1293" s="2">
        <f t="shared" si="100"/>
        <v>46230</v>
      </c>
      <c r="D1293" s="1">
        <f t="shared" si="101"/>
        <v>21.5</v>
      </c>
      <c r="E1293" t="str">
        <f t="shared" si="102"/>
        <v>Monday</v>
      </c>
      <c r="F1293">
        <f>Assumptions!$B$2</f>
        <v>0.5</v>
      </c>
      <c r="G1293">
        <f t="shared" si="103"/>
        <v>1.75</v>
      </c>
    </row>
    <row r="1294" spans="1:7" x14ac:dyDescent="0.3">
      <c r="A1294" s="2">
        <f t="shared" si="104"/>
        <v>46230.9166666698</v>
      </c>
      <c r="B1294">
        <v>3.6</v>
      </c>
      <c r="C1294" s="2">
        <f t="shared" si="100"/>
        <v>46230</v>
      </c>
      <c r="D1294" s="1">
        <f t="shared" si="101"/>
        <v>22</v>
      </c>
      <c r="E1294" t="str">
        <f t="shared" si="102"/>
        <v>Monday</v>
      </c>
      <c r="F1294">
        <f>Assumptions!$B$2</f>
        <v>0.5</v>
      </c>
      <c r="G1294">
        <f t="shared" si="103"/>
        <v>1.8</v>
      </c>
    </row>
    <row r="1295" spans="1:7" x14ac:dyDescent="0.3">
      <c r="A1295" s="2">
        <f t="shared" si="104"/>
        <v>46230.937500003136</v>
      </c>
      <c r="B1295">
        <v>4.5</v>
      </c>
      <c r="C1295" s="2">
        <f t="shared" si="100"/>
        <v>46230</v>
      </c>
      <c r="D1295" s="1">
        <f t="shared" si="101"/>
        <v>22.5</v>
      </c>
      <c r="E1295" t="str">
        <f t="shared" si="102"/>
        <v>Monday</v>
      </c>
      <c r="F1295">
        <f>Assumptions!$B$2</f>
        <v>0.5</v>
      </c>
      <c r="G1295">
        <f t="shared" si="103"/>
        <v>2.25</v>
      </c>
    </row>
    <row r="1296" spans="1:7" x14ac:dyDescent="0.3">
      <c r="A1296" s="2">
        <f t="shared" si="104"/>
        <v>46230.958333336472</v>
      </c>
      <c r="B1296">
        <v>5.8</v>
      </c>
      <c r="C1296" s="2">
        <f t="shared" si="100"/>
        <v>46230</v>
      </c>
      <c r="D1296" s="1">
        <f t="shared" si="101"/>
        <v>23</v>
      </c>
      <c r="E1296" t="str">
        <f t="shared" si="102"/>
        <v>Monday</v>
      </c>
      <c r="F1296">
        <f>Assumptions!$B$2</f>
        <v>0.5</v>
      </c>
      <c r="G1296">
        <f t="shared" si="103"/>
        <v>2.9</v>
      </c>
    </row>
    <row r="1297" spans="1:7" x14ac:dyDescent="0.3">
      <c r="A1297" s="2">
        <f t="shared" si="104"/>
        <v>46230.979166669807</v>
      </c>
      <c r="B1297">
        <v>3.6</v>
      </c>
      <c r="C1297" s="2">
        <f t="shared" si="100"/>
        <v>46230</v>
      </c>
      <c r="D1297" s="1">
        <f t="shared" si="101"/>
        <v>23.5</v>
      </c>
      <c r="E1297" t="str">
        <f t="shared" si="102"/>
        <v>Monday</v>
      </c>
      <c r="F1297">
        <f>Assumptions!$B$2</f>
        <v>0.5</v>
      </c>
      <c r="G1297">
        <f t="shared" si="103"/>
        <v>1.8</v>
      </c>
    </row>
    <row r="1298" spans="1:7" x14ac:dyDescent="0.3">
      <c r="A1298" s="2">
        <f t="shared" si="104"/>
        <v>46231.000000003143</v>
      </c>
      <c r="B1298">
        <v>2.4</v>
      </c>
      <c r="C1298" s="2">
        <f t="shared" si="100"/>
        <v>46231</v>
      </c>
      <c r="D1298" s="1">
        <f t="shared" si="101"/>
        <v>0</v>
      </c>
      <c r="E1298" t="str">
        <f t="shared" si="102"/>
        <v>Tuesday</v>
      </c>
      <c r="F1298">
        <f>Assumptions!$B$2</f>
        <v>0.5</v>
      </c>
      <c r="G1298">
        <f t="shared" si="103"/>
        <v>1.2</v>
      </c>
    </row>
    <row r="1299" spans="1:7" x14ac:dyDescent="0.3">
      <c r="A1299" s="2">
        <f t="shared" si="104"/>
        <v>46231.020833336479</v>
      </c>
      <c r="B1299">
        <v>2.4</v>
      </c>
      <c r="C1299" s="2">
        <f t="shared" si="100"/>
        <v>46231</v>
      </c>
      <c r="D1299" s="1">
        <f t="shared" si="101"/>
        <v>0.5</v>
      </c>
      <c r="E1299" t="str">
        <f t="shared" si="102"/>
        <v>Tuesday</v>
      </c>
      <c r="F1299">
        <f>Assumptions!$B$2</f>
        <v>0.5</v>
      </c>
      <c r="G1299">
        <f t="shared" si="103"/>
        <v>1.2</v>
      </c>
    </row>
    <row r="1300" spans="1:7" x14ac:dyDescent="0.3">
      <c r="A1300" s="2">
        <f t="shared" si="104"/>
        <v>46231.041666669815</v>
      </c>
      <c r="B1300">
        <v>2.7</v>
      </c>
      <c r="C1300" s="2">
        <f t="shared" si="100"/>
        <v>46231</v>
      </c>
      <c r="D1300" s="1">
        <f t="shared" si="101"/>
        <v>1</v>
      </c>
      <c r="E1300" t="str">
        <f t="shared" si="102"/>
        <v>Tuesday</v>
      </c>
      <c r="F1300">
        <f>Assumptions!$B$2</f>
        <v>0.5</v>
      </c>
      <c r="G1300">
        <f t="shared" si="103"/>
        <v>1.35</v>
      </c>
    </row>
    <row r="1301" spans="1:7" x14ac:dyDescent="0.3">
      <c r="A1301" s="2">
        <f t="shared" si="104"/>
        <v>46231.06250000315</v>
      </c>
      <c r="B1301">
        <v>2.9</v>
      </c>
      <c r="C1301" s="2">
        <f t="shared" si="100"/>
        <v>46231</v>
      </c>
      <c r="D1301" s="1">
        <f t="shared" si="101"/>
        <v>1.5</v>
      </c>
      <c r="E1301" t="str">
        <f t="shared" si="102"/>
        <v>Tuesday</v>
      </c>
      <c r="F1301">
        <f>Assumptions!$B$2</f>
        <v>0.5</v>
      </c>
      <c r="G1301">
        <f t="shared" si="103"/>
        <v>1.45</v>
      </c>
    </row>
    <row r="1302" spans="1:7" x14ac:dyDescent="0.3">
      <c r="A1302" s="2">
        <f t="shared" si="104"/>
        <v>46231.083333336486</v>
      </c>
      <c r="B1302">
        <v>2</v>
      </c>
      <c r="C1302" s="2">
        <f t="shared" si="100"/>
        <v>46231</v>
      </c>
      <c r="D1302" s="1">
        <f t="shared" si="101"/>
        <v>2</v>
      </c>
      <c r="E1302" t="str">
        <f t="shared" si="102"/>
        <v>Tuesday</v>
      </c>
      <c r="F1302">
        <f>Assumptions!$B$2</f>
        <v>0.5</v>
      </c>
      <c r="G1302">
        <f t="shared" si="103"/>
        <v>1</v>
      </c>
    </row>
    <row r="1303" spans="1:7" x14ac:dyDescent="0.3">
      <c r="A1303" s="2">
        <f t="shared" si="104"/>
        <v>46231.104166669822</v>
      </c>
      <c r="B1303">
        <v>2.7</v>
      </c>
      <c r="C1303" s="2">
        <f t="shared" si="100"/>
        <v>46231</v>
      </c>
      <c r="D1303" s="1">
        <f t="shared" si="101"/>
        <v>2.5</v>
      </c>
      <c r="E1303" t="str">
        <f t="shared" si="102"/>
        <v>Tuesday</v>
      </c>
      <c r="F1303">
        <f>Assumptions!$B$2</f>
        <v>0.5</v>
      </c>
      <c r="G1303">
        <f t="shared" si="103"/>
        <v>1.35</v>
      </c>
    </row>
    <row r="1304" spans="1:7" x14ac:dyDescent="0.3">
      <c r="A1304" s="2">
        <f t="shared" si="104"/>
        <v>46231.125000003158</v>
      </c>
      <c r="B1304">
        <v>2.9</v>
      </c>
      <c r="C1304" s="2">
        <f t="shared" si="100"/>
        <v>46231</v>
      </c>
      <c r="D1304" s="1">
        <f t="shared" si="101"/>
        <v>3</v>
      </c>
      <c r="E1304" t="str">
        <f t="shared" si="102"/>
        <v>Tuesday</v>
      </c>
      <c r="F1304">
        <f>Assumptions!$B$2</f>
        <v>0.5</v>
      </c>
      <c r="G1304">
        <f t="shared" si="103"/>
        <v>1.45</v>
      </c>
    </row>
    <row r="1305" spans="1:7" x14ac:dyDescent="0.3">
      <c r="A1305" s="2">
        <f t="shared" si="104"/>
        <v>46231.145833336494</v>
      </c>
      <c r="B1305">
        <v>2.6</v>
      </c>
      <c r="C1305" s="2">
        <f t="shared" si="100"/>
        <v>46231</v>
      </c>
      <c r="D1305" s="1">
        <f t="shared" si="101"/>
        <v>3.5</v>
      </c>
      <c r="E1305" t="str">
        <f t="shared" si="102"/>
        <v>Tuesday</v>
      </c>
      <c r="F1305">
        <f>Assumptions!$B$2</f>
        <v>0.5</v>
      </c>
      <c r="G1305">
        <f t="shared" si="103"/>
        <v>1.3</v>
      </c>
    </row>
    <row r="1306" spans="1:7" x14ac:dyDescent="0.3">
      <c r="A1306" s="2">
        <f t="shared" si="104"/>
        <v>46231.166666669829</v>
      </c>
      <c r="B1306">
        <v>2.2000000000000002</v>
      </c>
      <c r="C1306" s="2">
        <f t="shared" si="100"/>
        <v>46231</v>
      </c>
      <c r="D1306" s="1">
        <f t="shared" si="101"/>
        <v>4</v>
      </c>
      <c r="E1306" t="str">
        <f t="shared" si="102"/>
        <v>Tuesday</v>
      </c>
      <c r="F1306">
        <f>Assumptions!$B$2</f>
        <v>0.5</v>
      </c>
      <c r="G1306">
        <f t="shared" si="103"/>
        <v>1.1000000000000001</v>
      </c>
    </row>
    <row r="1307" spans="1:7" x14ac:dyDescent="0.3">
      <c r="A1307" s="2">
        <f t="shared" si="104"/>
        <v>46231.187500003165</v>
      </c>
      <c r="B1307">
        <v>2.2999999999999998</v>
      </c>
      <c r="C1307" s="2">
        <f t="shared" si="100"/>
        <v>46231</v>
      </c>
      <c r="D1307" s="1">
        <f t="shared" si="101"/>
        <v>4.5</v>
      </c>
      <c r="E1307" t="str">
        <f t="shared" si="102"/>
        <v>Tuesday</v>
      </c>
      <c r="F1307">
        <f>Assumptions!$B$2</f>
        <v>0.5</v>
      </c>
      <c r="G1307">
        <f t="shared" si="103"/>
        <v>1.1499999999999999</v>
      </c>
    </row>
    <row r="1308" spans="1:7" x14ac:dyDescent="0.3">
      <c r="A1308" s="2">
        <f t="shared" si="104"/>
        <v>46231.208333336501</v>
      </c>
      <c r="B1308">
        <v>1.9</v>
      </c>
      <c r="C1308" s="2">
        <f t="shared" si="100"/>
        <v>46231</v>
      </c>
      <c r="D1308" s="1">
        <f t="shared" si="101"/>
        <v>5</v>
      </c>
      <c r="E1308" t="str">
        <f t="shared" si="102"/>
        <v>Tuesday</v>
      </c>
      <c r="F1308">
        <f>Assumptions!$B$2</f>
        <v>0.5</v>
      </c>
      <c r="G1308">
        <f t="shared" si="103"/>
        <v>0.95</v>
      </c>
    </row>
    <row r="1309" spans="1:7" x14ac:dyDescent="0.3">
      <c r="A1309" s="2">
        <f t="shared" si="104"/>
        <v>46231.229166669837</v>
      </c>
      <c r="B1309">
        <v>2</v>
      </c>
      <c r="C1309" s="2">
        <f t="shared" si="100"/>
        <v>46231</v>
      </c>
      <c r="D1309" s="1">
        <f t="shared" si="101"/>
        <v>5.5</v>
      </c>
      <c r="E1309" t="str">
        <f t="shared" si="102"/>
        <v>Tuesday</v>
      </c>
      <c r="F1309">
        <f>Assumptions!$B$2</f>
        <v>0.5</v>
      </c>
      <c r="G1309">
        <f t="shared" si="103"/>
        <v>1</v>
      </c>
    </row>
    <row r="1310" spans="1:7" x14ac:dyDescent="0.3">
      <c r="A1310" s="2">
        <f t="shared" si="104"/>
        <v>46231.250000003172</v>
      </c>
      <c r="B1310">
        <v>6.3</v>
      </c>
      <c r="C1310" s="2">
        <f t="shared" si="100"/>
        <v>46231</v>
      </c>
      <c r="D1310" s="1">
        <f t="shared" si="101"/>
        <v>6</v>
      </c>
      <c r="E1310" t="str">
        <f t="shared" si="102"/>
        <v>Tuesday</v>
      </c>
      <c r="F1310">
        <f>Assumptions!$B$2</f>
        <v>0.5</v>
      </c>
      <c r="G1310">
        <f t="shared" si="103"/>
        <v>3.15</v>
      </c>
    </row>
    <row r="1311" spans="1:7" x14ac:dyDescent="0.3">
      <c r="A1311" s="2">
        <f t="shared" si="104"/>
        <v>46231.270833336508</v>
      </c>
      <c r="B1311">
        <v>5.8</v>
      </c>
      <c r="C1311" s="2">
        <f t="shared" si="100"/>
        <v>46231</v>
      </c>
      <c r="D1311" s="1">
        <f t="shared" si="101"/>
        <v>6.5</v>
      </c>
      <c r="E1311" t="str">
        <f t="shared" si="102"/>
        <v>Tuesday</v>
      </c>
      <c r="F1311">
        <f>Assumptions!$B$2</f>
        <v>0.5</v>
      </c>
      <c r="G1311">
        <f t="shared" si="103"/>
        <v>2.9</v>
      </c>
    </row>
    <row r="1312" spans="1:7" x14ac:dyDescent="0.3">
      <c r="A1312" s="2">
        <f t="shared" si="104"/>
        <v>46231.291666669844</v>
      </c>
      <c r="B1312">
        <v>6.2</v>
      </c>
      <c r="C1312" s="2">
        <f t="shared" si="100"/>
        <v>46231</v>
      </c>
      <c r="D1312" s="1">
        <f t="shared" si="101"/>
        <v>7</v>
      </c>
      <c r="E1312" t="str">
        <f t="shared" si="102"/>
        <v>Tuesday</v>
      </c>
      <c r="F1312">
        <f>Assumptions!$B$2</f>
        <v>0.5</v>
      </c>
      <c r="G1312">
        <f t="shared" si="103"/>
        <v>3.1</v>
      </c>
    </row>
    <row r="1313" spans="1:7" x14ac:dyDescent="0.3">
      <c r="A1313" s="2">
        <f t="shared" si="104"/>
        <v>46231.31250000318</v>
      </c>
      <c r="B1313">
        <v>6.9</v>
      </c>
      <c r="C1313" s="2">
        <f t="shared" si="100"/>
        <v>46231</v>
      </c>
      <c r="D1313" s="1">
        <f t="shared" si="101"/>
        <v>7.5</v>
      </c>
      <c r="E1313" t="str">
        <f t="shared" si="102"/>
        <v>Tuesday</v>
      </c>
      <c r="F1313">
        <f>Assumptions!$B$2</f>
        <v>0.5</v>
      </c>
      <c r="G1313">
        <f t="shared" si="103"/>
        <v>3.45</v>
      </c>
    </row>
    <row r="1314" spans="1:7" x14ac:dyDescent="0.3">
      <c r="A1314" s="2">
        <f t="shared" si="104"/>
        <v>46231.333333336515</v>
      </c>
      <c r="B1314">
        <v>15.8</v>
      </c>
      <c r="C1314" s="2">
        <f t="shared" si="100"/>
        <v>46231</v>
      </c>
      <c r="D1314" s="1">
        <f t="shared" si="101"/>
        <v>8</v>
      </c>
      <c r="E1314" t="str">
        <f t="shared" si="102"/>
        <v>Tuesday</v>
      </c>
      <c r="F1314">
        <f>Assumptions!$B$2</f>
        <v>0.5</v>
      </c>
      <c r="G1314">
        <f t="shared" si="103"/>
        <v>7.9</v>
      </c>
    </row>
    <row r="1315" spans="1:7" x14ac:dyDescent="0.3">
      <c r="A1315" s="2">
        <f t="shared" si="104"/>
        <v>46231.354166669851</v>
      </c>
      <c r="B1315">
        <v>20.2</v>
      </c>
      <c r="C1315" s="2">
        <f t="shared" si="100"/>
        <v>46231</v>
      </c>
      <c r="D1315" s="1">
        <f t="shared" si="101"/>
        <v>8.5</v>
      </c>
      <c r="E1315" t="str">
        <f t="shared" si="102"/>
        <v>Tuesday</v>
      </c>
      <c r="F1315">
        <f>Assumptions!$B$2</f>
        <v>0.5</v>
      </c>
      <c r="G1315">
        <f t="shared" si="103"/>
        <v>10.1</v>
      </c>
    </row>
    <row r="1316" spans="1:7" x14ac:dyDescent="0.3">
      <c r="A1316" s="2">
        <f t="shared" si="104"/>
        <v>46231.375000003187</v>
      </c>
      <c r="B1316">
        <v>18.100000000000001</v>
      </c>
      <c r="C1316" s="2">
        <f t="shared" si="100"/>
        <v>46231</v>
      </c>
      <c r="D1316" s="1">
        <f t="shared" si="101"/>
        <v>9</v>
      </c>
      <c r="E1316" t="str">
        <f t="shared" si="102"/>
        <v>Tuesday</v>
      </c>
      <c r="F1316">
        <f>Assumptions!$B$2</f>
        <v>0.5</v>
      </c>
      <c r="G1316">
        <f t="shared" si="103"/>
        <v>9.0500000000000007</v>
      </c>
    </row>
    <row r="1317" spans="1:7" x14ac:dyDescent="0.3">
      <c r="A1317" s="2">
        <f t="shared" si="104"/>
        <v>46231.395833336523</v>
      </c>
      <c r="B1317">
        <v>12.9</v>
      </c>
      <c r="C1317" s="2">
        <f t="shared" si="100"/>
        <v>46231</v>
      </c>
      <c r="D1317" s="1">
        <f t="shared" si="101"/>
        <v>9.5</v>
      </c>
      <c r="E1317" t="str">
        <f t="shared" si="102"/>
        <v>Tuesday</v>
      </c>
      <c r="F1317">
        <f>Assumptions!$B$2</f>
        <v>0.5</v>
      </c>
      <c r="G1317">
        <f t="shared" si="103"/>
        <v>6.45</v>
      </c>
    </row>
    <row r="1318" spans="1:7" x14ac:dyDescent="0.3">
      <c r="A1318" s="2">
        <f t="shared" si="104"/>
        <v>46231.416666669858</v>
      </c>
      <c r="B1318">
        <v>16</v>
      </c>
      <c r="C1318" s="2">
        <f t="shared" si="100"/>
        <v>46231</v>
      </c>
      <c r="D1318" s="1">
        <f t="shared" si="101"/>
        <v>10</v>
      </c>
      <c r="E1318" t="str">
        <f t="shared" si="102"/>
        <v>Tuesday</v>
      </c>
      <c r="F1318">
        <f>Assumptions!$B$2</f>
        <v>0.5</v>
      </c>
      <c r="G1318">
        <f t="shared" si="103"/>
        <v>8</v>
      </c>
    </row>
    <row r="1319" spans="1:7" x14ac:dyDescent="0.3">
      <c r="A1319" s="2">
        <f t="shared" si="104"/>
        <v>46231.437500003194</v>
      </c>
      <c r="B1319">
        <v>19.100000000000001</v>
      </c>
      <c r="C1319" s="2">
        <f t="shared" si="100"/>
        <v>46231</v>
      </c>
      <c r="D1319" s="1">
        <f t="shared" si="101"/>
        <v>10.5</v>
      </c>
      <c r="E1319" t="str">
        <f t="shared" si="102"/>
        <v>Tuesday</v>
      </c>
      <c r="F1319">
        <f>Assumptions!$B$2</f>
        <v>0.5</v>
      </c>
      <c r="G1319">
        <f t="shared" si="103"/>
        <v>9.5500000000000007</v>
      </c>
    </row>
    <row r="1320" spans="1:7" x14ac:dyDescent="0.3">
      <c r="A1320" s="2">
        <f t="shared" si="104"/>
        <v>46231.45833333653</v>
      </c>
      <c r="B1320">
        <v>13.5</v>
      </c>
      <c r="C1320" s="2">
        <f t="shared" si="100"/>
        <v>46231</v>
      </c>
      <c r="D1320" s="1">
        <f t="shared" si="101"/>
        <v>11</v>
      </c>
      <c r="E1320" t="str">
        <f t="shared" si="102"/>
        <v>Tuesday</v>
      </c>
      <c r="F1320">
        <f>Assumptions!$B$2</f>
        <v>0.5</v>
      </c>
      <c r="G1320">
        <f t="shared" si="103"/>
        <v>6.75</v>
      </c>
    </row>
    <row r="1321" spans="1:7" x14ac:dyDescent="0.3">
      <c r="A1321" s="2">
        <f t="shared" si="104"/>
        <v>46231.479166669866</v>
      </c>
      <c r="B1321">
        <v>19.600000000000001</v>
      </c>
      <c r="C1321" s="2">
        <f t="shared" si="100"/>
        <v>46231</v>
      </c>
      <c r="D1321" s="1">
        <f t="shared" si="101"/>
        <v>11.5</v>
      </c>
      <c r="E1321" t="str">
        <f t="shared" si="102"/>
        <v>Tuesday</v>
      </c>
      <c r="F1321">
        <f>Assumptions!$B$2</f>
        <v>0.5</v>
      </c>
      <c r="G1321">
        <f t="shared" si="103"/>
        <v>9.8000000000000007</v>
      </c>
    </row>
    <row r="1322" spans="1:7" x14ac:dyDescent="0.3">
      <c r="A1322" s="2">
        <f t="shared" si="104"/>
        <v>46231.500000003201</v>
      </c>
      <c r="B1322">
        <v>24.4</v>
      </c>
      <c r="C1322" s="2">
        <f t="shared" si="100"/>
        <v>46231</v>
      </c>
      <c r="D1322" s="1">
        <f t="shared" si="101"/>
        <v>12</v>
      </c>
      <c r="E1322" t="str">
        <f t="shared" si="102"/>
        <v>Tuesday</v>
      </c>
      <c r="F1322">
        <f>Assumptions!$B$2</f>
        <v>0.5</v>
      </c>
      <c r="G1322">
        <f t="shared" si="103"/>
        <v>12.2</v>
      </c>
    </row>
    <row r="1323" spans="1:7" x14ac:dyDescent="0.3">
      <c r="A1323" s="2">
        <f t="shared" si="104"/>
        <v>46231.520833336537</v>
      </c>
      <c r="B1323">
        <v>34.700000000000003</v>
      </c>
      <c r="C1323" s="2">
        <f t="shared" si="100"/>
        <v>46231</v>
      </c>
      <c r="D1323" s="1">
        <f t="shared" si="101"/>
        <v>12.5</v>
      </c>
      <c r="E1323" t="str">
        <f t="shared" si="102"/>
        <v>Tuesday</v>
      </c>
      <c r="F1323">
        <f>Assumptions!$B$2</f>
        <v>0.5</v>
      </c>
      <c r="G1323">
        <f t="shared" si="103"/>
        <v>17.350000000000001</v>
      </c>
    </row>
    <row r="1324" spans="1:7" x14ac:dyDescent="0.3">
      <c r="A1324" s="2">
        <f t="shared" si="104"/>
        <v>46231.541666669873</v>
      </c>
      <c r="B1324">
        <v>26.8</v>
      </c>
      <c r="C1324" s="2">
        <f t="shared" si="100"/>
        <v>46231</v>
      </c>
      <c r="D1324" s="1">
        <f t="shared" si="101"/>
        <v>13</v>
      </c>
      <c r="E1324" t="str">
        <f t="shared" si="102"/>
        <v>Tuesday</v>
      </c>
      <c r="F1324">
        <f>Assumptions!$B$2</f>
        <v>0.5</v>
      </c>
      <c r="G1324">
        <f t="shared" si="103"/>
        <v>13.4</v>
      </c>
    </row>
    <row r="1325" spans="1:7" x14ac:dyDescent="0.3">
      <c r="A1325" s="2">
        <f t="shared" si="104"/>
        <v>46231.562500003209</v>
      </c>
      <c r="B1325">
        <v>30.6</v>
      </c>
      <c r="C1325" s="2">
        <f t="shared" si="100"/>
        <v>46231</v>
      </c>
      <c r="D1325" s="1">
        <f t="shared" si="101"/>
        <v>13.5</v>
      </c>
      <c r="E1325" t="str">
        <f t="shared" si="102"/>
        <v>Tuesday</v>
      </c>
      <c r="F1325">
        <f>Assumptions!$B$2</f>
        <v>0.5</v>
      </c>
      <c r="G1325">
        <f t="shared" si="103"/>
        <v>15.3</v>
      </c>
    </row>
    <row r="1326" spans="1:7" x14ac:dyDescent="0.3">
      <c r="A1326" s="2">
        <f t="shared" si="104"/>
        <v>46231.583333336544</v>
      </c>
      <c r="B1326">
        <v>26</v>
      </c>
      <c r="C1326" s="2">
        <f t="shared" si="100"/>
        <v>46231</v>
      </c>
      <c r="D1326" s="1">
        <f t="shared" si="101"/>
        <v>14</v>
      </c>
      <c r="E1326" t="str">
        <f t="shared" si="102"/>
        <v>Tuesday</v>
      </c>
      <c r="F1326">
        <f>Assumptions!$B$2</f>
        <v>0.5</v>
      </c>
      <c r="G1326">
        <f t="shared" si="103"/>
        <v>13</v>
      </c>
    </row>
    <row r="1327" spans="1:7" x14ac:dyDescent="0.3">
      <c r="A1327" s="2">
        <f t="shared" si="104"/>
        <v>46231.60416666988</v>
      </c>
      <c r="B1327">
        <v>22.3</v>
      </c>
      <c r="C1327" s="2">
        <f t="shared" si="100"/>
        <v>46231</v>
      </c>
      <c r="D1327" s="1">
        <f t="shared" si="101"/>
        <v>14.5</v>
      </c>
      <c r="E1327" t="str">
        <f t="shared" si="102"/>
        <v>Tuesday</v>
      </c>
      <c r="F1327">
        <f>Assumptions!$B$2</f>
        <v>0.5</v>
      </c>
      <c r="G1327">
        <f t="shared" si="103"/>
        <v>11.15</v>
      </c>
    </row>
    <row r="1328" spans="1:7" x14ac:dyDescent="0.3">
      <c r="A1328" s="2">
        <f t="shared" si="104"/>
        <v>46231.625000003216</v>
      </c>
      <c r="B1328">
        <v>34.200000000000003</v>
      </c>
      <c r="C1328" s="2">
        <f t="shared" si="100"/>
        <v>46231</v>
      </c>
      <c r="D1328" s="1">
        <f t="shared" si="101"/>
        <v>15</v>
      </c>
      <c r="E1328" t="str">
        <f t="shared" si="102"/>
        <v>Tuesday</v>
      </c>
      <c r="F1328">
        <f>Assumptions!$B$2</f>
        <v>0.5</v>
      </c>
      <c r="G1328">
        <f t="shared" si="103"/>
        <v>17.100000000000001</v>
      </c>
    </row>
    <row r="1329" spans="1:7" x14ac:dyDescent="0.3">
      <c r="A1329" s="2">
        <f t="shared" si="104"/>
        <v>46231.645833336552</v>
      </c>
      <c r="B1329">
        <v>21</v>
      </c>
      <c r="C1329" s="2">
        <f t="shared" si="100"/>
        <v>46231</v>
      </c>
      <c r="D1329" s="1">
        <f t="shared" si="101"/>
        <v>15.5</v>
      </c>
      <c r="E1329" t="str">
        <f t="shared" si="102"/>
        <v>Tuesday</v>
      </c>
      <c r="F1329">
        <f>Assumptions!$B$2</f>
        <v>0.5</v>
      </c>
      <c r="G1329">
        <f t="shared" si="103"/>
        <v>10.5</v>
      </c>
    </row>
    <row r="1330" spans="1:7" x14ac:dyDescent="0.3">
      <c r="A1330" s="2">
        <f t="shared" si="104"/>
        <v>46231.666666669887</v>
      </c>
      <c r="B1330">
        <v>16</v>
      </c>
      <c r="C1330" s="2">
        <f t="shared" si="100"/>
        <v>46231</v>
      </c>
      <c r="D1330" s="1">
        <f t="shared" si="101"/>
        <v>16</v>
      </c>
      <c r="E1330" t="str">
        <f t="shared" si="102"/>
        <v>Tuesday</v>
      </c>
      <c r="F1330">
        <f>Assumptions!$B$2</f>
        <v>0.5</v>
      </c>
      <c r="G1330">
        <f t="shared" si="103"/>
        <v>8</v>
      </c>
    </row>
    <row r="1331" spans="1:7" x14ac:dyDescent="0.3">
      <c r="A1331" s="2">
        <f t="shared" si="104"/>
        <v>46231.687500003223</v>
      </c>
      <c r="B1331">
        <v>19.600000000000001</v>
      </c>
      <c r="C1331" s="2">
        <f t="shared" si="100"/>
        <v>46231</v>
      </c>
      <c r="D1331" s="1">
        <f t="shared" si="101"/>
        <v>16.5</v>
      </c>
      <c r="E1331" t="str">
        <f t="shared" si="102"/>
        <v>Tuesday</v>
      </c>
      <c r="F1331">
        <f>Assumptions!$B$2</f>
        <v>0.5</v>
      </c>
      <c r="G1331">
        <f t="shared" si="103"/>
        <v>9.8000000000000007</v>
      </c>
    </row>
    <row r="1332" spans="1:7" x14ac:dyDescent="0.3">
      <c r="A1332" s="2">
        <f t="shared" si="104"/>
        <v>46231.708333336559</v>
      </c>
      <c r="B1332">
        <v>13.3</v>
      </c>
      <c r="C1332" s="2">
        <f t="shared" si="100"/>
        <v>46231</v>
      </c>
      <c r="D1332" s="1">
        <f t="shared" si="101"/>
        <v>17</v>
      </c>
      <c r="E1332" t="str">
        <f t="shared" si="102"/>
        <v>Tuesday</v>
      </c>
      <c r="F1332">
        <f>Assumptions!$B$2</f>
        <v>0.5</v>
      </c>
      <c r="G1332">
        <f t="shared" si="103"/>
        <v>6.65</v>
      </c>
    </row>
    <row r="1333" spans="1:7" x14ac:dyDescent="0.3">
      <c r="A1333" s="2">
        <f t="shared" si="104"/>
        <v>46231.729166669895</v>
      </c>
      <c r="B1333">
        <v>11.1</v>
      </c>
      <c r="C1333" s="2">
        <f t="shared" si="100"/>
        <v>46231</v>
      </c>
      <c r="D1333" s="1">
        <f t="shared" si="101"/>
        <v>17.5</v>
      </c>
      <c r="E1333" t="str">
        <f t="shared" si="102"/>
        <v>Tuesday</v>
      </c>
      <c r="F1333">
        <f>Assumptions!$B$2</f>
        <v>0.5</v>
      </c>
      <c r="G1333">
        <f t="shared" si="103"/>
        <v>5.55</v>
      </c>
    </row>
    <row r="1334" spans="1:7" x14ac:dyDescent="0.3">
      <c r="A1334" s="2">
        <f t="shared" si="104"/>
        <v>46231.750000003231</v>
      </c>
      <c r="B1334">
        <v>18</v>
      </c>
      <c r="C1334" s="2">
        <f t="shared" si="100"/>
        <v>46231</v>
      </c>
      <c r="D1334" s="1">
        <f t="shared" si="101"/>
        <v>18</v>
      </c>
      <c r="E1334" t="str">
        <f t="shared" si="102"/>
        <v>Tuesday</v>
      </c>
      <c r="F1334">
        <f>Assumptions!$B$2</f>
        <v>0.5</v>
      </c>
      <c r="G1334">
        <f t="shared" si="103"/>
        <v>9</v>
      </c>
    </row>
    <row r="1335" spans="1:7" x14ac:dyDescent="0.3">
      <c r="A1335" s="2">
        <f t="shared" si="104"/>
        <v>46231.770833336566</v>
      </c>
      <c r="B1335">
        <v>14</v>
      </c>
      <c r="C1335" s="2">
        <f t="shared" si="100"/>
        <v>46231</v>
      </c>
      <c r="D1335" s="1">
        <f t="shared" si="101"/>
        <v>18.5</v>
      </c>
      <c r="E1335" t="str">
        <f t="shared" si="102"/>
        <v>Tuesday</v>
      </c>
      <c r="F1335">
        <f>Assumptions!$B$2</f>
        <v>0.5</v>
      </c>
      <c r="G1335">
        <f t="shared" si="103"/>
        <v>7</v>
      </c>
    </row>
    <row r="1336" spans="1:7" x14ac:dyDescent="0.3">
      <c r="A1336" s="2">
        <f t="shared" si="104"/>
        <v>46231.791666669902</v>
      </c>
      <c r="B1336">
        <v>4.8</v>
      </c>
      <c r="C1336" s="2">
        <f t="shared" si="100"/>
        <v>46231</v>
      </c>
      <c r="D1336" s="1">
        <f t="shared" si="101"/>
        <v>19</v>
      </c>
      <c r="E1336" t="str">
        <f t="shared" si="102"/>
        <v>Tuesday</v>
      </c>
      <c r="F1336">
        <f>Assumptions!$B$2</f>
        <v>0.5</v>
      </c>
      <c r="G1336">
        <f t="shared" si="103"/>
        <v>2.4</v>
      </c>
    </row>
    <row r="1337" spans="1:7" x14ac:dyDescent="0.3">
      <c r="A1337" s="2">
        <f t="shared" si="104"/>
        <v>46231.812500003238</v>
      </c>
      <c r="B1337">
        <v>4.5</v>
      </c>
      <c r="C1337" s="2">
        <f t="shared" si="100"/>
        <v>46231</v>
      </c>
      <c r="D1337" s="1">
        <f t="shared" si="101"/>
        <v>19.5</v>
      </c>
      <c r="E1337" t="str">
        <f t="shared" si="102"/>
        <v>Tuesday</v>
      </c>
      <c r="F1337">
        <f>Assumptions!$B$2</f>
        <v>0.5</v>
      </c>
      <c r="G1337">
        <f t="shared" si="103"/>
        <v>2.25</v>
      </c>
    </row>
    <row r="1338" spans="1:7" x14ac:dyDescent="0.3">
      <c r="A1338" s="2">
        <f t="shared" si="104"/>
        <v>46231.833333336574</v>
      </c>
      <c r="B1338">
        <v>5.8</v>
      </c>
      <c r="C1338" s="2">
        <f t="shared" si="100"/>
        <v>46231</v>
      </c>
      <c r="D1338" s="1">
        <f t="shared" si="101"/>
        <v>20</v>
      </c>
      <c r="E1338" t="str">
        <f t="shared" si="102"/>
        <v>Tuesday</v>
      </c>
      <c r="F1338">
        <f>Assumptions!$B$2</f>
        <v>0.5</v>
      </c>
      <c r="G1338">
        <f t="shared" si="103"/>
        <v>2.9</v>
      </c>
    </row>
    <row r="1339" spans="1:7" x14ac:dyDescent="0.3">
      <c r="A1339" s="2">
        <f t="shared" si="104"/>
        <v>46231.854166669909</v>
      </c>
      <c r="B1339">
        <v>7.6</v>
      </c>
      <c r="C1339" s="2">
        <f t="shared" si="100"/>
        <v>46231</v>
      </c>
      <c r="D1339" s="1">
        <f t="shared" si="101"/>
        <v>20.5</v>
      </c>
      <c r="E1339" t="str">
        <f t="shared" si="102"/>
        <v>Tuesday</v>
      </c>
      <c r="F1339">
        <f>Assumptions!$B$2</f>
        <v>0.5</v>
      </c>
      <c r="G1339">
        <f t="shared" si="103"/>
        <v>3.8</v>
      </c>
    </row>
    <row r="1340" spans="1:7" x14ac:dyDescent="0.3">
      <c r="A1340" s="2">
        <f t="shared" si="104"/>
        <v>46231.875000003245</v>
      </c>
      <c r="B1340">
        <v>7</v>
      </c>
      <c r="C1340" s="2">
        <f t="shared" si="100"/>
        <v>46231</v>
      </c>
      <c r="D1340" s="1">
        <f t="shared" si="101"/>
        <v>21</v>
      </c>
      <c r="E1340" t="str">
        <f t="shared" si="102"/>
        <v>Tuesday</v>
      </c>
      <c r="F1340">
        <f>Assumptions!$B$2</f>
        <v>0.5</v>
      </c>
      <c r="G1340">
        <f t="shared" si="103"/>
        <v>3.5</v>
      </c>
    </row>
    <row r="1341" spans="1:7" x14ac:dyDescent="0.3">
      <c r="A1341" s="2">
        <f t="shared" si="104"/>
        <v>46231.895833336581</v>
      </c>
      <c r="B1341">
        <v>3.7</v>
      </c>
      <c r="C1341" s="2">
        <f t="shared" si="100"/>
        <v>46231</v>
      </c>
      <c r="D1341" s="1">
        <f t="shared" si="101"/>
        <v>21.5</v>
      </c>
      <c r="E1341" t="str">
        <f t="shared" si="102"/>
        <v>Tuesday</v>
      </c>
      <c r="F1341">
        <f>Assumptions!$B$2</f>
        <v>0.5</v>
      </c>
      <c r="G1341">
        <f t="shared" si="103"/>
        <v>1.85</v>
      </c>
    </row>
    <row r="1342" spans="1:7" x14ac:dyDescent="0.3">
      <c r="A1342" s="2">
        <f t="shared" si="104"/>
        <v>46231.916666669917</v>
      </c>
      <c r="B1342">
        <v>3.2</v>
      </c>
      <c r="C1342" s="2">
        <f t="shared" si="100"/>
        <v>46231</v>
      </c>
      <c r="D1342" s="1">
        <f t="shared" si="101"/>
        <v>22</v>
      </c>
      <c r="E1342" t="str">
        <f t="shared" si="102"/>
        <v>Tuesday</v>
      </c>
      <c r="F1342">
        <f>Assumptions!$B$2</f>
        <v>0.5</v>
      </c>
      <c r="G1342">
        <f t="shared" si="103"/>
        <v>1.6</v>
      </c>
    </row>
    <row r="1343" spans="1:7" x14ac:dyDescent="0.3">
      <c r="A1343" s="2">
        <f t="shared" si="104"/>
        <v>46231.937500003252</v>
      </c>
      <c r="B1343">
        <v>4.5999999999999996</v>
      </c>
      <c r="C1343" s="2">
        <f t="shared" si="100"/>
        <v>46231</v>
      </c>
      <c r="D1343" s="1">
        <f t="shared" si="101"/>
        <v>22.5</v>
      </c>
      <c r="E1343" t="str">
        <f t="shared" si="102"/>
        <v>Tuesday</v>
      </c>
      <c r="F1343">
        <f>Assumptions!$B$2</f>
        <v>0.5</v>
      </c>
      <c r="G1343">
        <f t="shared" si="103"/>
        <v>2.2999999999999998</v>
      </c>
    </row>
    <row r="1344" spans="1:7" x14ac:dyDescent="0.3">
      <c r="A1344" s="2">
        <f t="shared" si="104"/>
        <v>46231.958333336588</v>
      </c>
      <c r="B1344">
        <v>5.9</v>
      </c>
      <c r="C1344" s="2">
        <f t="shared" si="100"/>
        <v>46231</v>
      </c>
      <c r="D1344" s="1">
        <f t="shared" si="101"/>
        <v>23</v>
      </c>
      <c r="E1344" t="str">
        <f t="shared" si="102"/>
        <v>Tuesday</v>
      </c>
      <c r="F1344">
        <f>Assumptions!$B$2</f>
        <v>0.5</v>
      </c>
      <c r="G1344">
        <f t="shared" si="103"/>
        <v>2.95</v>
      </c>
    </row>
    <row r="1345" spans="1:7" x14ac:dyDescent="0.3">
      <c r="A1345" s="2">
        <f t="shared" si="104"/>
        <v>46231.979166669924</v>
      </c>
      <c r="B1345">
        <v>6.2</v>
      </c>
      <c r="C1345" s="2">
        <f t="shared" si="100"/>
        <v>46231</v>
      </c>
      <c r="D1345" s="1">
        <f t="shared" si="101"/>
        <v>23.5</v>
      </c>
      <c r="E1345" t="str">
        <f t="shared" si="102"/>
        <v>Tuesday</v>
      </c>
      <c r="F1345">
        <f>Assumptions!$B$2</f>
        <v>0.5</v>
      </c>
      <c r="G1345">
        <f t="shared" si="103"/>
        <v>3.1</v>
      </c>
    </row>
    <row r="1346" spans="1:7" x14ac:dyDescent="0.3">
      <c r="A1346" s="2">
        <f t="shared" si="104"/>
        <v>46232.00000000326</v>
      </c>
      <c r="B1346">
        <v>1.9</v>
      </c>
      <c r="C1346" s="2">
        <f t="shared" si="100"/>
        <v>46232</v>
      </c>
      <c r="D1346" s="1">
        <f t="shared" si="101"/>
        <v>0</v>
      </c>
      <c r="E1346" t="str">
        <f t="shared" si="102"/>
        <v>Wednesday</v>
      </c>
      <c r="F1346">
        <f>Assumptions!$B$2</f>
        <v>0.5</v>
      </c>
      <c r="G1346">
        <f t="shared" si="103"/>
        <v>0.95</v>
      </c>
    </row>
    <row r="1347" spans="1:7" x14ac:dyDescent="0.3">
      <c r="A1347" s="2">
        <f t="shared" si="104"/>
        <v>46232.020833336595</v>
      </c>
      <c r="B1347">
        <v>2.9</v>
      </c>
      <c r="C1347" s="2">
        <f t="shared" ref="C1347:C1410" si="105">INT(A1347)</f>
        <v>46232</v>
      </c>
      <c r="D1347" s="1">
        <f t="shared" ref="D1347:D1410" si="106">HOUR(A1347)+MINUTE(A1347)/60</f>
        <v>0.5</v>
      </c>
      <c r="E1347" t="str">
        <f t="shared" ref="E1347:E1410" si="107">TEXT(A1347,"dddd")</f>
        <v>Wednesday</v>
      </c>
      <c r="F1347">
        <f>Assumptions!$B$2</f>
        <v>0.5</v>
      </c>
      <c r="G1347">
        <f t="shared" ref="G1347:G1410" si="108">B1347*F1347</f>
        <v>1.45</v>
      </c>
    </row>
    <row r="1348" spans="1:7" x14ac:dyDescent="0.3">
      <c r="A1348" s="2">
        <f t="shared" ref="A1348:A1411" si="109">A1347+TIME(0,30,0)</f>
        <v>46232.041666669931</v>
      </c>
      <c r="B1348">
        <v>2.8</v>
      </c>
      <c r="C1348" s="2">
        <f t="shared" si="105"/>
        <v>46232</v>
      </c>
      <c r="D1348" s="1">
        <f t="shared" si="106"/>
        <v>1</v>
      </c>
      <c r="E1348" t="str">
        <f t="shared" si="107"/>
        <v>Wednesday</v>
      </c>
      <c r="F1348">
        <f>Assumptions!$B$2</f>
        <v>0.5</v>
      </c>
      <c r="G1348">
        <f t="shared" si="108"/>
        <v>1.4</v>
      </c>
    </row>
    <row r="1349" spans="1:7" x14ac:dyDescent="0.3">
      <c r="A1349" s="2">
        <f t="shared" si="109"/>
        <v>46232.062500003267</v>
      </c>
      <c r="B1349">
        <v>2.6</v>
      </c>
      <c r="C1349" s="2">
        <f t="shared" si="105"/>
        <v>46232</v>
      </c>
      <c r="D1349" s="1">
        <f t="shared" si="106"/>
        <v>1.5</v>
      </c>
      <c r="E1349" t="str">
        <f t="shared" si="107"/>
        <v>Wednesday</v>
      </c>
      <c r="F1349">
        <f>Assumptions!$B$2</f>
        <v>0.5</v>
      </c>
      <c r="G1349">
        <f t="shared" si="108"/>
        <v>1.3</v>
      </c>
    </row>
    <row r="1350" spans="1:7" x14ac:dyDescent="0.3">
      <c r="A1350" s="2">
        <f t="shared" si="109"/>
        <v>46232.083333336603</v>
      </c>
      <c r="B1350">
        <v>2.2999999999999998</v>
      </c>
      <c r="C1350" s="2">
        <f t="shared" si="105"/>
        <v>46232</v>
      </c>
      <c r="D1350" s="1">
        <f t="shared" si="106"/>
        <v>2</v>
      </c>
      <c r="E1350" t="str">
        <f t="shared" si="107"/>
        <v>Wednesday</v>
      </c>
      <c r="F1350">
        <f>Assumptions!$B$2</f>
        <v>0.5</v>
      </c>
      <c r="G1350">
        <f t="shared" si="108"/>
        <v>1.1499999999999999</v>
      </c>
    </row>
    <row r="1351" spans="1:7" x14ac:dyDescent="0.3">
      <c r="A1351" s="2">
        <f t="shared" si="109"/>
        <v>46232.104166669938</v>
      </c>
      <c r="B1351">
        <v>2.7</v>
      </c>
      <c r="C1351" s="2">
        <f t="shared" si="105"/>
        <v>46232</v>
      </c>
      <c r="D1351" s="1">
        <f t="shared" si="106"/>
        <v>2.5</v>
      </c>
      <c r="E1351" t="str">
        <f t="shared" si="107"/>
        <v>Wednesday</v>
      </c>
      <c r="F1351">
        <f>Assumptions!$B$2</f>
        <v>0.5</v>
      </c>
      <c r="G1351">
        <f t="shared" si="108"/>
        <v>1.35</v>
      </c>
    </row>
    <row r="1352" spans="1:7" x14ac:dyDescent="0.3">
      <c r="A1352" s="2">
        <f t="shared" si="109"/>
        <v>46232.125000003274</v>
      </c>
      <c r="B1352">
        <v>2.4</v>
      </c>
      <c r="C1352" s="2">
        <f t="shared" si="105"/>
        <v>46232</v>
      </c>
      <c r="D1352" s="1">
        <f t="shared" si="106"/>
        <v>3</v>
      </c>
      <c r="E1352" t="str">
        <f t="shared" si="107"/>
        <v>Wednesday</v>
      </c>
      <c r="F1352">
        <f>Assumptions!$B$2</f>
        <v>0.5</v>
      </c>
      <c r="G1352">
        <f t="shared" si="108"/>
        <v>1.2</v>
      </c>
    </row>
    <row r="1353" spans="1:7" x14ac:dyDescent="0.3">
      <c r="A1353" s="2">
        <f t="shared" si="109"/>
        <v>46232.14583333661</v>
      </c>
      <c r="B1353">
        <v>2.5</v>
      </c>
      <c r="C1353" s="2">
        <f t="shared" si="105"/>
        <v>46232</v>
      </c>
      <c r="D1353" s="1">
        <f t="shared" si="106"/>
        <v>3.5</v>
      </c>
      <c r="E1353" t="str">
        <f t="shared" si="107"/>
        <v>Wednesday</v>
      </c>
      <c r="F1353">
        <f>Assumptions!$B$2</f>
        <v>0.5</v>
      </c>
      <c r="G1353">
        <f t="shared" si="108"/>
        <v>1.25</v>
      </c>
    </row>
    <row r="1354" spans="1:7" x14ac:dyDescent="0.3">
      <c r="A1354" s="2">
        <f t="shared" si="109"/>
        <v>46232.166666669946</v>
      </c>
      <c r="B1354">
        <v>3</v>
      </c>
      <c r="C1354" s="2">
        <f t="shared" si="105"/>
        <v>46232</v>
      </c>
      <c r="D1354" s="1">
        <f t="shared" si="106"/>
        <v>4</v>
      </c>
      <c r="E1354" t="str">
        <f t="shared" si="107"/>
        <v>Wednesday</v>
      </c>
      <c r="F1354">
        <f>Assumptions!$B$2</f>
        <v>0.5</v>
      </c>
      <c r="G1354">
        <f t="shared" si="108"/>
        <v>1.5</v>
      </c>
    </row>
    <row r="1355" spans="1:7" x14ac:dyDescent="0.3">
      <c r="A1355" s="2">
        <f t="shared" si="109"/>
        <v>46232.187500003281</v>
      </c>
      <c r="B1355">
        <v>2.8</v>
      </c>
      <c r="C1355" s="2">
        <f t="shared" si="105"/>
        <v>46232</v>
      </c>
      <c r="D1355" s="1">
        <f t="shared" si="106"/>
        <v>4.5</v>
      </c>
      <c r="E1355" t="str">
        <f t="shared" si="107"/>
        <v>Wednesday</v>
      </c>
      <c r="F1355">
        <f>Assumptions!$B$2</f>
        <v>0.5</v>
      </c>
      <c r="G1355">
        <f t="shared" si="108"/>
        <v>1.4</v>
      </c>
    </row>
    <row r="1356" spans="1:7" x14ac:dyDescent="0.3">
      <c r="A1356" s="2">
        <f t="shared" si="109"/>
        <v>46232.208333336617</v>
      </c>
      <c r="B1356">
        <v>2</v>
      </c>
      <c r="C1356" s="2">
        <f t="shared" si="105"/>
        <v>46232</v>
      </c>
      <c r="D1356" s="1">
        <f t="shared" si="106"/>
        <v>5</v>
      </c>
      <c r="E1356" t="str">
        <f t="shared" si="107"/>
        <v>Wednesday</v>
      </c>
      <c r="F1356">
        <f>Assumptions!$B$2</f>
        <v>0.5</v>
      </c>
      <c r="G1356">
        <f t="shared" si="108"/>
        <v>1</v>
      </c>
    </row>
    <row r="1357" spans="1:7" x14ac:dyDescent="0.3">
      <c r="A1357" s="2">
        <f t="shared" si="109"/>
        <v>46232.229166669953</v>
      </c>
      <c r="B1357">
        <v>3</v>
      </c>
      <c r="C1357" s="2">
        <f t="shared" si="105"/>
        <v>46232</v>
      </c>
      <c r="D1357" s="1">
        <f t="shared" si="106"/>
        <v>5.5</v>
      </c>
      <c r="E1357" t="str">
        <f t="shared" si="107"/>
        <v>Wednesday</v>
      </c>
      <c r="F1357">
        <f>Assumptions!$B$2</f>
        <v>0.5</v>
      </c>
      <c r="G1357">
        <f t="shared" si="108"/>
        <v>1.5</v>
      </c>
    </row>
    <row r="1358" spans="1:7" x14ac:dyDescent="0.3">
      <c r="A1358" s="2">
        <f t="shared" si="109"/>
        <v>46232.250000003289</v>
      </c>
      <c r="B1358">
        <v>4.5999999999999996</v>
      </c>
      <c r="C1358" s="2">
        <f t="shared" si="105"/>
        <v>46232</v>
      </c>
      <c r="D1358" s="1">
        <f t="shared" si="106"/>
        <v>6</v>
      </c>
      <c r="E1358" t="str">
        <f t="shared" si="107"/>
        <v>Wednesday</v>
      </c>
      <c r="F1358">
        <f>Assumptions!$B$2</f>
        <v>0.5</v>
      </c>
      <c r="G1358">
        <f t="shared" si="108"/>
        <v>2.2999999999999998</v>
      </c>
    </row>
    <row r="1359" spans="1:7" x14ac:dyDescent="0.3">
      <c r="A1359" s="2">
        <f t="shared" si="109"/>
        <v>46232.270833336624</v>
      </c>
      <c r="B1359">
        <v>5.6</v>
      </c>
      <c r="C1359" s="2">
        <f t="shared" si="105"/>
        <v>46232</v>
      </c>
      <c r="D1359" s="1">
        <f t="shared" si="106"/>
        <v>6.5</v>
      </c>
      <c r="E1359" t="str">
        <f t="shared" si="107"/>
        <v>Wednesday</v>
      </c>
      <c r="F1359">
        <f>Assumptions!$B$2</f>
        <v>0.5</v>
      </c>
      <c r="G1359">
        <f t="shared" si="108"/>
        <v>2.8</v>
      </c>
    </row>
    <row r="1360" spans="1:7" x14ac:dyDescent="0.3">
      <c r="A1360" s="2">
        <f t="shared" si="109"/>
        <v>46232.29166666996</v>
      </c>
      <c r="B1360">
        <v>5.4</v>
      </c>
      <c r="C1360" s="2">
        <f t="shared" si="105"/>
        <v>46232</v>
      </c>
      <c r="D1360" s="1">
        <f t="shared" si="106"/>
        <v>7</v>
      </c>
      <c r="E1360" t="str">
        <f t="shared" si="107"/>
        <v>Wednesday</v>
      </c>
      <c r="F1360">
        <f>Assumptions!$B$2</f>
        <v>0.5</v>
      </c>
      <c r="G1360">
        <f t="shared" si="108"/>
        <v>2.7</v>
      </c>
    </row>
    <row r="1361" spans="1:7" x14ac:dyDescent="0.3">
      <c r="A1361" s="2">
        <f t="shared" si="109"/>
        <v>46232.312500003296</v>
      </c>
      <c r="B1361">
        <v>6.1</v>
      </c>
      <c r="C1361" s="2">
        <f t="shared" si="105"/>
        <v>46232</v>
      </c>
      <c r="D1361" s="1">
        <f t="shared" si="106"/>
        <v>7.5</v>
      </c>
      <c r="E1361" t="str">
        <f t="shared" si="107"/>
        <v>Wednesday</v>
      </c>
      <c r="F1361">
        <f>Assumptions!$B$2</f>
        <v>0.5</v>
      </c>
      <c r="G1361">
        <f t="shared" si="108"/>
        <v>3.05</v>
      </c>
    </row>
    <row r="1362" spans="1:7" x14ac:dyDescent="0.3">
      <c r="A1362" s="2">
        <f t="shared" si="109"/>
        <v>46232.333333336632</v>
      </c>
      <c r="B1362">
        <v>21.7</v>
      </c>
      <c r="C1362" s="2">
        <f t="shared" si="105"/>
        <v>46232</v>
      </c>
      <c r="D1362" s="1">
        <f t="shared" si="106"/>
        <v>8</v>
      </c>
      <c r="E1362" t="str">
        <f t="shared" si="107"/>
        <v>Wednesday</v>
      </c>
      <c r="F1362">
        <f>Assumptions!$B$2</f>
        <v>0.5</v>
      </c>
      <c r="G1362">
        <f t="shared" si="108"/>
        <v>10.85</v>
      </c>
    </row>
    <row r="1363" spans="1:7" x14ac:dyDescent="0.3">
      <c r="A1363" s="2">
        <f t="shared" si="109"/>
        <v>46232.354166669968</v>
      </c>
      <c r="B1363">
        <v>18.3</v>
      </c>
      <c r="C1363" s="2">
        <f t="shared" si="105"/>
        <v>46232</v>
      </c>
      <c r="D1363" s="1">
        <f t="shared" si="106"/>
        <v>8.5</v>
      </c>
      <c r="E1363" t="str">
        <f t="shared" si="107"/>
        <v>Wednesday</v>
      </c>
      <c r="F1363">
        <f>Assumptions!$B$2</f>
        <v>0.5</v>
      </c>
      <c r="G1363">
        <f t="shared" si="108"/>
        <v>9.15</v>
      </c>
    </row>
    <row r="1364" spans="1:7" x14ac:dyDescent="0.3">
      <c r="A1364" s="2">
        <f t="shared" si="109"/>
        <v>46232.375000003303</v>
      </c>
      <c r="B1364">
        <v>13.3</v>
      </c>
      <c r="C1364" s="2">
        <f t="shared" si="105"/>
        <v>46232</v>
      </c>
      <c r="D1364" s="1">
        <f t="shared" si="106"/>
        <v>9</v>
      </c>
      <c r="E1364" t="str">
        <f t="shared" si="107"/>
        <v>Wednesday</v>
      </c>
      <c r="F1364">
        <f>Assumptions!$B$2</f>
        <v>0.5</v>
      </c>
      <c r="G1364">
        <f t="shared" si="108"/>
        <v>6.65</v>
      </c>
    </row>
    <row r="1365" spans="1:7" x14ac:dyDescent="0.3">
      <c r="A1365" s="2">
        <f t="shared" si="109"/>
        <v>46232.395833336639</v>
      </c>
      <c r="B1365">
        <v>20.2</v>
      </c>
      <c r="C1365" s="2">
        <f t="shared" si="105"/>
        <v>46232</v>
      </c>
      <c r="D1365" s="1">
        <f t="shared" si="106"/>
        <v>9.5</v>
      </c>
      <c r="E1365" t="str">
        <f t="shared" si="107"/>
        <v>Wednesday</v>
      </c>
      <c r="F1365">
        <f>Assumptions!$B$2</f>
        <v>0.5</v>
      </c>
      <c r="G1365">
        <f t="shared" si="108"/>
        <v>10.1</v>
      </c>
    </row>
    <row r="1366" spans="1:7" x14ac:dyDescent="0.3">
      <c r="A1366" s="2">
        <f t="shared" si="109"/>
        <v>46232.416666669975</v>
      </c>
      <c r="B1366">
        <v>14</v>
      </c>
      <c r="C1366" s="2">
        <f t="shared" si="105"/>
        <v>46232</v>
      </c>
      <c r="D1366" s="1">
        <f t="shared" si="106"/>
        <v>10</v>
      </c>
      <c r="E1366" t="str">
        <f t="shared" si="107"/>
        <v>Wednesday</v>
      </c>
      <c r="F1366">
        <f>Assumptions!$B$2</f>
        <v>0.5</v>
      </c>
      <c r="G1366">
        <f t="shared" si="108"/>
        <v>7</v>
      </c>
    </row>
    <row r="1367" spans="1:7" x14ac:dyDescent="0.3">
      <c r="A1367" s="2">
        <f t="shared" si="109"/>
        <v>46232.437500003311</v>
      </c>
      <c r="B1367">
        <v>21.4</v>
      </c>
      <c r="C1367" s="2">
        <f t="shared" si="105"/>
        <v>46232</v>
      </c>
      <c r="D1367" s="1">
        <f t="shared" si="106"/>
        <v>10.5</v>
      </c>
      <c r="E1367" t="str">
        <f t="shared" si="107"/>
        <v>Wednesday</v>
      </c>
      <c r="F1367">
        <f>Assumptions!$B$2</f>
        <v>0.5</v>
      </c>
      <c r="G1367">
        <f t="shared" si="108"/>
        <v>10.7</v>
      </c>
    </row>
    <row r="1368" spans="1:7" x14ac:dyDescent="0.3">
      <c r="A1368" s="2">
        <f t="shared" si="109"/>
        <v>46232.458333336646</v>
      </c>
      <c r="B1368">
        <v>16.8</v>
      </c>
      <c r="C1368" s="2">
        <f t="shared" si="105"/>
        <v>46232</v>
      </c>
      <c r="D1368" s="1">
        <f t="shared" si="106"/>
        <v>11</v>
      </c>
      <c r="E1368" t="str">
        <f t="shared" si="107"/>
        <v>Wednesday</v>
      </c>
      <c r="F1368">
        <f>Assumptions!$B$2</f>
        <v>0.5</v>
      </c>
      <c r="G1368">
        <f t="shared" si="108"/>
        <v>8.4</v>
      </c>
    </row>
    <row r="1369" spans="1:7" x14ac:dyDescent="0.3">
      <c r="A1369" s="2">
        <f t="shared" si="109"/>
        <v>46232.479166669982</v>
      </c>
      <c r="B1369">
        <v>21.6</v>
      </c>
      <c r="C1369" s="2">
        <f t="shared" si="105"/>
        <v>46232</v>
      </c>
      <c r="D1369" s="1">
        <f t="shared" si="106"/>
        <v>11.5</v>
      </c>
      <c r="E1369" t="str">
        <f t="shared" si="107"/>
        <v>Wednesday</v>
      </c>
      <c r="F1369">
        <f>Assumptions!$B$2</f>
        <v>0.5</v>
      </c>
      <c r="G1369">
        <f t="shared" si="108"/>
        <v>10.8</v>
      </c>
    </row>
    <row r="1370" spans="1:7" x14ac:dyDescent="0.3">
      <c r="A1370" s="2">
        <f t="shared" si="109"/>
        <v>46232.500000003318</v>
      </c>
      <c r="B1370">
        <v>20.399999999999999</v>
      </c>
      <c r="C1370" s="2">
        <f t="shared" si="105"/>
        <v>46232</v>
      </c>
      <c r="D1370" s="1">
        <f t="shared" si="106"/>
        <v>12</v>
      </c>
      <c r="E1370" t="str">
        <f t="shared" si="107"/>
        <v>Wednesday</v>
      </c>
      <c r="F1370">
        <f>Assumptions!$B$2</f>
        <v>0.5</v>
      </c>
      <c r="G1370">
        <f t="shared" si="108"/>
        <v>10.199999999999999</v>
      </c>
    </row>
    <row r="1371" spans="1:7" x14ac:dyDescent="0.3">
      <c r="A1371" s="2">
        <f t="shared" si="109"/>
        <v>46232.520833336654</v>
      </c>
      <c r="B1371">
        <v>30.7</v>
      </c>
      <c r="C1371" s="2">
        <f t="shared" si="105"/>
        <v>46232</v>
      </c>
      <c r="D1371" s="1">
        <f t="shared" si="106"/>
        <v>12.5</v>
      </c>
      <c r="E1371" t="str">
        <f t="shared" si="107"/>
        <v>Wednesday</v>
      </c>
      <c r="F1371">
        <f>Assumptions!$B$2</f>
        <v>0.5</v>
      </c>
      <c r="G1371">
        <f t="shared" si="108"/>
        <v>15.35</v>
      </c>
    </row>
    <row r="1372" spans="1:7" x14ac:dyDescent="0.3">
      <c r="A1372" s="2">
        <f t="shared" si="109"/>
        <v>46232.541666669989</v>
      </c>
      <c r="B1372">
        <v>31</v>
      </c>
      <c r="C1372" s="2">
        <f t="shared" si="105"/>
        <v>46232</v>
      </c>
      <c r="D1372" s="1">
        <f t="shared" si="106"/>
        <v>13</v>
      </c>
      <c r="E1372" t="str">
        <f t="shared" si="107"/>
        <v>Wednesday</v>
      </c>
      <c r="F1372">
        <f>Assumptions!$B$2</f>
        <v>0.5</v>
      </c>
      <c r="G1372">
        <f t="shared" si="108"/>
        <v>15.5</v>
      </c>
    </row>
    <row r="1373" spans="1:7" x14ac:dyDescent="0.3">
      <c r="A1373" s="2">
        <f t="shared" si="109"/>
        <v>46232.562500003325</v>
      </c>
      <c r="B1373">
        <v>33.1</v>
      </c>
      <c r="C1373" s="2">
        <f t="shared" si="105"/>
        <v>46232</v>
      </c>
      <c r="D1373" s="1">
        <f t="shared" si="106"/>
        <v>13.5</v>
      </c>
      <c r="E1373" t="str">
        <f t="shared" si="107"/>
        <v>Wednesday</v>
      </c>
      <c r="F1373">
        <f>Assumptions!$B$2</f>
        <v>0.5</v>
      </c>
      <c r="G1373">
        <f t="shared" si="108"/>
        <v>16.55</v>
      </c>
    </row>
    <row r="1374" spans="1:7" x14ac:dyDescent="0.3">
      <c r="A1374" s="2">
        <f t="shared" si="109"/>
        <v>46232.583333336661</v>
      </c>
      <c r="B1374">
        <v>19.2</v>
      </c>
      <c r="C1374" s="2">
        <f t="shared" si="105"/>
        <v>46232</v>
      </c>
      <c r="D1374" s="1">
        <f t="shared" si="106"/>
        <v>14</v>
      </c>
      <c r="E1374" t="str">
        <f t="shared" si="107"/>
        <v>Wednesday</v>
      </c>
      <c r="F1374">
        <f>Assumptions!$B$2</f>
        <v>0.5</v>
      </c>
      <c r="G1374">
        <f t="shared" si="108"/>
        <v>9.6</v>
      </c>
    </row>
    <row r="1375" spans="1:7" x14ac:dyDescent="0.3">
      <c r="A1375" s="2">
        <f t="shared" si="109"/>
        <v>46232.604166669997</v>
      </c>
      <c r="B1375">
        <v>18</v>
      </c>
      <c r="C1375" s="2">
        <f t="shared" si="105"/>
        <v>46232</v>
      </c>
      <c r="D1375" s="1">
        <f t="shared" si="106"/>
        <v>14.5</v>
      </c>
      <c r="E1375" t="str">
        <f t="shared" si="107"/>
        <v>Wednesday</v>
      </c>
      <c r="F1375">
        <f>Assumptions!$B$2</f>
        <v>0.5</v>
      </c>
      <c r="G1375">
        <f t="shared" si="108"/>
        <v>9</v>
      </c>
    </row>
    <row r="1376" spans="1:7" x14ac:dyDescent="0.3">
      <c r="A1376" s="2">
        <f t="shared" si="109"/>
        <v>46232.625000003332</v>
      </c>
      <c r="B1376">
        <v>24.2</v>
      </c>
      <c r="C1376" s="2">
        <f t="shared" si="105"/>
        <v>46232</v>
      </c>
      <c r="D1376" s="1">
        <f t="shared" si="106"/>
        <v>15</v>
      </c>
      <c r="E1376" t="str">
        <f t="shared" si="107"/>
        <v>Wednesday</v>
      </c>
      <c r="F1376">
        <f>Assumptions!$B$2</f>
        <v>0.5</v>
      </c>
      <c r="G1376">
        <f t="shared" si="108"/>
        <v>12.1</v>
      </c>
    </row>
    <row r="1377" spans="1:7" x14ac:dyDescent="0.3">
      <c r="A1377" s="2">
        <f t="shared" si="109"/>
        <v>46232.645833336668</v>
      </c>
      <c r="B1377">
        <v>25.3</v>
      </c>
      <c r="C1377" s="2">
        <f t="shared" si="105"/>
        <v>46232</v>
      </c>
      <c r="D1377" s="1">
        <f t="shared" si="106"/>
        <v>15.5</v>
      </c>
      <c r="E1377" t="str">
        <f t="shared" si="107"/>
        <v>Wednesday</v>
      </c>
      <c r="F1377">
        <f>Assumptions!$B$2</f>
        <v>0.5</v>
      </c>
      <c r="G1377">
        <f t="shared" si="108"/>
        <v>12.65</v>
      </c>
    </row>
    <row r="1378" spans="1:7" x14ac:dyDescent="0.3">
      <c r="A1378" s="2">
        <f t="shared" si="109"/>
        <v>46232.666666670004</v>
      </c>
      <c r="B1378">
        <v>19.8</v>
      </c>
      <c r="C1378" s="2">
        <f t="shared" si="105"/>
        <v>46232</v>
      </c>
      <c r="D1378" s="1">
        <f t="shared" si="106"/>
        <v>16</v>
      </c>
      <c r="E1378" t="str">
        <f t="shared" si="107"/>
        <v>Wednesday</v>
      </c>
      <c r="F1378">
        <f>Assumptions!$B$2</f>
        <v>0.5</v>
      </c>
      <c r="G1378">
        <f t="shared" si="108"/>
        <v>9.9</v>
      </c>
    </row>
    <row r="1379" spans="1:7" x14ac:dyDescent="0.3">
      <c r="A1379" s="2">
        <f t="shared" si="109"/>
        <v>46232.68750000334</v>
      </c>
      <c r="B1379">
        <v>19.600000000000001</v>
      </c>
      <c r="C1379" s="2">
        <f t="shared" si="105"/>
        <v>46232</v>
      </c>
      <c r="D1379" s="1">
        <f t="shared" si="106"/>
        <v>16.5</v>
      </c>
      <c r="E1379" t="str">
        <f t="shared" si="107"/>
        <v>Wednesday</v>
      </c>
      <c r="F1379">
        <f>Assumptions!$B$2</f>
        <v>0.5</v>
      </c>
      <c r="G1379">
        <f t="shared" si="108"/>
        <v>9.8000000000000007</v>
      </c>
    </row>
    <row r="1380" spans="1:7" x14ac:dyDescent="0.3">
      <c r="A1380" s="2">
        <f t="shared" si="109"/>
        <v>46232.708333336675</v>
      </c>
      <c r="B1380">
        <v>13.6</v>
      </c>
      <c r="C1380" s="2">
        <f t="shared" si="105"/>
        <v>46232</v>
      </c>
      <c r="D1380" s="1">
        <f t="shared" si="106"/>
        <v>17</v>
      </c>
      <c r="E1380" t="str">
        <f t="shared" si="107"/>
        <v>Wednesday</v>
      </c>
      <c r="F1380">
        <f>Assumptions!$B$2</f>
        <v>0.5</v>
      </c>
      <c r="G1380">
        <f t="shared" si="108"/>
        <v>6.8</v>
      </c>
    </row>
    <row r="1381" spans="1:7" x14ac:dyDescent="0.3">
      <c r="A1381" s="2">
        <f t="shared" si="109"/>
        <v>46232.729166670011</v>
      </c>
      <c r="B1381">
        <v>18.100000000000001</v>
      </c>
      <c r="C1381" s="2">
        <f t="shared" si="105"/>
        <v>46232</v>
      </c>
      <c r="D1381" s="1">
        <f t="shared" si="106"/>
        <v>17.5</v>
      </c>
      <c r="E1381" t="str">
        <f t="shared" si="107"/>
        <v>Wednesday</v>
      </c>
      <c r="F1381">
        <f>Assumptions!$B$2</f>
        <v>0.5</v>
      </c>
      <c r="G1381">
        <f t="shared" si="108"/>
        <v>9.0500000000000007</v>
      </c>
    </row>
    <row r="1382" spans="1:7" x14ac:dyDescent="0.3">
      <c r="A1382" s="2">
        <f t="shared" si="109"/>
        <v>46232.750000003347</v>
      </c>
      <c r="B1382">
        <v>17.7</v>
      </c>
      <c r="C1382" s="2">
        <f t="shared" si="105"/>
        <v>46232</v>
      </c>
      <c r="D1382" s="1">
        <f t="shared" si="106"/>
        <v>18</v>
      </c>
      <c r="E1382" t="str">
        <f t="shared" si="107"/>
        <v>Wednesday</v>
      </c>
      <c r="F1382">
        <f>Assumptions!$B$2</f>
        <v>0.5</v>
      </c>
      <c r="G1382">
        <f t="shared" si="108"/>
        <v>8.85</v>
      </c>
    </row>
    <row r="1383" spans="1:7" x14ac:dyDescent="0.3">
      <c r="A1383" s="2">
        <f t="shared" si="109"/>
        <v>46232.770833336683</v>
      </c>
      <c r="B1383">
        <v>13.8</v>
      </c>
      <c r="C1383" s="2">
        <f t="shared" si="105"/>
        <v>46232</v>
      </c>
      <c r="D1383" s="1">
        <f t="shared" si="106"/>
        <v>18.5</v>
      </c>
      <c r="E1383" t="str">
        <f t="shared" si="107"/>
        <v>Wednesday</v>
      </c>
      <c r="F1383">
        <f>Assumptions!$B$2</f>
        <v>0.5</v>
      </c>
      <c r="G1383">
        <f t="shared" si="108"/>
        <v>6.9</v>
      </c>
    </row>
    <row r="1384" spans="1:7" x14ac:dyDescent="0.3">
      <c r="A1384" s="2">
        <f t="shared" si="109"/>
        <v>46232.791666670018</v>
      </c>
      <c r="B1384">
        <v>7.8</v>
      </c>
      <c r="C1384" s="2">
        <f t="shared" si="105"/>
        <v>46232</v>
      </c>
      <c r="D1384" s="1">
        <f t="shared" si="106"/>
        <v>19</v>
      </c>
      <c r="E1384" t="str">
        <f t="shared" si="107"/>
        <v>Wednesday</v>
      </c>
      <c r="F1384">
        <f>Assumptions!$B$2</f>
        <v>0.5</v>
      </c>
      <c r="G1384">
        <f t="shared" si="108"/>
        <v>3.9</v>
      </c>
    </row>
    <row r="1385" spans="1:7" x14ac:dyDescent="0.3">
      <c r="A1385" s="2">
        <f t="shared" si="109"/>
        <v>46232.812500003354</v>
      </c>
      <c r="B1385">
        <v>3</v>
      </c>
      <c r="C1385" s="2">
        <f t="shared" si="105"/>
        <v>46232</v>
      </c>
      <c r="D1385" s="1">
        <f t="shared" si="106"/>
        <v>19.5</v>
      </c>
      <c r="E1385" t="str">
        <f t="shared" si="107"/>
        <v>Wednesday</v>
      </c>
      <c r="F1385">
        <f>Assumptions!$B$2</f>
        <v>0.5</v>
      </c>
      <c r="G1385">
        <f t="shared" si="108"/>
        <v>1.5</v>
      </c>
    </row>
    <row r="1386" spans="1:7" x14ac:dyDescent="0.3">
      <c r="A1386" s="2">
        <f t="shared" si="109"/>
        <v>46232.83333333669</v>
      </c>
      <c r="B1386">
        <v>7.5</v>
      </c>
      <c r="C1386" s="2">
        <f t="shared" si="105"/>
        <v>46232</v>
      </c>
      <c r="D1386" s="1">
        <f t="shared" si="106"/>
        <v>20</v>
      </c>
      <c r="E1386" t="str">
        <f t="shared" si="107"/>
        <v>Wednesday</v>
      </c>
      <c r="F1386">
        <f>Assumptions!$B$2</f>
        <v>0.5</v>
      </c>
      <c r="G1386">
        <f t="shared" si="108"/>
        <v>3.75</v>
      </c>
    </row>
    <row r="1387" spans="1:7" x14ac:dyDescent="0.3">
      <c r="A1387" s="2">
        <f t="shared" si="109"/>
        <v>46232.854166670026</v>
      </c>
      <c r="B1387">
        <v>3.9</v>
      </c>
      <c r="C1387" s="2">
        <f t="shared" si="105"/>
        <v>46232</v>
      </c>
      <c r="D1387" s="1">
        <f t="shared" si="106"/>
        <v>20.5</v>
      </c>
      <c r="E1387" t="str">
        <f t="shared" si="107"/>
        <v>Wednesday</v>
      </c>
      <c r="F1387">
        <f>Assumptions!$B$2</f>
        <v>0.5</v>
      </c>
      <c r="G1387">
        <f t="shared" si="108"/>
        <v>1.95</v>
      </c>
    </row>
    <row r="1388" spans="1:7" x14ac:dyDescent="0.3">
      <c r="A1388" s="2">
        <f t="shared" si="109"/>
        <v>46232.875000003361</v>
      </c>
      <c r="B1388">
        <v>6.1</v>
      </c>
      <c r="C1388" s="2">
        <f t="shared" si="105"/>
        <v>46232</v>
      </c>
      <c r="D1388" s="1">
        <f t="shared" si="106"/>
        <v>21</v>
      </c>
      <c r="E1388" t="str">
        <f t="shared" si="107"/>
        <v>Wednesday</v>
      </c>
      <c r="F1388">
        <f>Assumptions!$B$2</f>
        <v>0.5</v>
      </c>
      <c r="G1388">
        <f t="shared" si="108"/>
        <v>3.05</v>
      </c>
    </row>
    <row r="1389" spans="1:7" x14ac:dyDescent="0.3">
      <c r="A1389" s="2">
        <f t="shared" si="109"/>
        <v>46232.895833336697</v>
      </c>
      <c r="B1389">
        <v>5.4</v>
      </c>
      <c r="C1389" s="2">
        <f t="shared" si="105"/>
        <v>46232</v>
      </c>
      <c r="D1389" s="1">
        <f t="shared" si="106"/>
        <v>21.5</v>
      </c>
      <c r="E1389" t="str">
        <f t="shared" si="107"/>
        <v>Wednesday</v>
      </c>
      <c r="F1389">
        <f>Assumptions!$B$2</f>
        <v>0.5</v>
      </c>
      <c r="G1389">
        <f t="shared" si="108"/>
        <v>2.7</v>
      </c>
    </row>
    <row r="1390" spans="1:7" x14ac:dyDescent="0.3">
      <c r="A1390" s="2">
        <f t="shared" si="109"/>
        <v>46232.916666670033</v>
      </c>
      <c r="B1390">
        <v>4.2</v>
      </c>
      <c r="C1390" s="2">
        <f t="shared" si="105"/>
        <v>46232</v>
      </c>
      <c r="D1390" s="1">
        <f t="shared" si="106"/>
        <v>22</v>
      </c>
      <c r="E1390" t="str">
        <f t="shared" si="107"/>
        <v>Wednesday</v>
      </c>
      <c r="F1390">
        <f>Assumptions!$B$2</f>
        <v>0.5</v>
      </c>
      <c r="G1390">
        <f t="shared" si="108"/>
        <v>2.1</v>
      </c>
    </row>
    <row r="1391" spans="1:7" x14ac:dyDescent="0.3">
      <c r="A1391" s="2">
        <f t="shared" si="109"/>
        <v>46232.937500003369</v>
      </c>
      <c r="B1391">
        <v>3.1</v>
      </c>
      <c r="C1391" s="2">
        <f t="shared" si="105"/>
        <v>46232</v>
      </c>
      <c r="D1391" s="1">
        <f t="shared" si="106"/>
        <v>22.5</v>
      </c>
      <c r="E1391" t="str">
        <f t="shared" si="107"/>
        <v>Wednesday</v>
      </c>
      <c r="F1391">
        <f>Assumptions!$B$2</f>
        <v>0.5</v>
      </c>
      <c r="G1391">
        <f t="shared" si="108"/>
        <v>1.55</v>
      </c>
    </row>
    <row r="1392" spans="1:7" x14ac:dyDescent="0.3">
      <c r="A1392" s="2">
        <f t="shared" si="109"/>
        <v>46232.958333336705</v>
      </c>
      <c r="B1392">
        <v>7</v>
      </c>
      <c r="C1392" s="2">
        <f t="shared" si="105"/>
        <v>46232</v>
      </c>
      <c r="D1392" s="1">
        <f t="shared" si="106"/>
        <v>23</v>
      </c>
      <c r="E1392" t="str">
        <f t="shared" si="107"/>
        <v>Wednesday</v>
      </c>
      <c r="F1392">
        <f>Assumptions!$B$2</f>
        <v>0.5</v>
      </c>
      <c r="G1392">
        <f t="shared" si="108"/>
        <v>3.5</v>
      </c>
    </row>
    <row r="1393" spans="1:7" x14ac:dyDescent="0.3">
      <c r="A1393" s="2">
        <f t="shared" si="109"/>
        <v>46232.97916667004</v>
      </c>
      <c r="B1393">
        <v>4</v>
      </c>
      <c r="C1393" s="2">
        <f t="shared" si="105"/>
        <v>46232</v>
      </c>
      <c r="D1393" s="1">
        <f t="shared" si="106"/>
        <v>23.5</v>
      </c>
      <c r="E1393" t="str">
        <f t="shared" si="107"/>
        <v>Wednesday</v>
      </c>
      <c r="F1393">
        <f>Assumptions!$B$2</f>
        <v>0.5</v>
      </c>
      <c r="G1393">
        <f t="shared" si="108"/>
        <v>2</v>
      </c>
    </row>
    <row r="1394" spans="1:7" x14ac:dyDescent="0.3">
      <c r="A1394" s="2">
        <f t="shared" si="109"/>
        <v>46233.000000003376</v>
      </c>
      <c r="B1394">
        <v>2.5</v>
      </c>
      <c r="C1394" s="2">
        <f t="shared" si="105"/>
        <v>46233</v>
      </c>
      <c r="D1394" s="1">
        <f t="shared" si="106"/>
        <v>0</v>
      </c>
      <c r="E1394" t="str">
        <f t="shared" si="107"/>
        <v>Thursday</v>
      </c>
      <c r="F1394">
        <f>Assumptions!$B$2</f>
        <v>0.5</v>
      </c>
      <c r="G1394">
        <f t="shared" si="108"/>
        <v>1.25</v>
      </c>
    </row>
    <row r="1395" spans="1:7" x14ac:dyDescent="0.3">
      <c r="A1395" s="2">
        <f t="shared" si="109"/>
        <v>46233.020833336712</v>
      </c>
      <c r="B1395">
        <v>1.9</v>
      </c>
      <c r="C1395" s="2">
        <f t="shared" si="105"/>
        <v>46233</v>
      </c>
      <c r="D1395" s="1">
        <f t="shared" si="106"/>
        <v>0.5</v>
      </c>
      <c r="E1395" t="str">
        <f t="shared" si="107"/>
        <v>Thursday</v>
      </c>
      <c r="F1395">
        <f>Assumptions!$B$2</f>
        <v>0.5</v>
      </c>
      <c r="G1395">
        <f t="shared" si="108"/>
        <v>0.95</v>
      </c>
    </row>
    <row r="1396" spans="1:7" x14ac:dyDescent="0.3">
      <c r="A1396" s="2">
        <f t="shared" si="109"/>
        <v>46233.041666670048</v>
      </c>
      <c r="B1396">
        <v>2</v>
      </c>
      <c r="C1396" s="2">
        <f t="shared" si="105"/>
        <v>46233</v>
      </c>
      <c r="D1396" s="1">
        <f t="shared" si="106"/>
        <v>1</v>
      </c>
      <c r="E1396" t="str">
        <f t="shared" si="107"/>
        <v>Thursday</v>
      </c>
      <c r="F1396">
        <f>Assumptions!$B$2</f>
        <v>0.5</v>
      </c>
      <c r="G1396">
        <f t="shared" si="108"/>
        <v>1</v>
      </c>
    </row>
    <row r="1397" spans="1:7" x14ac:dyDescent="0.3">
      <c r="A1397" s="2">
        <f t="shared" si="109"/>
        <v>46233.062500003383</v>
      </c>
      <c r="B1397">
        <v>2.5</v>
      </c>
      <c r="C1397" s="2">
        <f t="shared" si="105"/>
        <v>46233</v>
      </c>
      <c r="D1397" s="1">
        <f t="shared" si="106"/>
        <v>1.5</v>
      </c>
      <c r="E1397" t="str">
        <f t="shared" si="107"/>
        <v>Thursday</v>
      </c>
      <c r="F1397">
        <f>Assumptions!$B$2</f>
        <v>0.5</v>
      </c>
      <c r="G1397">
        <f t="shared" si="108"/>
        <v>1.25</v>
      </c>
    </row>
    <row r="1398" spans="1:7" x14ac:dyDescent="0.3">
      <c r="A1398" s="2">
        <f t="shared" si="109"/>
        <v>46233.083333336719</v>
      </c>
      <c r="B1398">
        <v>3</v>
      </c>
      <c r="C1398" s="2">
        <f t="shared" si="105"/>
        <v>46233</v>
      </c>
      <c r="D1398" s="1">
        <f t="shared" si="106"/>
        <v>2</v>
      </c>
      <c r="E1398" t="str">
        <f t="shared" si="107"/>
        <v>Thursday</v>
      </c>
      <c r="F1398">
        <f>Assumptions!$B$2</f>
        <v>0.5</v>
      </c>
      <c r="G1398">
        <f t="shared" si="108"/>
        <v>1.5</v>
      </c>
    </row>
    <row r="1399" spans="1:7" x14ac:dyDescent="0.3">
      <c r="A1399" s="2">
        <f t="shared" si="109"/>
        <v>46233.104166670055</v>
      </c>
      <c r="B1399">
        <v>2.2000000000000002</v>
      </c>
      <c r="C1399" s="2">
        <f t="shared" si="105"/>
        <v>46233</v>
      </c>
      <c r="D1399" s="1">
        <f t="shared" si="106"/>
        <v>2.5</v>
      </c>
      <c r="E1399" t="str">
        <f t="shared" si="107"/>
        <v>Thursday</v>
      </c>
      <c r="F1399">
        <f>Assumptions!$B$2</f>
        <v>0.5</v>
      </c>
      <c r="G1399">
        <f t="shared" si="108"/>
        <v>1.1000000000000001</v>
      </c>
    </row>
    <row r="1400" spans="1:7" x14ac:dyDescent="0.3">
      <c r="A1400" s="2">
        <f t="shared" si="109"/>
        <v>46233.125000003391</v>
      </c>
      <c r="B1400">
        <v>1.8</v>
      </c>
      <c r="C1400" s="2">
        <f t="shared" si="105"/>
        <v>46233</v>
      </c>
      <c r="D1400" s="1">
        <f t="shared" si="106"/>
        <v>3</v>
      </c>
      <c r="E1400" t="str">
        <f t="shared" si="107"/>
        <v>Thursday</v>
      </c>
      <c r="F1400">
        <f>Assumptions!$B$2</f>
        <v>0.5</v>
      </c>
      <c r="G1400">
        <f t="shared" si="108"/>
        <v>0.9</v>
      </c>
    </row>
    <row r="1401" spans="1:7" x14ac:dyDescent="0.3">
      <c r="A1401" s="2">
        <f t="shared" si="109"/>
        <v>46233.145833336726</v>
      </c>
      <c r="B1401">
        <v>2.8</v>
      </c>
      <c r="C1401" s="2">
        <f t="shared" si="105"/>
        <v>46233</v>
      </c>
      <c r="D1401" s="1">
        <f t="shared" si="106"/>
        <v>3.5</v>
      </c>
      <c r="E1401" t="str">
        <f t="shared" si="107"/>
        <v>Thursday</v>
      </c>
      <c r="F1401">
        <f>Assumptions!$B$2</f>
        <v>0.5</v>
      </c>
      <c r="G1401">
        <f t="shared" si="108"/>
        <v>1.4</v>
      </c>
    </row>
    <row r="1402" spans="1:7" x14ac:dyDescent="0.3">
      <c r="A1402" s="2">
        <f t="shared" si="109"/>
        <v>46233.166666670062</v>
      </c>
      <c r="B1402">
        <v>2.1</v>
      </c>
      <c r="C1402" s="2">
        <f t="shared" si="105"/>
        <v>46233</v>
      </c>
      <c r="D1402" s="1">
        <f t="shared" si="106"/>
        <v>4</v>
      </c>
      <c r="E1402" t="str">
        <f t="shared" si="107"/>
        <v>Thursday</v>
      </c>
      <c r="F1402">
        <f>Assumptions!$B$2</f>
        <v>0.5</v>
      </c>
      <c r="G1402">
        <f t="shared" si="108"/>
        <v>1.05</v>
      </c>
    </row>
    <row r="1403" spans="1:7" x14ac:dyDescent="0.3">
      <c r="A1403" s="2">
        <f t="shared" si="109"/>
        <v>46233.187500003398</v>
      </c>
      <c r="B1403">
        <v>2.2000000000000002</v>
      </c>
      <c r="C1403" s="2">
        <f t="shared" si="105"/>
        <v>46233</v>
      </c>
      <c r="D1403" s="1">
        <f t="shared" si="106"/>
        <v>4.5</v>
      </c>
      <c r="E1403" t="str">
        <f t="shared" si="107"/>
        <v>Thursday</v>
      </c>
      <c r="F1403">
        <f>Assumptions!$B$2</f>
        <v>0.5</v>
      </c>
      <c r="G1403">
        <f t="shared" si="108"/>
        <v>1.1000000000000001</v>
      </c>
    </row>
    <row r="1404" spans="1:7" x14ac:dyDescent="0.3">
      <c r="A1404" s="2">
        <f t="shared" si="109"/>
        <v>46233.208333336734</v>
      </c>
      <c r="B1404">
        <v>2.6</v>
      </c>
      <c r="C1404" s="2">
        <f t="shared" si="105"/>
        <v>46233</v>
      </c>
      <c r="D1404" s="1">
        <f t="shared" si="106"/>
        <v>5</v>
      </c>
      <c r="E1404" t="str">
        <f t="shared" si="107"/>
        <v>Thursday</v>
      </c>
      <c r="F1404">
        <f>Assumptions!$B$2</f>
        <v>0.5</v>
      </c>
      <c r="G1404">
        <f t="shared" si="108"/>
        <v>1.3</v>
      </c>
    </row>
    <row r="1405" spans="1:7" x14ac:dyDescent="0.3">
      <c r="A1405" s="2">
        <f t="shared" si="109"/>
        <v>46233.229166670069</v>
      </c>
      <c r="B1405">
        <v>2.7</v>
      </c>
      <c r="C1405" s="2">
        <f t="shared" si="105"/>
        <v>46233</v>
      </c>
      <c r="D1405" s="1">
        <f t="shared" si="106"/>
        <v>5.5</v>
      </c>
      <c r="E1405" t="str">
        <f t="shared" si="107"/>
        <v>Thursday</v>
      </c>
      <c r="F1405">
        <f>Assumptions!$B$2</f>
        <v>0.5</v>
      </c>
      <c r="G1405">
        <f t="shared" si="108"/>
        <v>1.35</v>
      </c>
    </row>
    <row r="1406" spans="1:7" x14ac:dyDescent="0.3">
      <c r="A1406" s="2">
        <f t="shared" si="109"/>
        <v>46233.250000003405</v>
      </c>
      <c r="B1406">
        <v>6.8</v>
      </c>
      <c r="C1406" s="2">
        <f t="shared" si="105"/>
        <v>46233</v>
      </c>
      <c r="D1406" s="1">
        <f t="shared" si="106"/>
        <v>6</v>
      </c>
      <c r="E1406" t="str">
        <f t="shared" si="107"/>
        <v>Thursday</v>
      </c>
      <c r="F1406">
        <f>Assumptions!$B$2</f>
        <v>0.5</v>
      </c>
      <c r="G1406">
        <f t="shared" si="108"/>
        <v>3.4</v>
      </c>
    </row>
    <row r="1407" spans="1:7" x14ac:dyDescent="0.3">
      <c r="A1407" s="2">
        <f t="shared" si="109"/>
        <v>46233.270833336741</v>
      </c>
      <c r="B1407">
        <v>5.7</v>
      </c>
      <c r="C1407" s="2">
        <f t="shared" si="105"/>
        <v>46233</v>
      </c>
      <c r="D1407" s="1">
        <f t="shared" si="106"/>
        <v>6.5</v>
      </c>
      <c r="E1407" t="str">
        <f t="shared" si="107"/>
        <v>Thursday</v>
      </c>
      <c r="F1407">
        <f>Assumptions!$B$2</f>
        <v>0.5</v>
      </c>
      <c r="G1407">
        <f t="shared" si="108"/>
        <v>2.85</v>
      </c>
    </row>
    <row r="1408" spans="1:7" x14ac:dyDescent="0.3">
      <c r="A1408" s="2">
        <f t="shared" si="109"/>
        <v>46233.291666670077</v>
      </c>
      <c r="B1408">
        <v>7.5</v>
      </c>
      <c r="C1408" s="2">
        <f t="shared" si="105"/>
        <v>46233</v>
      </c>
      <c r="D1408" s="1">
        <f t="shared" si="106"/>
        <v>7</v>
      </c>
      <c r="E1408" t="str">
        <f t="shared" si="107"/>
        <v>Thursday</v>
      </c>
      <c r="F1408">
        <f>Assumptions!$B$2</f>
        <v>0.5</v>
      </c>
      <c r="G1408">
        <f t="shared" si="108"/>
        <v>3.75</v>
      </c>
    </row>
    <row r="1409" spans="1:7" x14ac:dyDescent="0.3">
      <c r="A1409" s="2">
        <f t="shared" si="109"/>
        <v>46233.312500003412</v>
      </c>
      <c r="B1409">
        <v>4</v>
      </c>
      <c r="C1409" s="2">
        <f t="shared" si="105"/>
        <v>46233</v>
      </c>
      <c r="D1409" s="1">
        <f t="shared" si="106"/>
        <v>7.5</v>
      </c>
      <c r="E1409" t="str">
        <f t="shared" si="107"/>
        <v>Thursday</v>
      </c>
      <c r="F1409">
        <f>Assumptions!$B$2</f>
        <v>0.5</v>
      </c>
      <c r="G1409">
        <f t="shared" si="108"/>
        <v>2</v>
      </c>
    </row>
    <row r="1410" spans="1:7" x14ac:dyDescent="0.3">
      <c r="A1410" s="2">
        <f t="shared" si="109"/>
        <v>46233.333333336748</v>
      </c>
      <c r="B1410">
        <v>19.5</v>
      </c>
      <c r="C1410" s="2">
        <f t="shared" si="105"/>
        <v>46233</v>
      </c>
      <c r="D1410" s="1">
        <f t="shared" si="106"/>
        <v>8</v>
      </c>
      <c r="E1410" t="str">
        <f t="shared" si="107"/>
        <v>Thursday</v>
      </c>
      <c r="F1410">
        <f>Assumptions!$B$2</f>
        <v>0.5</v>
      </c>
      <c r="G1410">
        <f t="shared" si="108"/>
        <v>9.75</v>
      </c>
    </row>
    <row r="1411" spans="1:7" x14ac:dyDescent="0.3">
      <c r="A1411" s="2">
        <f t="shared" si="109"/>
        <v>46233.354166670084</v>
      </c>
      <c r="B1411">
        <v>14.1</v>
      </c>
      <c r="C1411" s="2">
        <f t="shared" ref="C1411:C1441" si="110">INT(A1411)</f>
        <v>46233</v>
      </c>
      <c r="D1411" s="1">
        <f t="shared" ref="D1411:D1441" si="111">HOUR(A1411)+MINUTE(A1411)/60</f>
        <v>8.5</v>
      </c>
      <c r="E1411" t="str">
        <f t="shared" ref="E1411:E1441" si="112">TEXT(A1411,"dddd")</f>
        <v>Thursday</v>
      </c>
      <c r="F1411">
        <f>Assumptions!$B$2</f>
        <v>0.5</v>
      </c>
      <c r="G1411">
        <f t="shared" ref="G1411:G1441" si="113">B1411*F1411</f>
        <v>7.05</v>
      </c>
    </row>
    <row r="1412" spans="1:7" x14ac:dyDescent="0.3">
      <c r="A1412" s="2">
        <f t="shared" ref="A1412:A1441" si="114">A1411+TIME(0,30,0)</f>
        <v>46233.37500000342</v>
      </c>
      <c r="B1412">
        <v>16.5</v>
      </c>
      <c r="C1412" s="2">
        <f t="shared" si="110"/>
        <v>46233</v>
      </c>
      <c r="D1412" s="1">
        <f t="shared" si="111"/>
        <v>9</v>
      </c>
      <c r="E1412" t="str">
        <f t="shared" si="112"/>
        <v>Thursday</v>
      </c>
      <c r="F1412">
        <f>Assumptions!$B$2</f>
        <v>0.5</v>
      </c>
      <c r="G1412">
        <f t="shared" si="113"/>
        <v>8.25</v>
      </c>
    </row>
    <row r="1413" spans="1:7" x14ac:dyDescent="0.3">
      <c r="A1413" s="2">
        <f t="shared" si="114"/>
        <v>46233.395833336755</v>
      </c>
      <c r="B1413">
        <v>17.100000000000001</v>
      </c>
      <c r="C1413" s="2">
        <f t="shared" si="110"/>
        <v>46233</v>
      </c>
      <c r="D1413" s="1">
        <f t="shared" si="111"/>
        <v>9.5</v>
      </c>
      <c r="E1413" t="str">
        <f t="shared" si="112"/>
        <v>Thursday</v>
      </c>
      <c r="F1413">
        <f>Assumptions!$B$2</f>
        <v>0.5</v>
      </c>
      <c r="G1413">
        <f t="shared" si="113"/>
        <v>8.5500000000000007</v>
      </c>
    </row>
    <row r="1414" spans="1:7" x14ac:dyDescent="0.3">
      <c r="A1414" s="2">
        <f t="shared" si="114"/>
        <v>46233.416666670091</v>
      </c>
      <c r="B1414">
        <v>21.4</v>
      </c>
      <c r="C1414" s="2">
        <f t="shared" si="110"/>
        <v>46233</v>
      </c>
      <c r="D1414" s="1">
        <f t="shared" si="111"/>
        <v>10</v>
      </c>
      <c r="E1414" t="str">
        <f t="shared" si="112"/>
        <v>Thursday</v>
      </c>
      <c r="F1414">
        <f>Assumptions!$B$2</f>
        <v>0.5</v>
      </c>
      <c r="G1414">
        <f t="shared" si="113"/>
        <v>10.7</v>
      </c>
    </row>
    <row r="1415" spans="1:7" x14ac:dyDescent="0.3">
      <c r="A1415" s="2">
        <f t="shared" si="114"/>
        <v>46233.437500003427</v>
      </c>
      <c r="B1415">
        <v>16.899999999999999</v>
      </c>
      <c r="C1415" s="2">
        <f t="shared" si="110"/>
        <v>46233</v>
      </c>
      <c r="D1415" s="1">
        <f t="shared" si="111"/>
        <v>10.5</v>
      </c>
      <c r="E1415" t="str">
        <f t="shared" si="112"/>
        <v>Thursday</v>
      </c>
      <c r="F1415">
        <f>Assumptions!$B$2</f>
        <v>0.5</v>
      </c>
      <c r="G1415">
        <f t="shared" si="113"/>
        <v>8.4499999999999993</v>
      </c>
    </row>
    <row r="1416" spans="1:7" x14ac:dyDescent="0.3">
      <c r="A1416" s="2">
        <f t="shared" si="114"/>
        <v>46233.458333336763</v>
      </c>
      <c r="B1416">
        <v>13.1</v>
      </c>
      <c r="C1416" s="2">
        <f t="shared" si="110"/>
        <v>46233</v>
      </c>
      <c r="D1416" s="1">
        <f t="shared" si="111"/>
        <v>11</v>
      </c>
      <c r="E1416" t="str">
        <f t="shared" si="112"/>
        <v>Thursday</v>
      </c>
      <c r="F1416">
        <f>Assumptions!$B$2</f>
        <v>0.5</v>
      </c>
      <c r="G1416">
        <f t="shared" si="113"/>
        <v>6.55</v>
      </c>
    </row>
    <row r="1417" spans="1:7" x14ac:dyDescent="0.3">
      <c r="A1417" s="2">
        <f t="shared" si="114"/>
        <v>46233.479166670098</v>
      </c>
      <c r="B1417">
        <v>17.2</v>
      </c>
      <c r="C1417" s="2">
        <f t="shared" si="110"/>
        <v>46233</v>
      </c>
      <c r="D1417" s="1">
        <f t="shared" si="111"/>
        <v>11.5</v>
      </c>
      <c r="E1417" t="str">
        <f t="shared" si="112"/>
        <v>Thursday</v>
      </c>
      <c r="F1417">
        <f>Assumptions!$B$2</f>
        <v>0.5</v>
      </c>
      <c r="G1417">
        <f t="shared" si="113"/>
        <v>8.6</v>
      </c>
    </row>
    <row r="1418" spans="1:7" x14ac:dyDescent="0.3">
      <c r="A1418" s="2">
        <f t="shared" si="114"/>
        <v>46233.500000003434</v>
      </c>
      <c r="B1418">
        <v>19.7</v>
      </c>
      <c r="C1418" s="2">
        <f t="shared" si="110"/>
        <v>46233</v>
      </c>
      <c r="D1418" s="1">
        <f t="shared" si="111"/>
        <v>12</v>
      </c>
      <c r="E1418" t="str">
        <f t="shared" si="112"/>
        <v>Thursday</v>
      </c>
      <c r="F1418">
        <f>Assumptions!$B$2</f>
        <v>0.5</v>
      </c>
      <c r="G1418">
        <f t="shared" si="113"/>
        <v>9.85</v>
      </c>
    </row>
    <row r="1419" spans="1:7" x14ac:dyDescent="0.3">
      <c r="A1419" s="2">
        <f t="shared" si="114"/>
        <v>46233.52083333677</v>
      </c>
      <c r="B1419">
        <v>33.5</v>
      </c>
      <c r="C1419" s="2">
        <f t="shared" si="110"/>
        <v>46233</v>
      </c>
      <c r="D1419" s="1">
        <f t="shared" si="111"/>
        <v>12.5</v>
      </c>
      <c r="E1419" t="str">
        <f t="shared" si="112"/>
        <v>Thursday</v>
      </c>
      <c r="F1419">
        <f>Assumptions!$B$2</f>
        <v>0.5</v>
      </c>
      <c r="G1419">
        <f t="shared" si="113"/>
        <v>16.75</v>
      </c>
    </row>
    <row r="1420" spans="1:7" x14ac:dyDescent="0.3">
      <c r="A1420" s="2">
        <f t="shared" si="114"/>
        <v>46233.541666670106</v>
      </c>
      <c r="B1420">
        <v>31.3</v>
      </c>
      <c r="C1420" s="2">
        <f t="shared" si="110"/>
        <v>46233</v>
      </c>
      <c r="D1420" s="1">
        <f t="shared" si="111"/>
        <v>13</v>
      </c>
      <c r="E1420" t="str">
        <f t="shared" si="112"/>
        <v>Thursday</v>
      </c>
      <c r="F1420">
        <f>Assumptions!$B$2</f>
        <v>0.5</v>
      </c>
      <c r="G1420">
        <f t="shared" si="113"/>
        <v>15.65</v>
      </c>
    </row>
    <row r="1421" spans="1:7" x14ac:dyDescent="0.3">
      <c r="A1421" s="2">
        <f t="shared" si="114"/>
        <v>46233.562500003442</v>
      </c>
      <c r="B1421">
        <v>33.700000000000003</v>
      </c>
      <c r="C1421" s="2">
        <f t="shared" si="110"/>
        <v>46233</v>
      </c>
      <c r="D1421" s="1">
        <f t="shared" si="111"/>
        <v>13.5</v>
      </c>
      <c r="E1421" t="str">
        <f t="shared" si="112"/>
        <v>Thursday</v>
      </c>
      <c r="F1421">
        <f>Assumptions!$B$2</f>
        <v>0.5</v>
      </c>
      <c r="G1421">
        <f t="shared" si="113"/>
        <v>16.850000000000001</v>
      </c>
    </row>
    <row r="1422" spans="1:7" x14ac:dyDescent="0.3">
      <c r="A1422" s="2">
        <f t="shared" si="114"/>
        <v>46233.583333336777</v>
      </c>
      <c r="B1422">
        <v>19.3</v>
      </c>
      <c r="C1422" s="2">
        <f t="shared" si="110"/>
        <v>46233</v>
      </c>
      <c r="D1422" s="1">
        <f t="shared" si="111"/>
        <v>14</v>
      </c>
      <c r="E1422" t="str">
        <f t="shared" si="112"/>
        <v>Thursday</v>
      </c>
      <c r="F1422">
        <f>Assumptions!$B$2</f>
        <v>0.5</v>
      </c>
      <c r="G1422">
        <f t="shared" si="113"/>
        <v>9.65</v>
      </c>
    </row>
    <row r="1423" spans="1:7" x14ac:dyDescent="0.3">
      <c r="A1423" s="2">
        <f t="shared" si="114"/>
        <v>46233.604166670113</v>
      </c>
      <c r="B1423">
        <v>26.5</v>
      </c>
      <c r="C1423" s="2">
        <f t="shared" si="110"/>
        <v>46233</v>
      </c>
      <c r="D1423" s="1">
        <f t="shared" si="111"/>
        <v>14.5</v>
      </c>
      <c r="E1423" t="str">
        <f t="shared" si="112"/>
        <v>Thursday</v>
      </c>
      <c r="F1423">
        <f>Assumptions!$B$2</f>
        <v>0.5</v>
      </c>
      <c r="G1423">
        <f t="shared" si="113"/>
        <v>13.25</v>
      </c>
    </row>
    <row r="1424" spans="1:7" x14ac:dyDescent="0.3">
      <c r="A1424" s="2">
        <f t="shared" si="114"/>
        <v>46233.625000003449</v>
      </c>
      <c r="B1424">
        <v>19.8</v>
      </c>
      <c r="C1424" s="2">
        <f t="shared" si="110"/>
        <v>46233</v>
      </c>
      <c r="D1424" s="1">
        <f t="shared" si="111"/>
        <v>15</v>
      </c>
      <c r="E1424" t="str">
        <f t="shared" si="112"/>
        <v>Thursday</v>
      </c>
      <c r="F1424">
        <f>Assumptions!$B$2</f>
        <v>0.5</v>
      </c>
      <c r="G1424">
        <f t="shared" si="113"/>
        <v>9.9</v>
      </c>
    </row>
    <row r="1425" spans="1:7" x14ac:dyDescent="0.3">
      <c r="A1425" s="2">
        <f t="shared" si="114"/>
        <v>46233.645833336785</v>
      </c>
      <c r="B1425">
        <v>28.2</v>
      </c>
      <c r="C1425" s="2">
        <f t="shared" si="110"/>
        <v>46233</v>
      </c>
      <c r="D1425" s="1">
        <f t="shared" si="111"/>
        <v>15.5</v>
      </c>
      <c r="E1425" t="str">
        <f t="shared" si="112"/>
        <v>Thursday</v>
      </c>
      <c r="F1425">
        <f>Assumptions!$B$2</f>
        <v>0.5</v>
      </c>
      <c r="G1425">
        <f t="shared" si="113"/>
        <v>14.1</v>
      </c>
    </row>
    <row r="1426" spans="1:7" x14ac:dyDescent="0.3">
      <c r="A1426" s="2">
        <f t="shared" si="114"/>
        <v>46233.66666667012</v>
      </c>
      <c r="B1426">
        <v>12.4</v>
      </c>
      <c r="C1426" s="2">
        <f t="shared" si="110"/>
        <v>46233</v>
      </c>
      <c r="D1426" s="1">
        <f t="shared" si="111"/>
        <v>16</v>
      </c>
      <c r="E1426" t="str">
        <f t="shared" si="112"/>
        <v>Thursday</v>
      </c>
      <c r="F1426">
        <f>Assumptions!$B$2</f>
        <v>0.5</v>
      </c>
      <c r="G1426">
        <f t="shared" si="113"/>
        <v>6.2</v>
      </c>
    </row>
    <row r="1427" spans="1:7" x14ac:dyDescent="0.3">
      <c r="A1427" s="2">
        <f t="shared" si="114"/>
        <v>46233.687500003456</v>
      </c>
      <c r="B1427">
        <v>17.600000000000001</v>
      </c>
      <c r="C1427" s="2">
        <f t="shared" si="110"/>
        <v>46233</v>
      </c>
      <c r="D1427" s="1">
        <f t="shared" si="111"/>
        <v>16.5</v>
      </c>
      <c r="E1427" t="str">
        <f t="shared" si="112"/>
        <v>Thursday</v>
      </c>
      <c r="F1427">
        <f>Assumptions!$B$2</f>
        <v>0.5</v>
      </c>
      <c r="G1427">
        <f t="shared" si="113"/>
        <v>8.8000000000000007</v>
      </c>
    </row>
    <row r="1428" spans="1:7" x14ac:dyDescent="0.3">
      <c r="A1428" s="2">
        <f t="shared" si="114"/>
        <v>46233.708333336792</v>
      </c>
      <c r="B1428">
        <v>12.7</v>
      </c>
      <c r="C1428" s="2">
        <f t="shared" si="110"/>
        <v>46233</v>
      </c>
      <c r="D1428" s="1">
        <f t="shared" si="111"/>
        <v>17</v>
      </c>
      <c r="E1428" t="str">
        <f t="shared" si="112"/>
        <v>Thursday</v>
      </c>
      <c r="F1428">
        <f>Assumptions!$B$2</f>
        <v>0.5</v>
      </c>
      <c r="G1428">
        <f t="shared" si="113"/>
        <v>6.35</v>
      </c>
    </row>
    <row r="1429" spans="1:7" x14ac:dyDescent="0.3">
      <c r="A1429" s="2">
        <f t="shared" si="114"/>
        <v>46233.729166670128</v>
      </c>
      <c r="B1429">
        <v>18</v>
      </c>
      <c r="C1429" s="2">
        <f t="shared" si="110"/>
        <v>46233</v>
      </c>
      <c r="D1429" s="1">
        <f t="shared" si="111"/>
        <v>17.5</v>
      </c>
      <c r="E1429" t="str">
        <f t="shared" si="112"/>
        <v>Thursday</v>
      </c>
      <c r="F1429">
        <f>Assumptions!$B$2</f>
        <v>0.5</v>
      </c>
      <c r="G1429">
        <f t="shared" si="113"/>
        <v>9</v>
      </c>
    </row>
    <row r="1430" spans="1:7" x14ac:dyDescent="0.3">
      <c r="A1430" s="2">
        <f t="shared" si="114"/>
        <v>46233.750000003463</v>
      </c>
      <c r="B1430">
        <v>10.5</v>
      </c>
      <c r="C1430" s="2">
        <f t="shared" si="110"/>
        <v>46233</v>
      </c>
      <c r="D1430" s="1">
        <f t="shared" si="111"/>
        <v>18</v>
      </c>
      <c r="E1430" t="str">
        <f t="shared" si="112"/>
        <v>Thursday</v>
      </c>
      <c r="F1430">
        <f>Assumptions!$B$2</f>
        <v>0.5</v>
      </c>
      <c r="G1430">
        <f t="shared" si="113"/>
        <v>5.25</v>
      </c>
    </row>
    <row r="1431" spans="1:7" x14ac:dyDescent="0.3">
      <c r="A1431" s="2">
        <f t="shared" si="114"/>
        <v>46233.770833336799</v>
      </c>
      <c r="B1431">
        <v>14.6</v>
      </c>
      <c r="C1431" s="2">
        <f t="shared" si="110"/>
        <v>46233</v>
      </c>
      <c r="D1431" s="1">
        <f t="shared" si="111"/>
        <v>18.5</v>
      </c>
      <c r="E1431" t="str">
        <f t="shared" si="112"/>
        <v>Thursday</v>
      </c>
      <c r="F1431">
        <f>Assumptions!$B$2</f>
        <v>0.5</v>
      </c>
      <c r="G1431">
        <f t="shared" si="113"/>
        <v>7.3</v>
      </c>
    </row>
    <row r="1432" spans="1:7" x14ac:dyDescent="0.3">
      <c r="A1432" s="2">
        <f t="shared" si="114"/>
        <v>46233.791666670135</v>
      </c>
      <c r="B1432">
        <v>4.2</v>
      </c>
      <c r="C1432" s="2">
        <f t="shared" si="110"/>
        <v>46233</v>
      </c>
      <c r="D1432" s="1">
        <f t="shared" si="111"/>
        <v>19</v>
      </c>
      <c r="E1432" t="str">
        <f t="shared" si="112"/>
        <v>Thursday</v>
      </c>
      <c r="F1432">
        <f>Assumptions!$B$2</f>
        <v>0.5</v>
      </c>
      <c r="G1432">
        <f t="shared" si="113"/>
        <v>2.1</v>
      </c>
    </row>
    <row r="1433" spans="1:7" x14ac:dyDescent="0.3">
      <c r="A1433" s="2">
        <f t="shared" si="114"/>
        <v>46233.812500003471</v>
      </c>
      <c r="B1433">
        <v>3.5</v>
      </c>
      <c r="C1433" s="2">
        <f t="shared" si="110"/>
        <v>46233</v>
      </c>
      <c r="D1433" s="1">
        <f t="shared" si="111"/>
        <v>19.5</v>
      </c>
      <c r="E1433" t="str">
        <f t="shared" si="112"/>
        <v>Thursday</v>
      </c>
      <c r="F1433">
        <f>Assumptions!$B$2</f>
        <v>0.5</v>
      </c>
      <c r="G1433">
        <f t="shared" si="113"/>
        <v>1.75</v>
      </c>
    </row>
    <row r="1434" spans="1:7" x14ac:dyDescent="0.3">
      <c r="A1434" s="2">
        <f t="shared" si="114"/>
        <v>46233.833333336806</v>
      </c>
      <c r="B1434">
        <v>6.7</v>
      </c>
      <c r="C1434" s="2">
        <f t="shared" si="110"/>
        <v>46233</v>
      </c>
      <c r="D1434" s="1">
        <f t="shared" si="111"/>
        <v>20</v>
      </c>
      <c r="E1434" t="str">
        <f t="shared" si="112"/>
        <v>Thursday</v>
      </c>
      <c r="F1434">
        <f>Assumptions!$B$2</f>
        <v>0.5</v>
      </c>
      <c r="G1434">
        <f t="shared" si="113"/>
        <v>3.35</v>
      </c>
    </row>
    <row r="1435" spans="1:7" x14ac:dyDescent="0.3">
      <c r="A1435" s="2">
        <f t="shared" si="114"/>
        <v>46233.854166670142</v>
      </c>
      <c r="B1435">
        <v>3.2</v>
      </c>
      <c r="C1435" s="2">
        <f t="shared" si="110"/>
        <v>46233</v>
      </c>
      <c r="D1435" s="1">
        <f t="shared" si="111"/>
        <v>20.5</v>
      </c>
      <c r="E1435" t="str">
        <f t="shared" si="112"/>
        <v>Thursday</v>
      </c>
      <c r="F1435">
        <f>Assumptions!$B$2</f>
        <v>0.5</v>
      </c>
      <c r="G1435">
        <f t="shared" si="113"/>
        <v>1.6</v>
      </c>
    </row>
    <row r="1436" spans="1:7" x14ac:dyDescent="0.3">
      <c r="A1436" s="2">
        <f t="shared" si="114"/>
        <v>46233.875000003478</v>
      </c>
      <c r="B1436">
        <v>3.4</v>
      </c>
      <c r="C1436" s="2">
        <f t="shared" si="110"/>
        <v>46233</v>
      </c>
      <c r="D1436" s="1">
        <f t="shared" si="111"/>
        <v>21</v>
      </c>
      <c r="E1436" t="str">
        <f t="shared" si="112"/>
        <v>Thursday</v>
      </c>
      <c r="F1436">
        <f>Assumptions!$B$2</f>
        <v>0.5</v>
      </c>
      <c r="G1436">
        <f t="shared" si="113"/>
        <v>1.7</v>
      </c>
    </row>
    <row r="1437" spans="1:7" x14ac:dyDescent="0.3">
      <c r="A1437" s="2">
        <f t="shared" si="114"/>
        <v>46233.895833336814</v>
      </c>
      <c r="B1437">
        <v>4.5</v>
      </c>
      <c r="C1437" s="2">
        <f t="shared" si="110"/>
        <v>46233</v>
      </c>
      <c r="D1437" s="1">
        <f t="shared" si="111"/>
        <v>21.5</v>
      </c>
      <c r="E1437" t="str">
        <f t="shared" si="112"/>
        <v>Thursday</v>
      </c>
      <c r="F1437">
        <f>Assumptions!$B$2</f>
        <v>0.5</v>
      </c>
      <c r="G1437">
        <f t="shared" si="113"/>
        <v>2.25</v>
      </c>
    </row>
    <row r="1438" spans="1:7" x14ac:dyDescent="0.3">
      <c r="A1438" s="2">
        <f t="shared" si="114"/>
        <v>46233.916666670149</v>
      </c>
      <c r="B1438">
        <v>5.6</v>
      </c>
      <c r="C1438" s="2">
        <f t="shared" si="110"/>
        <v>46233</v>
      </c>
      <c r="D1438" s="1">
        <f t="shared" si="111"/>
        <v>22</v>
      </c>
      <c r="E1438" t="str">
        <f t="shared" si="112"/>
        <v>Thursday</v>
      </c>
      <c r="F1438">
        <f>Assumptions!$B$2</f>
        <v>0.5</v>
      </c>
      <c r="G1438">
        <f t="shared" si="113"/>
        <v>2.8</v>
      </c>
    </row>
    <row r="1439" spans="1:7" x14ac:dyDescent="0.3">
      <c r="A1439" s="2">
        <f t="shared" si="114"/>
        <v>46233.937500003485</v>
      </c>
      <c r="B1439">
        <v>3</v>
      </c>
      <c r="C1439" s="2">
        <f t="shared" si="110"/>
        <v>46233</v>
      </c>
      <c r="D1439" s="1">
        <f t="shared" si="111"/>
        <v>22.5</v>
      </c>
      <c r="E1439" t="str">
        <f t="shared" si="112"/>
        <v>Thursday</v>
      </c>
      <c r="F1439">
        <f>Assumptions!$B$2</f>
        <v>0.5</v>
      </c>
      <c r="G1439">
        <f t="shared" si="113"/>
        <v>1.5</v>
      </c>
    </row>
    <row r="1440" spans="1:7" x14ac:dyDescent="0.3">
      <c r="A1440" s="2">
        <f t="shared" si="114"/>
        <v>46233.958333336821</v>
      </c>
      <c r="B1440">
        <v>6</v>
      </c>
      <c r="C1440" s="2">
        <f t="shared" si="110"/>
        <v>46233</v>
      </c>
      <c r="D1440" s="1">
        <f t="shared" si="111"/>
        <v>23</v>
      </c>
      <c r="E1440" t="str">
        <f t="shared" si="112"/>
        <v>Thursday</v>
      </c>
      <c r="F1440">
        <f>Assumptions!$B$2</f>
        <v>0.5</v>
      </c>
      <c r="G1440">
        <f t="shared" si="113"/>
        <v>3</v>
      </c>
    </row>
    <row r="1441" spans="1:7" x14ac:dyDescent="0.3">
      <c r="A1441" s="2">
        <f t="shared" si="114"/>
        <v>46233.979166670157</v>
      </c>
      <c r="B1441">
        <v>3.6</v>
      </c>
      <c r="C1441" s="2">
        <f t="shared" si="110"/>
        <v>46233</v>
      </c>
      <c r="D1441" s="1">
        <f t="shared" si="111"/>
        <v>23.5</v>
      </c>
      <c r="E1441" t="str">
        <f t="shared" si="112"/>
        <v>Thursday</v>
      </c>
      <c r="F1441">
        <f>Assumptions!$B$2</f>
        <v>0.5</v>
      </c>
      <c r="G1441">
        <f t="shared" si="113"/>
        <v>1.8</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C8438-3BBD-4A8E-8C2F-84E198F47462}">
  <dimension ref="A1:G31"/>
  <sheetViews>
    <sheetView topLeftCell="C19" zoomScale="98" workbookViewId="0">
      <selection activeCell="R39" sqref="R39"/>
    </sheetView>
  </sheetViews>
  <sheetFormatPr defaultRowHeight="14.4" x14ac:dyDescent="0.3"/>
  <cols>
    <col min="2" max="2" width="17.77734375" customWidth="1"/>
    <col min="3" max="3" width="18.21875" customWidth="1"/>
    <col min="4" max="4" width="20.6640625" customWidth="1"/>
    <col min="5" max="5" width="17.109375" customWidth="1"/>
    <col min="6" max="6" width="15.33203125" customWidth="1"/>
    <col min="7" max="7" width="12.77734375" customWidth="1"/>
  </cols>
  <sheetData>
    <row r="1" spans="1:7" x14ac:dyDescent="0.3">
      <c r="A1" t="s">
        <v>20</v>
      </c>
      <c r="B1" t="s">
        <v>25</v>
      </c>
      <c r="C1" t="s">
        <v>26</v>
      </c>
      <c r="D1" t="s">
        <v>27</v>
      </c>
      <c r="E1" t="s">
        <v>28</v>
      </c>
      <c r="F1" t="s">
        <v>29</v>
      </c>
      <c r="G1" t="s">
        <v>30</v>
      </c>
    </row>
    <row r="2" spans="1:7" x14ac:dyDescent="0.3">
      <c r="A2" s="3">
        <v>46204</v>
      </c>
      <c r="B2">
        <f>SUMIFS(Raw_Load_Data!$G:$G,Raw_Load_Data!$C:$C,$A2)</f>
        <v>276.29999999999995</v>
      </c>
      <c r="C2">
        <f>_xlfn.MAXIFS(Raw_Load_Data!$B:$B,Raw_Load_Data!C:$C,A2)</f>
        <v>33.299999999999997</v>
      </c>
      <c r="D2">
        <f>AVERAGEIFS(Raw_Load_Data!$B:$B,Raw_Load_Data!$C:$C,$A2)</f>
        <v>11.512499999999998</v>
      </c>
      <c r="E2">
        <f>_xlfn.MINIFS(Raw_Load_Data!$B:$B,Raw_Load_Data!$C:$C,$A2)</f>
        <v>1.8</v>
      </c>
      <c r="F2">
        <f>D2/C2</f>
        <v>0.34572072072072069</v>
      </c>
      <c r="G2">
        <f>B2*Assumptions!$B$3+Assumptions!$B$4</f>
        <v>78.563999999999993</v>
      </c>
    </row>
    <row r="3" spans="1:7" x14ac:dyDescent="0.3">
      <c r="A3" s="3">
        <v>46205</v>
      </c>
      <c r="B3">
        <f>SUMIFS(Raw_Load_Data!$G:$G,Raw_Load_Data!$C:$C,$A3)</f>
        <v>264.39999999999986</v>
      </c>
      <c r="C3">
        <f>_xlfn.MAXIFS(Raw_Load_Data!$B:$B,Raw_Load_Data!C:$C,A3)</f>
        <v>31.5</v>
      </c>
      <c r="D3">
        <f>AVERAGEIFS(Raw_Load_Data!$B:$B,Raw_Load_Data!$C:$C,$A3)</f>
        <v>11.01666666666666</v>
      </c>
      <c r="E3">
        <f>_xlfn.MINIFS(Raw_Load_Data!$B:$B,Raw_Load_Data!$C:$C,$A3)</f>
        <v>1.8</v>
      </c>
      <c r="F3">
        <f t="shared" ref="F3:F31" si="0">D3/C3</f>
        <v>0.34973544973544951</v>
      </c>
      <c r="G3">
        <f>B3*Assumptions!$B$3+Assumptions!$B$4</f>
        <v>75.231999999999971</v>
      </c>
    </row>
    <row r="4" spans="1:7" x14ac:dyDescent="0.3">
      <c r="A4" s="3">
        <v>46206</v>
      </c>
      <c r="B4">
        <f>SUMIFS(Raw_Load_Data!$G:$G,Raw_Load_Data!$C:$C,$A4)</f>
        <v>271.60000000000008</v>
      </c>
      <c r="C4">
        <f>_xlfn.MAXIFS(Raw_Load_Data!$B:$B,Raw_Load_Data!C:$C,A4)</f>
        <v>34.299999999999997</v>
      </c>
      <c r="D4">
        <f>AVERAGEIFS(Raw_Load_Data!$B:$B,Raw_Load_Data!$C:$C,$A4)</f>
        <v>11.31666666666667</v>
      </c>
      <c r="E4">
        <f>_xlfn.MINIFS(Raw_Load_Data!$B:$B,Raw_Load_Data!$C:$C,$A4)</f>
        <v>1.8</v>
      </c>
      <c r="F4">
        <f t="shared" si="0"/>
        <v>0.32993197278911579</v>
      </c>
      <c r="G4">
        <f>B4*Assumptions!$B$3+Assumptions!$B$4</f>
        <v>77.248000000000033</v>
      </c>
    </row>
    <row r="5" spans="1:7" x14ac:dyDescent="0.3">
      <c r="A5" s="3">
        <v>46207</v>
      </c>
      <c r="B5">
        <f>SUMIFS(Raw_Load_Data!$G:$G,Raw_Load_Data!$C:$C,$A5)</f>
        <v>261.34999999999997</v>
      </c>
      <c r="C5">
        <f>_xlfn.MAXIFS(Raw_Load_Data!$B:$B,Raw_Load_Data!C:$C,A5)</f>
        <v>31.7</v>
      </c>
      <c r="D5">
        <f>AVERAGEIFS(Raw_Load_Data!$B:$B,Raw_Load_Data!$C:$C,$A5)</f>
        <v>10.889583333333333</v>
      </c>
      <c r="E5">
        <f>_xlfn.MINIFS(Raw_Load_Data!$B:$B,Raw_Load_Data!$C:$C,$A5)</f>
        <v>2</v>
      </c>
      <c r="F5">
        <f t="shared" si="0"/>
        <v>0.34351997896950576</v>
      </c>
      <c r="G5">
        <f>B5*Assumptions!$B$3+Assumptions!$B$4</f>
        <v>74.378</v>
      </c>
    </row>
    <row r="6" spans="1:7" x14ac:dyDescent="0.3">
      <c r="A6" s="3">
        <v>46208</v>
      </c>
      <c r="B6">
        <f>SUMIFS(Raw_Load_Data!$G:$G,Raw_Load_Data!$C:$C,$A6)</f>
        <v>271.3</v>
      </c>
      <c r="C6">
        <f>_xlfn.MAXIFS(Raw_Load_Data!$B:$B,Raw_Load_Data!C:$C,A6)</f>
        <v>34.9</v>
      </c>
      <c r="D6">
        <f>AVERAGEIFS(Raw_Load_Data!$B:$B,Raw_Load_Data!$C:$C,$A6)</f>
        <v>11.304166666666667</v>
      </c>
      <c r="E6">
        <f>_xlfn.MINIFS(Raw_Load_Data!$B:$B,Raw_Load_Data!$C:$C,$A6)</f>
        <v>1.8</v>
      </c>
      <c r="F6">
        <f t="shared" si="0"/>
        <v>0.32390162368672398</v>
      </c>
      <c r="G6">
        <f>B6*Assumptions!$B$3+Assumptions!$B$4</f>
        <v>77.164000000000016</v>
      </c>
    </row>
    <row r="7" spans="1:7" x14ac:dyDescent="0.3">
      <c r="A7" s="3">
        <v>46209</v>
      </c>
      <c r="B7">
        <f>SUMIFS(Raw_Load_Data!$G:$G,Raw_Load_Data!$C:$C,$A7)</f>
        <v>261.65000000000003</v>
      </c>
      <c r="C7">
        <f>_xlfn.MAXIFS(Raw_Load_Data!$B:$B,Raw_Load_Data!C:$C,A7)</f>
        <v>34.700000000000003</v>
      </c>
      <c r="D7">
        <f>AVERAGEIFS(Raw_Load_Data!$B:$B,Raw_Load_Data!$C:$C,$A7)</f>
        <v>10.902083333333335</v>
      </c>
      <c r="E7">
        <f>_xlfn.MINIFS(Raw_Load_Data!$B:$B,Raw_Load_Data!$C:$C,$A7)</f>
        <v>1.8</v>
      </c>
      <c r="F7">
        <f t="shared" si="0"/>
        <v>0.31418107588856869</v>
      </c>
      <c r="G7">
        <f>B7*Assumptions!$B$3+Assumptions!$B$4</f>
        <v>74.462000000000018</v>
      </c>
    </row>
    <row r="8" spans="1:7" x14ac:dyDescent="0.3">
      <c r="A8" s="3">
        <v>46210</v>
      </c>
      <c r="B8">
        <f>SUMIFS(Raw_Load_Data!$G:$G,Raw_Load_Data!$C:$C,$A8)</f>
        <v>269.59999999999997</v>
      </c>
      <c r="C8">
        <f>_xlfn.MAXIFS(Raw_Load_Data!$B:$B,Raw_Load_Data!C:$C,A8)</f>
        <v>33.9</v>
      </c>
      <c r="D8">
        <f>AVERAGEIFS(Raw_Load_Data!$B:$B,Raw_Load_Data!$C:$C,$A8)</f>
        <v>11.233333333333333</v>
      </c>
      <c r="E8">
        <f>_xlfn.MINIFS(Raw_Load_Data!$B:$B,Raw_Load_Data!$C:$C,$A8)</f>
        <v>1.8</v>
      </c>
      <c r="F8">
        <f t="shared" si="0"/>
        <v>0.33136676499508355</v>
      </c>
      <c r="G8">
        <f>B8*Assumptions!$B$3+Assumptions!$B$4</f>
        <v>76.688000000000002</v>
      </c>
    </row>
    <row r="9" spans="1:7" x14ac:dyDescent="0.3">
      <c r="A9" s="3">
        <v>46211</v>
      </c>
      <c r="B9">
        <f>SUMIFS(Raw_Load_Data!$G:$G,Raw_Load_Data!$C:$C,$A9)</f>
        <v>282.40000000000003</v>
      </c>
      <c r="C9">
        <f>_xlfn.MAXIFS(Raw_Load_Data!$B:$B,Raw_Load_Data!C:$C,A9)</f>
        <v>34.1</v>
      </c>
      <c r="D9">
        <f>AVERAGEIFS(Raw_Load_Data!$B:$B,Raw_Load_Data!$C:$C,$A9)</f>
        <v>11.766666666666667</v>
      </c>
      <c r="E9">
        <f>_xlfn.MINIFS(Raw_Load_Data!$B:$B,Raw_Load_Data!$C:$C,$A9)</f>
        <v>1.8</v>
      </c>
      <c r="F9">
        <f t="shared" si="0"/>
        <v>0.34506353861192574</v>
      </c>
      <c r="G9">
        <f>B9*Assumptions!$B$3+Assumptions!$B$4</f>
        <v>80.27200000000002</v>
      </c>
    </row>
    <row r="10" spans="1:7" x14ac:dyDescent="0.3">
      <c r="A10" s="3">
        <v>46212</v>
      </c>
      <c r="B10">
        <f>SUMIFS(Raw_Load_Data!$G:$G,Raw_Load_Data!$C:$C,$A10)</f>
        <v>284.55</v>
      </c>
      <c r="C10">
        <f>_xlfn.MAXIFS(Raw_Load_Data!$B:$B,Raw_Load_Data!C:$C,A10)</f>
        <v>34.4</v>
      </c>
      <c r="D10">
        <f>AVERAGEIFS(Raw_Load_Data!$B:$B,Raw_Load_Data!$C:$C,$A10)</f>
        <v>11.856250000000001</v>
      </c>
      <c r="E10">
        <f>_xlfn.MINIFS(Raw_Load_Data!$B:$B,Raw_Load_Data!$C:$C,$A10)</f>
        <v>1.9</v>
      </c>
      <c r="F10">
        <f t="shared" si="0"/>
        <v>0.34465843023255821</v>
      </c>
      <c r="G10">
        <f>B10*Assumptions!$B$3+Assumptions!$B$4</f>
        <v>80.874000000000009</v>
      </c>
    </row>
    <row r="11" spans="1:7" x14ac:dyDescent="0.3">
      <c r="A11" s="3">
        <v>46213</v>
      </c>
      <c r="B11">
        <f>SUMIFS(Raw_Load_Data!$G:$G,Raw_Load_Data!$C:$C,$A11)</f>
        <v>278.95</v>
      </c>
      <c r="C11">
        <f>_xlfn.MAXIFS(Raw_Load_Data!$B:$B,Raw_Load_Data!C:$C,A11)</f>
        <v>34.1</v>
      </c>
      <c r="D11">
        <f>AVERAGEIFS(Raw_Load_Data!$B:$B,Raw_Load_Data!$C:$C,$A11)</f>
        <v>11.622916666666667</v>
      </c>
      <c r="E11">
        <f>_xlfn.MINIFS(Raw_Load_Data!$B:$B,Raw_Load_Data!$C:$C,$A11)</f>
        <v>1.8</v>
      </c>
      <c r="F11">
        <f t="shared" si="0"/>
        <v>0.34084799608993155</v>
      </c>
      <c r="G11">
        <f>B11*Assumptions!$B$3+Assumptions!$B$4</f>
        <v>79.306000000000012</v>
      </c>
    </row>
    <row r="12" spans="1:7" x14ac:dyDescent="0.3">
      <c r="A12" s="3">
        <v>46214</v>
      </c>
      <c r="B12">
        <f>SUMIFS(Raw_Load_Data!$G:$G,Raw_Load_Data!$C:$C,$A12)</f>
        <v>278.10000000000002</v>
      </c>
      <c r="C12">
        <f>_xlfn.MAXIFS(Raw_Load_Data!$B:$B,Raw_Load_Data!C:$C,A12)</f>
        <v>34.1</v>
      </c>
      <c r="D12">
        <f>AVERAGEIFS(Raw_Load_Data!$B:$B,Raw_Load_Data!$C:$C,$A12)</f>
        <v>11.5875</v>
      </c>
      <c r="E12">
        <f>_xlfn.MINIFS(Raw_Load_Data!$B:$B,Raw_Load_Data!$C:$C,$A12)</f>
        <v>1.8</v>
      </c>
      <c r="F12">
        <f t="shared" si="0"/>
        <v>0.33980938416422285</v>
      </c>
      <c r="G12">
        <f>B12*Assumptions!$B$3+Assumptions!$B$4</f>
        <v>79.068000000000012</v>
      </c>
    </row>
    <row r="13" spans="1:7" x14ac:dyDescent="0.3">
      <c r="A13" s="3">
        <v>46215</v>
      </c>
      <c r="B13">
        <f>SUMIFS(Raw_Load_Data!$G:$G,Raw_Load_Data!$C:$C,$A13)</f>
        <v>266.75</v>
      </c>
      <c r="C13">
        <f>_xlfn.MAXIFS(Raw_Load_Data!$B:$B,Raw_Load_Data!C:$C,A13)</f>
        <v>30.5</v>
      </c>
      <c r="D13">
        <f>AVERAGEIFS(Raw_Load_Data!$B:$B,Raw_Load_Data!$C:$C,$A13)</f>
        <v>11.114583333333334</v>
      </c>
      <c r="E13">
        <f>_xlfn.MINIFS(Raw_Load_Data!$B:$B,Raw_Load_Data!$C:$C,$A13)</f>
        <v>1.8</v>
      </c>
      <c r="F13">
        <f t="shared" si="0"/>
        <v>0.36441256830601093</v>
      </c>
      <c r="G13">
        <f>B13*Assumptions!$B$3+Assumptions!$B$4</f>
        <v>75.890000000000015</v>
      </c>
    </row>
    <row r="14" spans="1:7" x14ac:dyDescent="0.3">
      <c r="A14" s="3">
        <v>46216</v>
      </c>
      <c r="B14">
        <f>SUMIFS(Raw_Load_Data!$G:$G,Raw_Load_Data!$C:$C,$A14)</f>
        <v>270.45000000000005</v>
      </c>
      <c r="C14">
        <f>_xlfn.MAXIFS(Raw_Load_Data!$B:$B,Raw_Load_Data!C:$C,A14)</f>
        <v>34.9</v>
      </c>
      <c r="D14">
        <f>AVERAGEIFS(Raw_Load_Data!$B:$B,Raw_Load_Data!$C:$C,$A14)</f>
        <v>11.268750000000002</v>
      </c>
      <c r="E14">
        <f>_xlfn.MINIFS(Raw_Load_Data!$B:$B,Raw_Load_Data!$C:$C,$A14)</f>
        <v>2</v>
      </c>
      <c r="F14">
        <f t="shared" si="0"/>
        <v>0.32288681948424075</v>
      </c>
      <c r="G14">
        <f>B14*Assumptions!$B$3+Assumptions!$B$4</f>
        <v>76.926000000000016</v>
      </c>
    </row>
    <row r="15" spans="1:7" x14ac:dyDescent="0.3">
      <c r="A15" s="3">
        <v>46217</v>
      </c>
      <c r="B15">
        <f>SUMIFS(Raw_Load_Data!$G:$G,Raw_Load_Data!$C:$C,$A15)</f>
        <v>279.50000000000011</v>
      </c>
      <c r="C15">
        <f>_xlfn.MAXIFS(Raw_Load_Data!$B:$B,Raw_Load_Data!C:$C,A15)</f>
        <v>34.1</v>
      </c>
      <c r="D15">
        <f>AVERAGEIFS(Raw_Load_Data!$B:$B,Raw_Load_Data!$C:$C,$A15)</f>
        <v>11.645833333333337</v>
      </c>
      <c r="E15">
        <f>_xlfn.MINIFS(Raw_Load_Data!$B:$B,Raw_Load_Data!$C:$C,$A15)</f>
        <v>1.9</v>
      </c>
      <c r="F15">
        <f t="shared" si="0"/>
        <v>0.34152003910068435</v>
      </c>
      <c r="G15">
        <f>B15*Assumptions!$B$3+Assumptions!$B$4</f>
        <v>79.460000000000036</v>
      </c>
    </row>
    <row r="16" spans="1:7" x14ac:dyDescent="0.3">
      <c r="A16" s="3">
        <v>46218</v>
      </c>
      <c r="B16">
        <f>SUMIFS(Raw_Load_Data!$G:$G,Raw_Load_Data!$C:$C,$A16)</f>
        <v>270.70000000000005</v>
      </c>
      <c r="C16">
        <f>_xlfn.MAXIFS(Raw_Load_Data!$B:$B,Raw_Load_Data!C:$C,A16)</f>
        <v>34.6</v>
      </c>
      <c r="D16">
        <f>AVERAGEIFS(Raw_Load_Data!$B:$B,Raw_Load_Data!$C:$C,$A16)</f>
        <v>11.279166666666669</v>
      </c>
      <c r="E16">
        <f>_xlfn.MINIFS(Raw_Load_Data!$B:$B,Raw_Load_Data!$C:$C,$A16)</f>
        <v>1.9</v>
      </c>
      <c r="F16">
        <f t="shared" si="0"/>
        <v>0.32598747591522165</v>
      </c>
      <c r="G16">
        <f>B16*Assumptions!$B$3+Assumptions!$B$4</f>
        <v>76.996000000000024</v>
      </c>
    </row>
    <row r="17" spans="1:7" x14ac:dyDescent="0.3">
      <c r="A17" s="3">
        <v>46219</v>
      </c>
      <c r="B17">
        <f>SUMIFS(Raw_Load_Data!$G:$G,Raw_Load_Data!$C:$C,$A17)</f>
        <v>270.2</v>
      </c>
      <c r="C17">
        <f>_xlfn.MAXIFS(Raw_Load_Data!$B:$B,Raw_Load_Data!C:$C,A17)</f>
        <v>34.9</v>
      </c>
      <c r="D17">
        <f>AVERAGEIFS(Raw_Load_Data!$B:$B,Raw_Load_Data!$C:$C,$A17)</f>
        <v>11.258333333333333</v>
      </c>
      <c r="E17">
        <f>_xlfn.MINIFS(Raw_Load_Data!$B:$B,Raw_Load_Data!$C:$C,$A17)</f>
        <v>1.8</v>
      </c>
      <c r="F17">
        <f t="shared" si="0"/>
        <v>0.3225883476599809</v>
      </c>
      <c r="G17">
        <f>B17*Assumptions!$B$3+Assumptions!$B$4</f>
        <v>76.856000000000009</v>
      </c>
    </row>
    <row r="18" spans="1:7" x14ac:dyDescent="0.3">
      <c r="A18" s="3">
        <v>46220</v>
      </c>
      <c r="B18">
        <f>SUMIFS(Raw_Load_Data!$G:$G,Raw_Load_Data!$C:$C,$A18)</f>
        <v>257.25</v>
      </c>
      <c r="C18">
        <f>_xlfn.MAXIFS(Raw_Load_Data!$B:$B,Raw_Load_Data!C:$C,A18)</f>
        <v>30.5</v>
      </c>
      <c r="D18">
        <f>AVERAGEIFS(Raw_Load_Data!$B:$B,Raw_Load_Data!$C:$C,$A18)</f>
        <v>10.71875</v>
      </c>
      <c r="E18">
        <f>_xlfn.MINIFS(Raw_Load_Data!$B:$B,Raw_Load_Data!$C:$C,$A18)</f>
        <v>1.8</v>
      </c>
      <c r="F18">
        <f t="shared" si="0"/>
        <v>0.35143442622950821</v>
      </c>
      <c r="G18">
        <f>B18*Assumptions!$B$3+Assumptions!$B$4</f>
        <v>73.23</v>
      </c>
    </row>
    <row r="19" spans="1:7" x14ac:dyDescent="0.3">
      <c r="A19" s="3">
        <v>46221</v>
      </c>
      <c r="B19">
        <f>SUMIFS(Raw_Load_Data!$G:$G,Raw_Load_Data!$C:$C,$A19)</f>
        <v>268.45000000000005</v>
      </c>
      <c r="C19">
        <f>_xlfn.MAXIFS(Raw_Load_Data!$B:$B,Raw_Load_Data!C:$C,A19)</f>
        <v>31.7</v>
      </c>
      <c r="D19">
        <f>AVERAGEIFS(Raw_Load_Data!$B:$B,Raw_Load_Data!$C:$C,$A19)</f>
        <v>11.185416666666669</v>
      </c>
      <c r="E19">
        <f>_xlfn.MINIFS(Raw_Load_Data!$B:$B,Raw_Load_Data!$C:$C,$A19)</f>
        <v>1.8</v>
      </c>
      <c r="F19">
        <f t="shared" si="0"/>
        <v>0.35285226077812837</v>
      </c>
      <c r="G19">
        <f>B19*Assumptions!$B$3+Assumptions!$B$4</f>
        <v>76.366000000000028</v>
      </c>
    </row>
    <row r="20" spans="1:7" x14ac:dyDescent="0.3">
      <c r="A20" s="3">
        <v>46222</v>
      </c>
      <c r="B20">
        <f>SUMIFS(Raw_Load_Data!$G:$G,Raw_Load_Data!$C:$C,$A20)</f>
        <v>262.30000000000007</v>
      </c>
      <c r="C20">
        <f>_xlfn.MAXIFS(Raw_Load_Data!$B:$B,Raw_Load_Data!C:$C,A20)</f>
        <v>29.9</v>
      </c>
      <c r="D20">
        <f>AVERAGEIFS(Raw_Load_Data!$B:$B,Raw_Load_Data!$C:$C,$A20)</f>
        <v>10.929166666666669</v>
      </c>
      <c r="E20">
        <f>_xlfn.MINIFS(Raw_Load_Data!$B:$B,Raw_Load_Data!$C:$C,$A20)</f>
        <v>1.9</v>
      </c>
      <c r="F20">
        <f t="shared" si="0"/>
        <v>0.36552396878483845</v>
      </c>
      <c r="G20">
        <f>B20*Assumptions!$B$3+Assumptions!$B$4</f>
        <v>74.644000000000034</v>
      </c>
    </row>
    <row r="21" spans="1:7" x14ac:dyDescent="0.3">
      <c r="A21" s="3">
        <v>46223</v>
      </c>
      <c r="B21">
        <f>SUMIFS(Raw_Load_Data!$G:$G,Raw_Load_Data!$C:$C,$A21)</f>
        <v>271.90000000000003</v>
      </c>
      <c r="C21">
        <f>_xlfn.MAXIFS(Raw_Load_Data!$B:$B,Raw_Load_Data!C:$C,A21)</f>
        <v>33.9</v>
      </c>
      <c r="D21">
        <f>AVERAGEIFS(Raw_Load_Data!$B:$B,Raw_Load_Data!$C:$C,$A21)</f>
        <v>11.329166666666667</v>
      </c>
      <c r="E21">
        <f>_xlfn.MINIFS(Raw_Load_Data!$B:$B,Raw_Load_Data!$C:$C,$A21)</f>
        <v>1.9</v>
      </c>
      <c r="F21">
        <f t="shared" si="0"/>
        <v>0.33419370698131762</v>
      </c>
      <c r="G21">
        <f>B21*Assumptions!$B$3+Assumptions!$B$4</f>
        <v>77.332000000000022</v>
      </c>
    </row>
    <row r="22" spans="1:7" x14ac:dyDescent="0.3">
      <c r="A22" s="3">
        <v>46224</v>
      </c>
      <c r="B22">
        <f>SUMIFS(Raw_Load_Data!$G:$G,Raw_Load_Data!$C:$C,$A22)</f>
        <v>263.15000000000003</v>
      </c>
      <c r="C22">
        <f>_xlfn.MAXIFS(Raw_Load_Data!$B:$B,Raw_Load_Data!C:$C,A22)</f>
        <v>32.200000000000003</v>
      </c>
      <c r="D22">
        <f>AVERAGEIFS(Raw_Load_Data!$B:$B,Raw_Load_Data!$C:$C,$A22)</f>
        <v>10.964583333333335</v>
      </c>
      <c r="E22">
        <f>_xlfn.MINIFS(Raw_Load_Data!$B:$B,Raw_Load_Data!$C:$C,$A22)</f>
        <v>2</v>
      </c>
      <c r="F22">
        <f t="shared" si="0"/>
        <v>0.34051501035196691</v>
      </c>
      <c r="G22">
        <f>B22*Assumptions!$B$3+Assumptions!$B$4</f>
        <v>74.882000000000019</v>
      </c>
    </row>
    <row r="23" spans="1:7" x14ac:dyDescent="0.3">
      <c r="A23" s="3">
        <v>46225</v>
      </c>
      <c r="B23">
        <f>SUMIFS(Raw_Load_Data!$G:$G,Raw_Load_Data!$C:$C,$A23)</f>
        <v>258.60000000000002</v>
      </c>
      <c r="C23">
        <f>_xlfn.MAXIFS(Raw_Load_Data!$B:$B,Raw_Load_Data!C:$C,A23)</f>
        <v>31.6</v>
      </c>
      <c r="D23">
        <f>AVERAGEIFS(Raw_Load_Data!$B:$B,Raw_Load_Data!$C:$C,$A23)</f>
        <v>10.775</v>
      </c>
      <c r="E23">
        <f>_xlfn.MINIFS(Raw_Load_Data!$B:$B,Raw_Load_Data!$C:$C,$A23)</f>
        <v>1.9</v>
      </c>
      <c r="F23">
        <f t="shared" si="0"/>
        <v>0.34098101265822783</v>
      </c>
      <c r="G23">
        <f>B23*Assumptions!$B$3+Assumptions!$B$4</f>
        <v>73.608000000000018</v>
      </c>
    </row>
    <row r="24" spans="1:7" x14ac:dyDescent="0.3">
      <c r="A24" s="3">
        <v>46226</v>
      </c>
      <c r="B24">
        <f>SUMIFS(Raw_Load_Data!$G:$G,Raw_Load_Data!$C:$C,$A24)</f>
        <v>285.3</v>
      </c>
      <c r="C24">
        <f>_xlfn.MAXIFS(Raw_Load_Data!$B:$B,Raw_Load_Data!C:$C,A24)</f>
        <v>33.200000000000003</v>
      </c>
      <c r="D24">
        <f>AVERAGEIFS(Raw_Load_Data!$B:$B,Raw_Load_Data!$C:$C,$A24)</f>
        <v>11.887500000000001</v>
      </c>
      <c r="E24">
        <f>_xlfn.MINIFS(Raw_Load_Data!$B:$B,Raw_Load_Data!$C:$C,$A24)</f>
        <v>1.8</v>
      </c>
      <c r="F24">
        <f t="shared" si="0"/>
        <v>0.35805722891566266</v>
      </c>
      <c r="G24">
        <f>B24*Assumptions!$B$3+Assumptions!$B$4</f>
        <v>81.084000000000017</v>
      </c>
    </row>
    <row r="25" spans="1:7" x14ac:dyDescent="0.3">
      <c r="A25" s="3">
        <v>46227</v>
      </c>
      <c r="B25">
        <f>SUMIFS(Raw_Load_Data!$G:$G,Raw_Load_Data!$C:$C,$A25)</f>
        <v>268.79999999999995</v>
      </c>
      <c r="C25">
        <f>_xlfn.MAXIFS(Raw_Load_Data!$B:$B,Raw_Load_Data!C:$C,A25)</f>
        <v>34.200000000000003</v>
      </c>
      <c r="D25">
        <f>AVERAGEIFS(Raw_Load_Data!$B:$B,Raw_Load_Data!$C:$C,$A25)</f>
        <v>11.199999999999998</v>
      </c>
      <c r="E25">
        <f>_xlfn.MINIFS(Raw_Load_Data!$B:$B,Raw_Load_Data!$C:$C,$A25)</f>
        <v>1.8</v>
      </c>
      <c r="F25">
        <f t="shared" si="0"/>
        <v>0.32748538011695899</v>
      </c>
      <c r="G25">
        <f>B25*Assumptions!$B$3+Assumptions!$B$4</f>
        <v>76.463999999999999</v>
      </c>
    </row>
    <row r="26" spans="1:7" x14ac:dyDescent="0.3">
      <c r="A26" s="3">
        <v>46228</v>
      </c>
      <c r="B26">
        <f>SUMIFS(Raw_Load_Data!$G:$G,Raw_Load_Data!$C:$C,$A26)</f>
        <v>264.14999999999998</v>
      </c>
      <c r="C26">
        <f>_xlfn.MAXIFS(Raw_Load_Data!$B:$B,Raw_Load_Data!C:$C,A26)</f>
        <v>33.700000000000003</v>
      </c>
      <c r="D26">
        <f>AVERAGEIFS(Raw_Load_Data!$B:$B,Raw_Load_Data!$C:$C,$A26)</f>
        <v>11.00625</v>
      </c>
      <c r="E26">
        <f>_xlfn.MINIFS(Raw_Load_Data!$B:$B,Raw_Load_Data!$C:$C,$A26)</f>
        <v>2</v>
      </c>
      <c r="F26">
        <f t="shared" si="0"/>
        <v>0.3265949554896142</v>
      </c>
      <c r="G26">
        <f>B26*Assumptions!$B$3+Assumptions!$B$4</f>
        <v>75.162000000000006</v>
      </c>
    </row>
    <row r="27" spans="1:7" x14ac:dyDescent="0.3">
      <c r="A27" s="3">
        <v>46229</v>
      </c>
      <c r="B27">
        <f>SUMIFS(Raw_Load_Data!$G:$G,Raw_Load_Data!$C:$C,$A27)</f>
        <v>287.7</v>
      </c>
      <c r="C27">
        <f>_xlfn.MAXIFS(Raw_Load_Data!$B:$B,Raw_Load_Data!C:$C,A27)</f>
        <v>33.200000000000003</v>
      </c>
      <c r="D27">
        <f>AVERAGEIFS(Raw_Load_Data!$B:$B,Raw_Load_Data!$C:$C,$A27)</f>
        <v>11.987499999999999</v>
      </c>
      <c r="E27">
        <f>_xlfn.MINIFS(Raw_Load_Data!$B:$B,Raw_Load_Data!$C:$C,$A27)</f>
        <v>1.8</v>
      </c>
      <c r="F27">
        <f t="shared" si="0"/>
        <v>0.36106927710843367</v>
      </c>
      <c r="G27">
        <f>B27*Assumptions!$B$3+Assumptions!$B$4</f>
        <v>81.756</v>
      </c>
    </row>
    <row r="28" spans="1:7" x14ac:dyDescent="0.3">
      <c r="A28" s="3">
        <v>46230</v>
      </c>
      <c r="B28">
        <f>SUMIFS(Raw_Load_Data!$G:$G,Raw_Load_Data!$C:$C,$A28)</f>
        <v>264.25</v>
      </c>
      <c r="C28">
        <f>_xlfn.MAXIFS(Raw_Load_Data!$B:$B,Raw_Load_Data!C:$C,A28)</f>
        <v>32.799999999999997</v>
      </c>
      <c r="D28">
        <f>AVERAGEIFS(Raw_Load_Data!$B:$B,Raw_Load_Data!$C:$C,$A28)</f>
        <v>11.010416666666666</v>
      </c>
      <c r="E28">
        <f>_xlfn.MINIFS(Raw_Load_Data!$B:$B,Raw_Load_Data!$C:$C,$A28)</f>
        <v>1.8</v>
      </c>
      <c r="F28">
        <f t="shared" si="0"/>
        <v>0.3356834349593496</v>
      </c>
      <c r="G28">
        <f>B28*Assumptions!$B$3+Assumptions!$B$4</f>
        <v>75.190000000000012</v>
      </c>
    </row>
    <row r="29" spans="1:7" x14ac:dyDescent="0.3">
      <c r="A29" s="3">
        <v>46231</v>
      </c>
      <c r="B29">
        <f>SUMIFS(Raw_Load_Data!$G:$G,Raw_Load_Data!$C:$C,$A29)</f>
        <v>277.35000000000014</v>
      </c>
      <c r="C29">
        <f>_xlfn.MAXIFS(Raw_Load_Data!$B:$B,Raw_Load_Data!C:$C,A29)</f>
        <v>34.700000000000003</v>
      </c>
      <c r="D29">
        <f>AVERAGEIFS(Raw_Load_Data!$B:$B,Raw_Load_Data!$C:$C,$A29)</f>
        <v>11.556250000000006</v>
      </c>
      <c r="E29">
        <f>_xlfn.MINIFS(Raw_Load_Data!$B:$B,Raw_Load_Data!$C:$C,$A29)</f>
        <v>1.9</v>
      </c>
      <c r="F29">
        <f t="shared" si="0"/>
        <v>0.33303314121037475</v>
      </c>
      <c r="G29">
        <f>B29*Assumptions!$B$3+Assumptions!$B$4</f>
        <v>78.858000000000047</v>
      </c>
    </row>
    <row r="30" spans="1:7" x14ac:dyDescent="0.3">
      <c r="A30" s="3">
        <v>46232</v>
      </c>
      <c r="B30">
        <f>SUMIFS(Raw_Load_Data!$G:$G,Raw_Load_Data!$C:$C,$A30)</f>
        <v>278.20000000000005</v>
      </c>
      <c r="C30">
        <f>_xlfn.MAXIFS(Raw_Load_Data!$B:$B,Raw_Load_Data!C:$C,A30)</f>
        <v>33.1</v>
      </c>
      <c r="D30">
        <f>AVERAGEIFS(Raw_Load_Data!$B:$B,Raw_Load_Data!$C:$C,$A30)</f>
        <v>11.591666666666669</v>
      </c>
      <c r="E30">
        <f>_xlfn.MINIFS(Raw_Load_Data!$B:$B,Raw_Load_Data!$C:$C,$A30)</f>
        <v>1.9</v>
      </c>
      <c r="F30">
        <f t="shared" si="0"/>
        <v>0.3502014098690836</v>
      </c>
      <c r="G30">
        <f>B30*Assumptions!$B$3+Assumptions!$B$4</f>
        <v>79.096000000000018</v>
      </c>
    </row>
    <row r="31" spans="1:7" x14ac:dyDescent="0.3">
      <c r="A31" s="3">
        <v>46233</v>
      </c>
      <c r="B31">
        <f>SUMIFS(Raw_Load_Data!$G:$G,Raw_Load_Data!$C:$C,$A31)</f>
        <v>264.79999999999995</v>
      </c>
      <c r="C31">
        <f>_xlfn.MAXIFS(Raw_Load_Data!$B:$B,Raw_Load_Data!C:$C,A31)</f>
        <v>33.700000000000003</v>
      </c>
      <c r="D31">
        <f>AVERAGEIFS(Raw_Load_Data!$B:$B,Raw_Load_Data!$C:$C,$A31)</f>
        <v>11.033333333333331</v>
      </c>
      <c r="E31">
        <f>_xlfn.MINIFS(Raw_Load_Data!$B:$B,Raw_Load_Data!$C:$C,$A31)</f>
        <v>1.8</v>
      </c>
      <c r="F31">
        <f t="shared" si="0"/>
        <v>0.32739861523244307</v>
      </c>
      <c r="G31">
        <f>B31*Assumptions!$B$3+Assumptions!$B$4</f>
        <v>75.343999999999994</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3C8B-D4AB-4FEC-882C-6E536F71AAD6}">
  <dimension ref="A1:C15"/>
  <sheetViews>
    <sheetView workbookViewId="0">
      <selection activeCell="E13" sqref="E13"/>
    </sheetView>
  </sheetViews>
  <sheetFormatPr defaultRowHeight="14.4" x14ac:dyDescent="0.3"/>
  <cols>
    <col min="1" max="1" width="25.5546875" customWidth="1"/>
    <col min="2" max="2" width="12.109375" customWidth="1"/>
  </cols>
  <sheetData>
    <row r="1" spans="1:3" x14ac:dyDescent="0.3">
      <c r="A1" t="s">
        <v>31</v>
      </c>
      <c r="B1" t="s">
        <v>32</v>
      </c>
      <c r="C1" t="s">
        <v>33</v>
      </c>
    </row>
    <row r="2" spans="1:3" x14ac:dyDescent="0.3">
      <c r="A2" t="s">
        <v>34</v>
      </c>
      <c r="B2">
        <f>SUM(Raw_Load_Data!G:G)</f>
        <v>8130.0000000000009</v>
      </c>
      <c r="C2" t="s">
        <v>47</v>
      </c>
    </row>
    <row r="3" spans="1:3" x14ac:dyDescent="0.3">
      <c r="A3" t="s">
        <v>35</v>
      </c>
      <c r="B3">
        <f>MAX(Raw_Load_Data!B:B)</f>
        <v>34.9</v>
      </c>
      <c r="C3" t="s">
        <v>16</v>
      </c>
    </row>
    <row r="4" spans="1:3" x14ac:dyDescent="0.3">
      <c r="A4" t="s">
        <v>52</v>
      </c>
      <c r="B4">
        <f>AVERAGE(Raw_Load_Data!B:B)</f>
        <v>11.291666666666668</v>
      </c>
      <c r="C4" t="s">
        <v>16</v>
      </c>
    </row>
    <row r="5" spans="1:3" x14ac:dyDescent="0.3">
      <c r="A5" t="s">
        <v>36</v>
      </c>
      <c r="B5">
        <f>MIN(Raw_Load_Data!B:B)</f>
        <v>1.8</v>
      </c>
      <c r="C5" t="s">
        <v>16</v>
      </c>
    </row>
    <row r="6" spans="1:3" x14ac:dyDescent="0.3">
      <c r="A6" t="s">
        <v>37</v>
      </c>
      <c r="B6">
        <f>B4/B3</f>
        <v>0.32354345749761226</v>
      </c>
      <c r="C6" t="s">
        <v>48</v>
      </c>
    </row>
    <row r="7" spans="1:3" x14ac:dyDescent="0.3">
      <c r="A7" t="s">
        <v>38</v>
      </c>
      <c r="B7">
        <v>30</v>
      </c>
      <c r="C7" t="s">
        <v>49</v>
      </c>
    </row>
    <row r="8" spans="1:3" x14ac:dyDescent="0.3">
      <c r="A8" t="s">
        <v>39</v>
      </c>
      <c r="B8">
        <f>B2*Assumptions!$B$3</f>
        <v>2276.4000000000005</v>
      </c>
      <c r="C8" t="s">
        <v>50</v>
      </c>
    </row>
    <row r="9" spans="1:3" x14ac:dyDescent="0.3">
      <c r="A9" t="s">
        <v>40</v>
      </c>
      <c r="B9">
        <f>B3*Assumptions!$B$5</f>
        <v>418.79999999999995</v>
      </c>
      <c r="C9" t="s">
        <v>50</v>
      </c>
    </row>
    <row r="10" spans="1:3" x14ac:dyDescent="0.3">
      <c r="A10" t="s">
        <v>41</v>
      </c>
      <c r="B10">
        <f>B7*Assumptions!$B$4</f>
        <v>36</v>
      </c>
      <c r="C10" s="4" t="s">
        <v>50</v>
      </c>
    </row>
    <row r="11" spans="1:3" x14ac:dyDescent="0.3">
      <c r="A11" t="s">
        <v>42</v>
      </c>
      <c r="B11">
        <f>B8+B9+B10</f>
        <v>2731.2000000000007</v>
      </c>
      <c r="C11" t="s">
        <v>50</v>
      </c>
    </row>
    <row r="12" spans="1:3" x14ac:dyDescent="0.3">
      <c r="A12" t="s">
        <v>44</v>
      </c>
      <c r="B12">
        <f>B2*Assumptions!$B$7</f>
        <v>5691</v>
      </c>
      <c r="C12" t="s">
        <v>51</v>
      </c>
    </row>
    <row r="13" spans="1:3" x14ac:dyDescent="0.3">
      <c r="A13" t="s">
        <v>43</v>
      </c>
      <c r="B13">
        <f>AVERAGEIFS(Raw_Load_Data!$B:$B,Raw_Load_Data!$D:$D,"&gt;=0",Raw_Load_Data!$D:$D,"&lt;6")</f>
        <v>2.387222222222221</v>
      </c>
      <c r="C13" t="s">
        <v>16</v>
      </c>
    </row>
    <row r="14" spans="1:3" x14ac:dyDescent="0.3">
      <c r="A14" t="s">
        <v>45</v>
      </c>
      <c r="B14">
        <f>B13*6*B7</f>
        <v>429.69999999999982</v>
      </c>
      <c r="C14" t="s">
        <v>47</v>
      </c>
    </row>
    <row r="15" spans="1:3" x14ac:dyDescent="0.3">
      <c r="A15" t="s">
        <v>46</v>
      </c>
      <c r="B15">
        <f>B14*Assumptions!$B$3</f>
        <v>120.31599999999996</v>
      </c>
      <c r="C15"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AF7D-7C65-4597-BAB2-0B690D8F89DA}">
  <dimension ref="A1:P1441"/>
  <sheetViews>
    <sheetView topLeftCell="P16" workbookViewId="0">
      <selection activeCell="Q21" sqref="Q21"/>
    </sheetView>
  </sheetViews>
  <sheetFormatPr defaultRowHeight="14.4" x14ac:dyDescent="0.3"/>
  <cols>
    <col min="1" max="1" width="15.77734375" customWidth="1"/>
    <col min="2" max="2" width="20.6640625" customWidth="1"/>
    <col min="3" max="3" width="20.44140625" customWidth="1"/>
    <col min="4" max="4" width="21.5546875" customWidth="1"/>
    <col min="5" max="5" width="25.33203125" customWidth="1"/>
    <col min="6" max="6" width="12.6640625" customWidth="1"/>
    <col min="7" max="7" width="17.44140625" customWidth="1"/>
    <col min="9" max="9" width="23.5546875" customWidth="1"/>
    <col min="13" max="13" width="16.77734375" customWidth="1"/>
    <col min="16" max="16" width="15.44140625" customWidth="1"/>
    <col min="17" max="17" width="15.33203125" customWidth="1"/>
    <col min="18" max="18" width="14.88671875" customWidth="1"/>
    <col min="19" max="19" width="15.21875" customWidth="1"/>
  </cols>
  <sheetData>
    <row r="1" spans="1:16" x14ac:dyDescent="0.3">
      <c r="A1" s="5" t="s">
        <v>18</v>
      </c>
      <c r="B1" t="s">
        <v>53</v>
      </c>
      <c r="C1" t="s">
        <v>54</v>
      </c>
      <c r="D1" t="s">
        <v>55</v>
      </c>
      <c r="E1" t="s">
        <v>56</v>
      </c>
      <c r="F1" t="s">
        <v>57</v>
      </c>
      <c r="G1" t="s">
        <v>58</v>
      </c>
      <c r="I1" t="s">
        <v>31</v>
      </c>
      <c r="J1" t="s">
        <v>32</v>
      </c>
      <c r="K1" t="s">
        <v>33</v>
      </c>
      <c r="M1" t="s">
        <v>71</v>
      </c>
      <c r="N1" t="s">
        <v>47</v>
      </c>
    </row>
    <row r="2" spans="1:16" x14ac:dyDescent="0.3">
      <c r="A2" s="5">
        <f>Raw_Load_Data!A2</f>
        <v>46204</v>
      </c>
      <c r="B2">
        <f>Raw_Load_Data!B2</f>
        <v>2.2000000000000002</v>
      </c>
      <c r="C2">
        <f>MAX(0,IF(AND(HOUR(A2)&gt;=6,HOUR(A2)&lt;=18),Assumptions!$B$8*SIN(PI()*(HOUR(A2)+MINUTE(A2)/60-6)/12),0))</f>
        <v>0</v>
      </c>
      <c r="D2">
        <f>B2-C2</f>
        <v>2.2000000000000002</v>
      </c>
      <c r="E2">
        <f>MIN(B2,C2)*Assumptions!$B$2</f>
        <v>0</v>
      </c>
      <c r="F2">
        <f>MAX(C2-B2,0)*Assumptions!$B$2</f>
        <v>0</v>
      </c>
      <c r="G2">
        <f>MAX(B2-C2,0)*Assumptions!$B$2</f>
        <v>1.1000000000000001</v>
      </c>
      <c r="I2" t="s">
        <v>59</v>
      </c>
      <c r="J2">
        <f>SUM(C:C)*Assumptions!$B$2</f>
        <v>6865.6732597194914</v>
      </c>
      <c r="K2" t="s">
        <v>47</v>
      </c>
      <c r="M2" t="s">
        <v>72</v>
      </c>
      <c r="N2">
        <f>J3</f>
        <v>5581.3491416844163</v>
      </c>
      <c r="P2" s="5"/>
    </row>
    <row r="3" spans="1:16" x14ac:dyDescent="0.3">
      <c r="A3" s="5">
        <f>Raw_Load_Data!A3</f>
        <v>46204.020833333336</v>
      </c>
      <c r="B3">
        <f>Raw_Load_Data!B3</f>
        <v>2.1</v>
      </c>
      <c r="C3">
        <f>MAX(0,IF(AND(HOUR(A3)&gt;=6,HOUR(A3)&lt;=18),Assumptions!$B$8*SIN(PI()*(HOUR(A3)+MINUTE(A3)/60-6)/12),0))</f>
        <v>0</v>
      </c>
      <c r="D3">
        <f t="shared" ref="D3:D66" si="0">B3-C3</f>
        <v>2.1</v>
      </c>
      <c r="E3">
        <f>MIN(B3,C3)*Assumptions!$B$2</f>
        <v>0</v>
      </c>
      <c r="F3">
        <f>MAX(C3-B3,0)*Assumptions!$B$2</f>
        <v>0</v>
      </c>
      <c r="G3">
        <f>MAX(B3-C3,0)*Assumptions!$B$2</f>
        <v>1.05</v>
      </c>
      <c r="I3" t="s">
        <v>60</v>
      </c>
      <c r="J3">
        <f>SUM(E:E)</f>
        <v>5581.3491416844163</v>
      </c>
      <c r="K3" t="s">
        <v>47</v>
      </c>
      <c r="M3" t="s">
        <v>73</v>
      </c>
      <c r="N3">
        <f>J4</f>
        <v>1284.3241180350738</v>
      </c>
      <c r="P3" s="5"/>
    </row>
    <row r="4" spans="1:16" x14ac:dyDescent="0.3">
      <c r="A4" s="5">
        <f>Raw_Load_Data!A4</f>
        <v>46204.041666666672</v>
      </c>
      <c r="B4">
        <f>Raw_Load_Data!B4</f>
        <v>1.9</v>
      </c>
      <c r="C4">
        <f>MAX(0,IF(AND(HOUR(A4)&gt;=6,HOUR(A4)&lt;=18),Assumptions!$B$8*SIN(PI()*(HOUR(A4)+MINUTE(A4)/60-6)/12),0))</f>
        <v>0</v>
      </c>
      <c r="D4">
        <f t="shared" si="0"/>
        <v>1.9</v>
      </c>
      <c r="E4">
        <f>MIN(B4,C4)*Assumptions!$B$2</f>
        <v>0</v>
      </c>
      <c r="F4">
        <f>MAX(C4-B4,0)*Assumptions!$B$2</f>
        <v>0</v>
      </c>
      <c r="G4">
        <f>MAX(B4-C4,0)*Assumptions!$B$2</f>
        <v>0.95</v>
      </c>
      <c r="I4" t="s">
        <v>61</v>
      </c>
      <c r="J4">
        <f>SUM(F:F)</f>
        <v>1284.3241180350738</v>
      </c>
      <c r="K4" t="s">
        <v>47</v>
      </c>
      <c r="P4" s="5"/>
    </row>
    <row r="5" spans="1:16" x14ac:dyDescent="0.3">
      <c r="A5" s="5">
        <f>Raw_Load_Data!A5</f>
        <v>46204.062500000007</v>
      </c>
      <c r="B5">
        <f>Raw_Load_Data!B5</f>
        <v>2.5</v>
      </c>
      <c r="C5">
        <f>MAX(0,IF(AND(HOUR(A5)&gt;=6,HOUR(A5)&lt;=18),Assumptions!$B$8*SIN(PI()*(HOUR(A5)+MINUTE(A5)/60-6)/12),0))</f>
        <v>0</v>
      </c>
      <c r="D5">
        <f t="shared" si="0"/>
        <v>2.5</v>
      </c>
      <c r="E5">
        <f>MIN(B5,C5)*Assumptions!$B$2</f>
        <v>0</v>
      </c>
      <c r="F5">
        <f>MAX(C5-B5,0)*Assumptions!$B$2</f>
        <v>0</v>
      </c>
      <c r="G5">
        <f>MAX(B5-C5,0)*Assumptions!$B$2</f>
        <v>1.25</v>
      </c>
      <c r="I5" t="s">
        <v>62</v>
      </c>
      <c r="J5">
        <f>SUM(G:G)</f>
        <v>2548.650858315581</v>
      </c>
      <c r="K5" t="s">
        <v>47</v>
      </c>
      <c r="M5" t="s">
        <v>87</v>
      </c>
      <c r="N5" t="s">
        <v>88</v>
      </c>
      <c r="P5" s="5"/>
    </row>
    <row r="6" spans="1:16" x14ac:dyDescent="0.3">
      <c r="A6" s="5">
        <f>Raw_Load_Data!A6</f>
        <v>46204.083333333343</v>
      </c>
      <c r="B6">
        <f>Raw_Load_Data!B6</f>
        <v>2.1</v>
      </c>
      <c r="C6">
        <f>MAX(0,IF(AND(HOUR(A6)&gt;=6,HOUR(A6)&lt;=18),Assumptions!$B$8*SIN(PI()*(HOUR(A6)+MINUTE(A6)/60-6)/12),0))</f>
        <v>0</v>
      </c>
      <c r="D6">
        <f t="shared" si="0"/>
        <v>2.1</v>
      </c>
      <c r="E6">
        <f>MIN(B6,C6)*Assumptions!$B$2</f>
        <v>0</v>
      </c>
      <c r="F6">
        <f>MAX(C6-B6,0)*Assumptions!$B$2</f>
        <v>0</v>
      </c>
      <c r="G6">
        <f>MAX(B6-C6,0)*Assumptions!$B$2</f>
        <v>1.05</v>
      </c>
      <c r="I6" t="s">
        <v>63</v>
      </c>
      <c r="J6">
        <f>J3/J2</f>
        <v>0.81293544428189868</v>
      </c>
      <c r="K6" t="s">
        <v>48</v>
      </c>
      <c r="M6" t="s">
        <v>89</v>
      </c>
      <c r="N6">
        <f>Summary_Calcs!B2</f>
        <v>8130.0000000000009</v>
      </c>
      <c r="P6" s="5"/>
    </row>
    <row r="7" spans="1:16" x14ac:dyDescent="0.3">
      <c r="A7" s="5">
        <f>Raw_Load_Data!A7</f>
        <v>46204.104166666679</v>
      </c>
      <c r="B7">
        <f>Raw_Load_Data!B7</f>
        <v>2.9</v>
      </c>
      <c r="C7">
        <f>MAX(0,IF(AND(HOUR(A7)&gt;=6,HOUR(A7)&lt;=18),Assumptions!$B$8*SIN(PI()*(HOUR(A7)+MINUTE(A7)/60-6)/12),0))</f>
        <v>0</v>
      </c>
      <c r="D7">
        <f t="shared" si="0"/>
        <v>2.9</v>
      </c>
      <c r="E7">
        <f>MIN(B7,C7)*Assumptions!$B$2</f>
        <v>0</v>
      </c>
      <c r="F7">
        <f>MAX(C7-B7,0)*Assumptions!$B$2</f>
        <v>0</v>
      </c>
      <c r="G7">
        <f>MAX(B7-C7,0)*Assumptions!$B$2</f>
        <v>1.45</v>
      </c>
      <c r="I7" t="s">
        <v>64</v>
      </c>
      <c r="J7">
        <f>J3*Assumptions!$B$3</f>
        <v>1562.7777596716367</v>
      </c>
      <c r="K7" t="s">
        <v>50</v>
      </c>
      <c r="M7" t="s">
        <v>83</v>
      </c>
      <c r="N7">
        <f>J5</f>
        <v>2548.650858315581</v>
      </c>
      <c r="P7" s="5"/>
    </row>
    <row r="8" spans="1:16" x14ac:dyDescent="0.3">
      <c r="A8" s="5">
        <f>Raw_Load_Data!A8</f>
        <v>46204.125000000015</v>
      </c>
      <c r="B8">
        <f>Raw_Load_Data!B8</f>
        <v>2.6</v>
      </c>
      <c r="C8">
        <f>MAX(0,IF(AND(HOUR(A8)&gt;=6,HOUR(A8)&lt;=18),Assumptions!$B$8*SIN(PI()*(HOUR(A8)+MINUTE(A8)/60-6)/12),0))</f>
        <v>0</v>
      </c>
      <c r="D8">
        <f t="shared" si="0"/>
        <v>2.6</v>
      </c>
      <c r="E8">
        <f>MIN(B8,C8)*Assumptions!$B$2</f>
        <v>0</v>
      </c>
      <c r="F8">
        <f>MAX(C8-B8,0)*Assumptions!$B$2</f>
        <v>0</v>
      </c>
      <c r="G8">
        <f>MAX(B8-C8,0)*Assumptions!$B$2</f>
        <v>1.3</v>
      </c>
      <c r="I8" t="s">
        <v>65</v>
      </c>
      <c r="J8">
        <f>J4*Assumptions!$B$6</f>
        <v>64.216205901753696</v>
      </c>
      <c r="K8" t="s">
        <v>50</v>
      </c>
      <c r="P8" s="5"/>
    </row>
    <row r="9" spans="1:16" x14ac:dyDescent="0.3">
      <c r="A9" s="5">
        <f>Raw_Load_Data!A9</f>
        <v>46204.14583333335</v>
      </c>
      <c r="B9">
        <f>Raw_Load_Data!B9</f>
        <v>1.9</v>
      </c>
      <c r="C9">
        <f>MAX(0,IF(AND(HOUR(A9)&gt;=6,HOUR(A9)&lt;=18),Assumptions!$B$8*SIN(PI()*(HOUR(A9)+MINUTE(A9)/60-6)/12),0))</f>
        <v>0</v>
      </c>
      <c r="D9">
        <f t="shared" si="0"/>
        <v>1.9</v>
      </c>
      <c r="E9">
        <f>MIN(B9,C9)*Assumptions!$B$2</f>
        <v>0</v>
      </c>
      <c r="F9">
        <f>MAX(C9-B9,0)*Assumptions!$B$2</f>
        <v>0</v>
      </c>
      <c r="G9">
        <f>MAX(B9-C9,0)*Assumptions!$B$2</f>
        <v>0.95</v>
      </c>
      <c r="I9" t="s">
        <v>66</v>
      </c>
      <c r="J9">
        <f>J5*Assumptions!$B$3</f>
        <v>713.62224032836275</v>
      </c>
      <c r="K9" t="s">
        <v>50</v>
      </c>
      <c r="P9" s="5"/>
    </row>
    <row r="10" spans="1:16" x14ac:dyDescent="0.3">
      <c r="A10" s="5">
        <f>Raw_Load_Data!A10</f>
        <v>46204.166666666686</v>
      </c>
      <c r="B10">
        <f>Raw_Load_Data!B10</f>
        <v>2.8</v>
      </c>
      <c r="C10">
        <f>MAX(0,IF(AND(HOUR(A10)&gt;=6,HOUR(A10)&lt;=18),Assumptions!$B$8*SIN(PI()*(HOUR(A10)+MINUTE(A10)/60-6)/12),0))</f>
        <v>0</v>
      </c>
      <c r="D10">
        <f t="shared" si="0"/>
        <v>2.8</v>
      </c>
      <c r="E10">
        <f>MIN(B10,C10)*Assumptions!$B$2</f>
        <v>0</v>
      </c>
      <c r="F10">
        <f>MAX(C10-B10,0)*Assumptions!$B$2</f>
        <v>0</v>
      </c>
      <c r="G10">
        <f>MAX(B10-C10,0)*Assumptions!$B$2</f>
        <v>1.4</v>
      </c>
      <c r="I10" t="s">
        <v>67</v>
      </c>
      <c r="J10">
        <f>J7+J8</f>
        <v>1626.9939655733904</v>
      </c>
      <c r="K10" t="s">
        <v>50</v>
      </c>
      <c r="P10" s="5"/>
    </row>
    <row r="11" spans="1:16" x14ac:dyDescent="0.3">
      <c r="A11" s="5">
        <f>Raw_Load_Data!A11</f>
        <v>46204.187500000022</v>
      </c>
      <c r="B11">
        <f>Raw_Load_Data!B11</f>
        <v>1.9</v>
      </c>
      <c r="C11">
        <f>MAX(0,IF(AND(HOUR(A11)&gt;=6,HOUR(A11)&lt;=18),Assumptions!$B$8*SIN(PI()*(HOUR(A11)+MINUTE(A11)/60-6)/12),0))</f>
        <v>0</v>
      </c>
      <c r="D11">
        <f t="shared" si="0"/>
        <v>1.9</v>
      </c>
      <c r="E11">
        <f>MIN(B11,C11)*Assumptions!$B$2</f>
        <v>0</v>
      </c>
      <c r="F11">
        <f>MAX(C11-B11,0)*Assumptions!$B$2</f>
        <v>0</v>
      </c>
      <c r="G11">
        <f>MAX(B11-C11,0)*Assumptions!$B$2</f>
        <v>0.95</v>
      </c>
      <c r="I11" t="s">
        <v>68</v>
      </c>
      <c r="J11">
        <f>Assumptions!$B$8*Assumptions!$B$9</f>
        <v>36000</v>
      </c>
      <c r="K11" t="s">
        <v>50</v>
      </c>
      <c r="P11" s="5"/>
    </row>
    <row r="12" spans="1:16" x14ac:dyDescent="0.3">
      <c r="A12" s="5">
        <f>Raw_Load_Data!A12</f>
        <v>46204.208333333358</v>
      </c>
      <c r="B12">
        <f>Raw_Load_Data!B12</f>
        <v>2.6</v>
      </c>
      <c r="C12">
        <f>MAX(0,IF(AND(HOUR(A12)&gt;=6,HOUR(A12)&lt;=18),Assumptions!$B$8*SIN(PI()*(HOUR(A12)+MINUTE(A12)/60-6)/12),0))</f>
        <v>0</v>
      </c>
      <c r="D12">
        <f t="shared" si="0"/>
        <v>2.6</v>
      </c>
      <c r="E12">
        <f>MIN(B12,C12)*Assumptions!$B$2</f>
        <v>0</v>
      </c>
      <c r="F12">
        <f>MAX(C12-B12,0)*Assumptions!$B$2</f>
        <v>0</v>
      </c>
      <c r="G12">
        <f>MAX(B12-C12,0)*Assumptions!$B$2</f>
        <v>1.3</v>
      </c>
      <c r="I12" t="s">
        <v>69</v>
      </c>
      <c r="J12">
        <f>J11/(J10*12)</f>
        <v>1.8438912887686898</v>
      </c>
      <c r="K12" t="s">
        <v>70</v>
      </c>
      <c r="P12" s="5"/>
    </row>
    <row r="13" spans="1:16" x14ac:dyDescent="0.3">
      <c r="A13" s="5">
        <f>Raw_Load_Data!A13</f>
        <v>46204.229166666693</v>
      </c>
      <c r="B13">
        <f>Raw_Load_Data!B13</f>
        <v>1.8</v>
      </c>
      <c r="C13">
        <f>MAX(0,IF(AND(HOUR(A13)&gt;=6,HOUR(A13)&lt;=18),Assumptions!$B$8*SIN(PI()*(HOUR(A13)+MINUTE(A13)/60-6)/12),0))</f>
        <v>0</v>
      </c>
      <c r="D13">
        <f t="shared" si="0"/>
        <v>1.8</v>
      </c>
      <c r="E13">
        <f>MIN(B13,C13)*Assumptions!$B$2</f>
        <v>0</v>
      </c>
      <c r="F13">
        <f>MAX(C13-B13,0)*Assumptions!$B$2</f>
        <v>0</v>
      </c>
      <c r="G13">
        <f>MAX(B13-C13,0)*Assumptions!$B$2</f>
        <v>0.9</v>
      </c>
      <c r="P13" s="5"/>
    </row>
    <row r="14" spans="1:16" x14ac:dyDescent="0.3">
      <c r="A14" s="5">
        <f>Raw_Load_Data!A14</f>
        <v>46204.250000000029</v>
      </c>
      <c r="B14">
        <f>Raw_Load_Data!B14</f>
        <v>7.7</v>
      </c>
      <c r="C14">
        <f>MAX(0,IF(AND(HOUR(A14)&gt;=6,HOUR(A14)&lt;=18),Assumptions!$B$8*SIN(PI()*(HOUR(A14)+MINUTE(A14)/60-6)/12),0))</f>
        <v>0</v>
      </c>
      <c r="D14">
        <f t="shared" si="0"/>
        <v>7.7</v>
      </c>
      <c r="E14">
        <f>MIN(B14,C14)*Assumptions!$B$2</f>
        <v>0</v>
      </c>
      <c r="F14">
        <f>MAX(C14-B14,0)*Assumptions!$B$2</f>
        <v>0</v>
      </c>
      <c r="G14">
        <f>MAX(B14-C14,0)*Assumptions!$B$2</f>
        <v>3.85</v>
      </c>
      <c r="P14" s="5"/>
    </row>
    <row r="15" spans="1:16" x14ac:dyDescent="0.3">
      <c r="A15" s="5">
        <f>Raw_Load_Data!A15</f>
        <v>46204.270833333365</v>
      </c>
      <c r="B15">
        <f>Raw_Load_Data!B15</f>
        <v>6</v>
      </c>
      <c r="C15">
        <f>MAX(0,IF(AND(HOUR(A15)&gt;=6,HOUR(A15)&lt;=18),Assumptions!$B$8*SIN(PI()*(HOUR(A15)+MINUTE(A15)/60-6)/12),0))</f>
        <v>3.9157857666015472</v>
      </c>
      <c r="D15">
        <f t="shared" si="0"/>
        <v>2.0842142333984528</v>
      </c>
      <c r="E15">
        <f>MIN(B15,C15)*Assumptions!$B$2</f>
        <v>1.9578928833007736</v>
      </c>
      <c r="F15">
        <f>MAX(C15-B15,0)*Assumptions!$B$2</f>
        <v>0</v>
      </c>
      <c r="G15">
        <f>MAX(B15-C15,0)*Assumptions!$B$2</f>
        <v>1.0421071166992264</v>
      </c>
      <c r="P15" s="5"/>
    </row>
    <row r="16" spans="1:16" x14ac:dyDescent="0.3">
      <c r="A16" s="5">
        <f>Raw_Load_Data!A16</f>
        <v>46204.291666666701</v>
      </c>
      <c r="B16">
        <f>Raw_Load_Data!B16</f>
        <v>6.5</v>
      </c>
      <c r="C16">
        <f>MAX(0,IF(AND(HOUR(A16)&gt;=6,HOUR(A16)&lt;=18),Assumptions!$B$8*SIN(PI()*(HOUR(A16)+MINUTE(A16)/60-6)/12),0))</f>
        <v>7.7645713530756222</v>
      </c>
      <c r="D16">
        <f t="shared" si="0"/>
        <v>-1.2645713530756222</v>
      </c>
      <c r="E16">
        <f>MIN(B16,C16)*Assumptions!$B$2</f>
        <v>3.25</v>
      </c>
      <c r="F16">
        <f>MAX(C16-B16,0)*Assumptions!$B$2</f>
        <v>0.63228567653781109</v>
      </c>
      <c r="G16">
        <f>MAX(B16-C16,0)*Assumptions!$B$2</f>
        <v>0</v>
      </c>
      <c r="P16" s="5"/>
    </row>
    <row r="17" spans="1:16" x14ac:dyDescent="0.3">
      <c r="A17" s="5">
        <f>Raw_Load_Data!A17</f>
        <v>46204.312500000036</v>
      </c>
      <c r="B17">
        <f>Raw_Load_Data!B17</f>
        <v>4.2</v>
      </c>
      <c r="C17">
        <f>MAX(0,IF(AND(HOUR(A17)&gt;=6,HOUR(A17)&lt;=18),Assumptions!$B$8*SIN(PI()*(HOUR(A17)+MINUTE(A17)/60-6)/12),0))</f>
        <v>11.480502970952694</v>
      </c>
      <c r="D17">
        <f t="shared" si="0"/>
        <v>-7.2805029709526936</v>
      </c>
      <c r="E17">
        <f>MIN(B17,C17)*Assumptions!$B$2</f>
        <v>2.1</v>
      </c>
      <c r="F17">
        <f>MAX(C17-B17,0)*Assumptions!$B$2</f>
        <v>3.6402514854763468</v>
      </c>
      <c r="G17">
        <f>MAX(B17-C17,0)*Assumptions!$B$2</f>
        <v>0</v>
      </c>
      <c r="P17" s="5"/>
    </row>
    <row r="18" spans="1:16" x14ac:dyDescent="0.3">
      <c r="A18" s="5">
        <f>Raw_Load_Data!A18</f>
        <v>46204.333333333372</v>
      </c>
      <c r="B18">
        <f>Raw_Load_Data!B18</f>
        <v>13.5</v>
      </c>
      <c r="C18">
        <f>MAX(0,IF(AND(HOUR(A18)&gt;=6,HOUR(A18)&lt;=18),Assumptions!$B$8*SIN(PI()*(HOUR(A18)+MINUTE(A18)/60-6)/12),0))</f>
        <v>14.999999999999998</v>
      </c>
      <c r="D18">
        <f t="shared" si="0"/>
        <v>-1.4999999999999982</v>
      </c>
      <c r="E18">
        <f>MIN(B18,C18)*Assumptions!$B$2</f>
        <v>6.75</v>
      </c>
      <c r="F18">
        <f>MAX(C18-B18,0)*Assumptions!$B$2</f>
        <v>0.74999999999999911</v>
      </c>
      <c r="G18">
        <f>MAX(B18-C18,0)*Assumptions!$B$2</f>
        <v>0</v>
      </c>
      <c r="P18" s="5"/>
    </row>
    <row r="19" spans="1:16" x14ac:dyDescent="0.3">
      <c r="A19" s="5">
        <f>Raw_Load_Data!A19</f>
        <v>46204.354166666708</v>
      </c>
      <c r="B19">
        <f>Raw_Load_Data!B19</f>
        <v>13</v>
      </c>
      <c r="C19">
        <f>MAX(0,IF(AND(HOUR(A19)&gt;=6,HOUR(A19)&lt;=18),Assumptions!$B$8*SIN(PI()*(HOUR(A19)+MINUTE(A19)/60-6)/12),0))</f>
        <v>18.262842870261618</v>
      </c>
      <c r="D19">
        <f t="shared" si="0"/>
        <v>-5.2628428702616183</v>
      </c>
      <c r="E19">
        <f>MIN(B19,C19)*Assumptions!$B$2</f>
        <v>6.5</v>
      </c>
      <c r="F19">
        <f>MAX(C19-B19,0)*Assumptions!$B$2</f>
        <v>2.6314214351308092</v>
      </c>
      <c r="G19">
        <f>MAX(B19-C19,0)*Assumptions!$B$2</f>
        <v>0</v>
      </c>
      <c r="P19" s="5"/>
    </row>
    <row r="20" spans="1:16" x14ac:dyDescent="0.3">
      <c r="A20" s="5">
        <f>Raw_Load_Data!A20</f>
        <v>46204.375000000044</v>
      </c>
      <c r="B20">
        <f>Raw_Load_Data!B20</f>
        <v>21</v>
      </c>
      <c r="C20">
        <f>MAX(0,IF(AND(HOUR(A20)&gt;=6,HOUR(A20)&lt;=18),Assumptions!$B$8*SIN(PI()*(HOUR(A20)+MINUTE(A20)/60-6)/12),0))</f>
        <v>21.213203435596423</v>
      </c>
      <c r="D20">
        <f t="shared" si="0"/>
        <v>-0.21320343559642296</v>
      </c>
      <c r="E20">
        <f>MIN(B20,C20)*Assumptions!$B$2</f>
        <v>10.5</v>
      </c>
      <c r="F20">
        <f>MAX(C20-B20,0)*Assumptions!$B$2</f>
        <v>0.10660171779821148</v>
      </c>
      <c r="G20">
        <f>MAX(B20-C20,0)*Assumptions!$B$2</f>
        <v>0</v>
      </c>
      <c r="P20" s="5"/>
    </row>
    <row r="21" spans="1:16" x14ac:dyDescent="0.3">
      <c r="A21" s="5">
        <f>Raw_Load_Data!A21</f>
        <v>46204.395833333379</v>
      </c>
      <c r="B21">
        <f>Raw_Load_Data!B21</f>
        <v>14.8</v>
      </c>
      <c r="C21">
        <f>MAX(0,IF(AND(HOUR(A21)&gt;=6,HOUR(A21)&lt;=18),Assumptions!$B$8*SIN(PI()*(HOUR(A21)+MINUTE(A21)/60-6)/12),0))</f>
        <v>23.800600208737055</v>
      </c>
      <c r="D21">
        <f t="shared" si="0"/>
        <v>-9.0006002087370547</v>
      </c>
      <c r="E21">
        <f>MIN(B21,C21)*Assumptions!$B$2</f>
        <v>7.4</v>
      </c>
      <c r="F21">
        <f>MAX(C21-B21,0)*Assumptions!$B$2</f>
        <v>4.5003001043685273</v>
      </c>
      <c r="G21">
        <f>MAX(B21-C21,0)*Assumptions!$B$2</f>
        <v>0</v>
      </c>
      <c r="P21" s="5"/>
    </row>
    <row r="22" spans="1:16" x14ac:dyDescent="0.3">
      <c r="A22" s="5">
        <f>Raw_Load_Data!A22</f>
        <v>46204.416666666715</v>
      </c>
      <c r="B22">
        <f>Raw_Load_Data!B22</f>
        <v>14.2</v>
      </c>
      <c r="C22">
        <f>MAX(0,IF(AND(HOUR(A22)&gt;=6,HOUR(A22)&lt;=18),Assumptions!$B$8*SIN(PI()*(HOUR(A22)+MINUTE(A22)/60-6)/12),0))</f>
        <v>25.980762113533157</v>
      </c>
      <c r="D22">
        <f t="shared" si="0"/>
        <v>-11.780762113533157</v>
      </c>
      <c r="E22">
        <f>MIN(B22,C22)*Assumptions!$B$2</f>
        <v>7.1</v>
      </c>
      <c r="F22">
        <f>MAX(C22-B22,0)*Assumptions!$B$2</f>
        <v>5.8903810567665786</v>
      </c>
      <c r="G22">
        <f>MAX(B22-C22,0)*Assumptions!$B$2</f>
        <v>0</v>
      </c>
      <c r="P22" s="5"/>
    </row>
    <row r="23" spans="1:16" x14ac:dyDescent="0.3">
      <c r="A23" s="5">
        <f>Raw_Load_Data!A23</f>
        <v>46204.437500000051</v>
      </c>
      <c r="B23">
        <f>Raw_Load_Data!B23</f>
        <v>13.5</v>
      </c>
      <c r="C23">
        <f>MAX(0,IF(AND(HOUR(A23)&gt;=6,HOUR(A23)&lt;=18),Assumptions!$B$8*SIN(PI()*(HOUR(A23)+MINUTE(A23)/60-6)/12),0))</f>
        <v>27.716385975338603</v>
      </c>
      <c r="D23">
        <f t="shared" si="0"/>
        <v>-14.216385975338603</v>
      </c>
      <c r="E23">
        <f>MIN(B23,C23)*Assumptions!$B$2</f>
        <v>6.75</v>
      </c>
      <c r="F23">
        <f>MAX(C23-B23,0)*Assumptions!$B$2</f>
        <v>7.1081929876693017</v>
      </c>
      <c r="G23">
        <f>MAX(B23-C23,0)*Assumptions!$B$2</f>
        <v>0</v>
      </c>
      <c r="P23" s="5"/>
    </row>
    <row r="24" spans="1:16" x14ac:dyDescent="0.3">
      <c r="A24" s="5">
        <f>Raw_Load_Data!A24</f>
        <v>46204.458333333387</v>
      </c>
      <c r="B24">
        <f>Raw_Load_Data!B24</f>
        <v>21.9</v>
      </c>
      <c r="C24">
        <f>MAX(0,IF(AND(HOUR(A24)&gt;=6,HOUR(A24)&lt;=18),Assumptions!$B$8*SIN(PI()*(HOUR(A24)+MINUTE(A24)/60-6)/12),0))</f>
        <v>28.97777478867205</v>
      </c>
      <c r="D24">
        <f t="shared" si="0"/>
        <v>-7.0777747886720519</v>
      </c>
      <c r="E24">
        <f>MIN(B24,C24)*Assumptions!$B$2</f>
        <v>10.95</v>
      </c>
      <c r="F24">
        <f>MAX(C24-B24,0)*Assumptions!$B$2</f>
        <v>3.5388873943360259</v>
      </c>
      <c r="G24">
        <f>MAX(B24-C24,0)*Assumptions!$B$2</f>
        <v>0</v>
      </c>
      <c r="P24" s="5"/>
    </row>
    <row r="25" spans="1:16" x14ac:dyDescent="0.3">
      <c r="A25" s="5">
        <f>Raw_Load_Data!A25</f>
        <v>46204.479166666722</v>
      </c>
      <c r="B25">
        <f>Raw_Load_Data!B25</f>
        <v>18.5</v>
      </c>
      <c r="C25">
        <f>MAX(0,IF(AND(HOUR(A25)&gt;=6,HOUR(A25)&lt;=18),Assumptions!$B$8*SIN(PI()*(HOUR(A25)+MINUTE(A25)/60-6)/12),0))</f>
        <v>29.74334584121431</v>
      </c>
      <c r="D25">
        <f t="shared" si="0"/>
        <v>-11.24334584121431</v>
      </c>
      <c r="E25">
        <f>MIN(B25,C25)*Assumptions!$B$2</f>
        <v>9.25</v>
      </c>
      <c r="F25">
        <f>MAX(C25-B25,0)*Assumptions!$B$2</f>
        <v>5.6216729206071552</v>
      </c>
      <c r="G25">
        <f>MAX(B25-C25,0)*Assumptions!$B$2</f>
        <v>0</v>
      </c>
      <c r="P25" s="5"/>
    </row>
    <row r="26" spans="1:16" x14ac:dyDescent="0.3">
      <c r="A26" s="5">
        <f>Raw_Load_Data!A26</f>
        <v>46204.500000000058</v>
      </c>
      <c r="B26">
        <f>Raw_Load_Data!B26</f>
        <v>19.600000000000001</v>
      </c>
      <c r="C26">
        <f>MAX(0,IF(AND(HOUR(A26)&gt;=6,HOUR(A26)&lt;=18),Assumptions!$B$8*SIN(PI()*(HOUR(A26)+MINUTE(A26)/60-6)/12),0))</f>
        <v>30</v>
      </c>
      <c r="D26">
        <f t="shared" si="0"/>
        <v>-10.399999999999999</v>
      </c>
      <c r="E26">
        <f>MIN(B26,C26)*Assumptions!$B$2</f>
        <v>9.8000000000000007</v>
      </c>
      <c r="F26">
        <f>MAX(C26-B26,0)*Assumptions!$B$2</f>
        <v>5.1999999999999993</v>
      </c>
      <c r="G26">
        <f>MAX(B26-C26,0)*Assumptions!$B$2</f>
        <v>0</v>
      </c>
      <c r="P26" s="5"/>
    </row>
    <row r="27" spans="1:16" x14ac:dyDescent="0.3">
      <c r="A27" s="5">
        <f>Raw_Load_Data!A27</f>
        <v>46204.520833333394</v>
      </c>
      <c r="B27">
        <f>Raw_Load_Data!B27</f>
        <v>29.6</v>
      </c>
      <c r="C27">
        <f>MAX(0,IF(AND(HOUR(A27)&gt;=6,HOUR(A27)&lt;=18),Assumptions!$B$8*SIN(PI()*(HOUR(A27)+MINUTE(A27)/60-6)/12),0))</f>
        <v>29.74334584121431</v>
      </c>
      <c r="D27">
        <f t="shared" si="0"/>
        <v>-0.14334584121430893</v>
      </c>
      <c r="E27">
        <f>MIN(B27,C27)*Assumptions!$B$2</f>
        <v>14.8</v>
      </c>
      <c r="F27">
        <f>MAX(C27-B27,0)*Assumptions!$B$2</f>
        <v>7.1672920607154467E-2</v>
      </c>
      <c r="G27">
        <f>MAX(B27-C27,0)*Assumptions!$B$2</f>
        <v>0</v>
      </c>
      <c r="P27" s="5"/>
    </row>
    <row r="28" spans="1:16" x14ac:dyDescent="0.3">
      <c r="A28" s="5">
        <f>Raw_Load_Data!A28</f>
        <v>46204.54166666673</v>
      </c>
      <c r="B28">
        <f>Raw_Load_Data!B28</f>
        <v>33.299999999999997</v>
      </c>
      <c r="C28">
        <f>MAX(0,IF(AND(HOUR(A28)&gt;=6,HOUR(A28)&lt;=18),Assumptions!$B$8*SIN(PI()*(HOUR(A28)+MINUTE(A28)/60-6)/12),0))</f>
        <v>28.97777478867205</v>
      </c>
      <c r="D28">
        <f t="shared" si="0"/>
        <v>4.3222252113279467</v>
      </c>
      <c r="E28">
        <f>MIN(B28,C28)*Assumptions!$B$2</f>
        <v>14.488887394336025</v>
      </c>
      <c r="F28">
        <f>MAX(C28-B28,0)*Assumptions!$B$2</f>
        <v>0</v>
      </c>
      <c r="G28">
        <f>MAX(B28-C28,0)*Assumptions!$B$2</f>
        <v>2.1611126056639733</v>
      </c>
      <c r="P28" s="5"/>
    </row>
    <row r="29" spans="1:16" x14ac:dyDescent="0.3">
      <c r="A29" s="5">
        <f>Raw_Load_Data!A29</f>
        <v>46204.562500000065</v>
      </c>
      <c r="B29">
        <f>Raw_Load_Data!B29</f>
        <v>32.200000000000003</v>
      </c>
      <c r="C29">
        <f>MAX(0,IF(AND(HOUR(A29)&gt;=6,HOUR(A29)&lt;=18),Assumptions!$B$8*SIN(PI()*(HOUR(A29)+MINUTE(A29)/60-6)/12),0))</f>
        <v>27.716385975338607</v>
      </c>
      <c r="D29">
        <f t="shared" si="0"/>
        <v>4.4836140246613958</v>
      </c>
      <c r="E29">
        <f>MIN(B29,C29)*Assumptions!$B$2</f>
        <v>13.858192987669304</v>
      </c>
      <c r="F29">
        <f>MAX(C29-B29,0)*Assumptions!$B$2</f>
        <v>0</v>
      </c>
      <c r="G29">
        <f>MAX(B29-C29,0)*Assumptions!$B$2</f>
        <v>2.2418070123306979</v>
      </c>
      <c r="P29" s="5"/>
    </row>
    <row r="30" spans="1:16" x14ac:dyDescent="0.3">
      <c r="A30" s="5">
        <f>Raw_Load_Data!A30</f>
        <v>46204.583333333401</v>
      </c>
      <c r="B30">
        <f>Raw_Load_Data!B30</f>
        <v>21.1</v>
      </c>
      <c r="C30">
        <f>MAX(0,IF(AND(HOUR(A30)&gt;=6,HOUR(A30)&lt;=18),Assumptions!$B$8*SIN(PI()*(HOUR(A30)+MINUTE(A30)/60-6)/12),0))</f>
        <v>25.98076211353316</v>
      </c>
      <c r="D30">
        <f t="shared" si="0"/>
        <v>-4.8807621135331587</v>
      </c>
      <c r="E30">
        <f>MIN(B30,C30)*Assumptions!$B$2</f>
        <v>10.55</v>
      </c>
      <c r="F30">
        <f>MAX(C30-B30,0)*Assumptions!$B$2</f>
        <v>2.4403810567665793</v>
      </c>
      <c r="G30">
        <f>MAX(B30-C30,0)*Assumptions!$B$2</f>
        <v>0</v>
      </c>
      <c r="P30" s="5"/>
    </row>
    <row r="31" spans="1:16" x14ac:dyDescent="0.3">
      <c r="A31" s="5">
        <f>Raw_Load_Data!A31</f>
        <v>46204.604166666737</v>
      </c>
      <c r="B31">
        <f>Raw_Load_Data!B31</f>
        <v>22.7</v>
      </c>
      <c r="C31">
        <f>MAX(0,IF(AND(HOUR(A31)&gt;=6,HOUR(A31)&lt;=18),Assumptions!$B$8*SIN(PI()*(HOUR(A31)+MINUTE(A31)/60-6)/12),0))</f>
        <v>23.800600208737055</v>
      </c>
      <c r="D31">
        <f t="shared" si="0"/>
        <v>-1.1006002087370561</v>
      </c>
      <c r="E31">
        <f>MIN(B31,C31)*Assumptions!$B$2</f>
        <v>11.35</v>
      </c>
      <c r="F31">
        <f>MAX(C31-B31,0)*Assumptions!$B$2</f>
        <v>0.55030010436852805</v>
      </c>
      <c r="G31">
        <f>MAX(B31-C31,0)*Assumptions!$B$2</f>
        <v>0</v>
      </c>
      <c r="P31" s="5"/>
    </row>
    <row r="32" spans="1:16" x14ac:dyDescent="0.3">
      <c r="A32" s="5">
        <f>Raw_Load_Data!A32</f>
        <v>46204.625000000073</v>
      </c>
      <c r="B32">
        <f>Raw_Load_Data!B32</f>
        <v>23.7</v>
      </c>
      <c r="C32">
        <f>MAX(0,IF(AND(HOUR(A32)&gt;=6,HOUR(A32)&lt;=18),Assumptions!$B$8*SIN(PI()*(HOUR(A32)+MINUTE(A32)/60-6)/12),0))</f>
        <v>21.213203435596427</v>
      </c>
      <c r="D32">
        <f t="shared" si="0"/>
        <v>2.4867965644035728</v>
      </c>
      <c r="E32">
        <f>MIN(B32,C32)*Assumptions!$B$2</f>
        <v>10.606601717798213</v>
      </c>
      <c r="F32">
        <f>MAX(C32-B32,0)*Assumptions!$B$2</f>
        <v>0</v>
      </c>
      <c r="G32">
        <f>MAX(B32-C32,0)*Assumptions!$B$2</f>
        <v>1.2433982822017864</v>
      </c>
      <c r="P32" s="5"/>
    </row>
    <row r="33" spans="1:16" x14ac:dyDescent="0.3">
      <c r="A33" s="5">
        <f>Raw_Load_Data!A33</f>
        <v>46204.645833333409</v>
      </c>
      <c r="B33">
        <f>Raw_Load_Data!B33</f>
        <v>32.9</v>
      </c>
      <c r="C33">
        <f>MAX(0,IF(AND(HOUR(A33)&gt;=6,HOUR(A33)&lt;=18),Assumptions!$B$8*SIN(PI()*(HOUR(A33)+MINUTE(A33)/60-6)/12),0))</f>
        <v>18.262842870261625</v>
      </c>
      <c r="D33">
        <f t="shared" si="0"/>
        <v>14.637157129738373</v>
      </c>
      <c r="E33">
        <f>MIN(B33,C33)*Assumptions!$B$2</f>
        <v>9.1314214351308127</v>
      </c>
      <c r="F33">
        <f>MAX(C33-B33,0)*Assumptions!$B$2</f>
        <v>0</v>
      </c>
      <c r="G33">
        <f>MAX(B33-C33,0)*Assumptions!$B$2</f>
        <v>7.3185785648691866</v>
      </c>
      <c r="P33" s="5"/>
    </row>
    <row r="34" spans="1:16" x14ac:dyDescent="0.3">
      <c r="A34" s="5">
        <f>Raw_Load_Data!A34</f>
        <v>46204.666666666744</v>
      </c>
      <c r="B34">
        <f>Raw_Load_Data!B34</f>
        <v>20</v>
      </c>
      <c r="C34">
        <f>MAX(0,IF(AND(HOUR(A34)&gt;=6,HOUR(A34)&lt;=18),Assumptions!$B$8*SIN(PI()*(HOUR(A34)+MINUTE(A34)/60-6)/12),0))</f>
        <v>14.999999999999998</v>
      </c>
      <c r="D34">
        <f t="shared" si="0"/>
        <v>5.0000000000000018</v>
      </c>
      <c r="E34">
        <f>MIN(B34,C34)*Assumptions!$B$2</f>
        <v>7.4999999999999991</v>
      </c>
      <c r="F34">
        <f>MAX(C34-B34,0)*Assumptions!$B$2</f>
        <v>0</v>
      </c>
      <c r="G34">
        <f>MAX(B34-C34,0)*Assumptions!$B$2</f>
        <v>2.5000000000000009</v>
      </c>
      <c r="P34" s="5"/>
    </row>
    <row r="35" spans="1:16" x14ac:dyDescent="0.3">
      <c r="A35" s="5">
        <f>Raw_Load_Data!A35</f>
        <v>46204.68750000008</v>
      </c>
      <c r="B35">
        <f>Raw_Load_Data!B35</f>
        <v>17.2</v>
      </c>
      <c r="C35">
        <f>MAX(0,IF(AND(HOUR(A35)&gt;=6,HOUR(A35)&lt;=18),Assumptions!$B$8*SIN(PI()*(HOUR(A35)+MINUTE(A35)/60-6)/12),0))</f>
        <v>11.480502970952697</v>
      </c>
      <c r="D35">
        <f t="shared" si="0"/>
        <v>5.719497029047302</v>
      </c>
      <c r="E35">
        <f>MIN(B35,C35)*Assumptions!$B$2</f>
        <v>5.7402514854763487</v>
      </c>
      <c r="F35">
        <f>MAX(C35-B35,0)*Assumptions!$B$2</f>
        <v>0</v>
      </c>
      <c r="G35">
        <f>MAX(B35-C35,0)*Assumptions!$B$2</f>
        <v>2.859748514523651</v>
      </c>
      <c r="P35" s="5"/>
    </row>
    <row r="36" spans="1:16" x14ac:dyDescent="0.3">
      <c r="A36" s="5">
        <f>Raw_Load_Data!A36</f>
        <v>46204.708333333416</v>
      </c>
      <c r="B36">
        <f>Raw_Load_Data!B36</f>
        <v>19.100000000000001</v>
      </c>
      <c r="C36">
        <f>MAX(0,IF(AND(HOUR(A36)&gt;=6,HOUR(A36)&lt;=18),Assumptions!$B$8*SIN(PI()*(HOUR(A36)+MINUTE(A36)/60-6)/12),0))</f>
        <v>7.7645713530756302</v>
      </c>
      <c r="D36">
        <f t="shared" si="0"/>
        <v>11.33542864692437</v>
      </c>
      <c r="E36">
        <f>MIN(B36,C36)*Assumptions!$B$2</f>
        <v>3.8822856765378151</v>
      </c>
      <c r="F36">
        <f>MAX(C36-B36,0)*Assumptions!$B$2</f>
        <v>0</v>
      </c>
      <c r="G36">
        <f>MAX(B36-C36,0)*Assumptions!$B$2</f>
        <v>5.6677143234621852</v>
      </c>
      <c r="P36" s="5"/>
    </row>
    <row r="37" spans="1:16" x14ac:dyDescent="0.3">
      <c r="A37" s="5">
        <f>Raw_Load_Data!A37</f>
        <v>46204.729166666752</v>
      </c>
      <c r="B37">
        <f>Raw_Load_Data!B37</f>
        <v>18.600000000000001</v>
      </c>
      <c r="C37">
        <f>MAX(0,IF(AND(HOUR(A37)&gt;=6,HOUR(A37)&lt;=18),Assumptions!$B$8*SIN(PI()*(HOUR(A37)+MINUTE(A37)/60-6)/12),0))</f>
        <v>3.9157857666015596</v>
      </c>
      <c r="D37">
        <f t="shared" si="0"/>
        <v>14.684214233398443</v>
      </c>
      <c r="E37">
        <f>MIN(B37,C37)*Assumptions!$B$2</f>
        <v>1.9578928833007798</v>
      </c>
      <c r="F37">
        <f>MAX(C37-B37,0)*Assumptions!$B$2</f>
        <v>0</v>
      </c>
      <c r="G37">
        <f>MAX(B37-C37,0)*Assumptions!$B$2</f>
        <v>7.3421071166992213</v>
      </c>
      <c r="P37" s="5"/>
    </row>
    <row r="38" spans="1:16" x14ac:dyDescent="0.3">
      <c r="A38" s="5">
        <f>Raw_Load_Data!A38</f>
        <v>46204.750000000087</v>
      </c>
      <c r="B38">
        <f>Raw_Load_Data!B38</f>
        <v>17.899999999999999</v>
      </c>
      <c r="C38">
        <f>MAX(0,IF(AND(HOUR(A38)&gt;=6,HOUR(A38)&lt;=18),Assumptions!$B$8*SIN(PI()*(HOUR(A38)+MINUTE(A38)/60-6)/12),0))</f>
        <v>3.67544536472586E-15</v>
      </c>
      <c r="D38">
        <f t="shared" si="0"/>
        <v>17.899999999999995</v>
      </c>
      <c r="E38">
        <f>MIN(B38,C38)*Assumptions!$B$2</f>
        <v>1.83772268236293E-15</v>
      </c>
      <c r="F38">
        <f>MAX(C38-B38,0)*Assumptions!$B$2</f>
        <v>0</v>
      </c>
      <c r="G38">
        <f>MAX(B38-C38,0)*Assumptions!$B$2</f>
        <v>8.9499999999999975</v>
      </c>
      <c r="P38" s="5"/>
    </row>
    <row r="39" spans="1:16" x14ac:dyDescent="0.3">
      <c r="A39" s="5">
        <f>Raw_Load_Data!A39</f>
        <v>46204.770833333423</v>
      </c>
      <c r="B39">
        <f>Raw_Load_Data!B39</f>
        <v>13.2</v>
      </c>
      <c r="C39">
        <f>MAX(0,IF(AND(HOUR(A39)&gt;=6,HOUR(A39)&lt;=18),Assumptions!$B$8*SIN(PI()*(HOUR(A39)+MINUTE(A39)/60-6)/12),0))</f>
        <v>0</v>
      </c>
      <c r="D39">
        <f t="shared" si="0"/>
        <v>13.2</v>
      </c>
      <c r="E39">
        <f>MIN(B39,C39)*Assumptions!$B$2</f>
        <v>0</v>
      </c>
      <c r="F39">
        <f>MAX(C39-B39,0)*Assumptions!$B$2</f>
        <v>0</v>
      </c>
      <c r="G39">
        <f>MAX(B39-C39,0)*Assumptions!$B$2</f>
        <v>6.6</v>
      </c>
      <c r="P39" s="5"/>
    </row>
    <row r="40" spans="1:16" x14ac:dyDescent="0.3">
      <c r="A40" s="5">
        <f>Raw_Load_Data!A40</f>
        <v>46204.791666666759</v>
      </c>
      <c r="B40">
        <f>Raw_Load_Data!B40</f>
        <v>6.5</v>
      </c>
      <c r="C40">
        <f>MAX(0,IF(AND(HOUR(A40)&gt;=6,HOUR(A40)&lt;=18),Assumptions!$B$8*SIN(PI()*(HOUR(A40)+MINUTE(A40)/60-6)/12),0))</f>
        <v>0</v>
      </c>
      <c r="D40">
        <f t="shared" si="0"/>
        <v>6.5</v>
      </c>
      <c r="E40">
        <f>MIN(B40,C40)*Assumptions!$B$2</f>
        <v>0</v>
      </c>
      <c r="F40">
        <f>MAX(C40-B40,0)*Assumptions!$B$2</f>
        <v>0</v>
      </c>
      <c r="G40">
        <f>MAX(B40-C40,0)*Assumptions!$B$2</f>
        <v>3.25</v>
      </c>
      <c r="P40" s="5"/>
    </row>
    <row r="41" spans="1:16" x14ac:dyDescent="0.3">
      <c r="A41" s="5">
        <f>Raw_Load_Data!A41</f>
        <v>46204.812500000095</v>
      </c>
      <c r="B41">
        <f>Raw_Load_Data!B41</f>
        <v>3.3</v>
      </c>
      <c r="C41">
        <f>MAX(0,IF(AND(HOUR(A41)&gt;=6,HOUR(A41)&lt;=18),Assumptions!$B$8*SIN(PI()*(HOUR(A41)+MINUTE(A41)/60-6)/12),0))</f>
        <v>0</v>
      </c>
      <c r="D41">
        <f t="shared" si="0"/>
        <v>3.3</v>
      </c>
      <c r="E41">
        <f>MIN(B41,C41)*Assumptions!$B$2</f>
        <v>0</v>
      </c>
      <c r="F41">
        <f>MAX(C41-B41,0)*Assumptions!$B$2</f>
        <v>0</v>
      </c>
      <c r="G41">
        <f>MAX(B41-C41,0)*Assumptions!$B$2</f>
        <v>1.65</v>
      </c>
      <c r="P41" s="5"/>
    </row>
    <row r="42" spans="1:16" x14ac:dyDescent="0.3">
      <c r="A42" s="5">
        <f>Raw_Load_Data!A42</f>
        <v>46204.83333333343</v>
      </c>
      <c r="B42">
        <f>Raw_Load_Data!B42</f>
        <v>5.5</v>
      </c>
      <c r="C42">
        <f>MAX(0,IF(AND(HOUR(A42)&gt;=6,HOUR(A42)&lt;=18),Assumptions!$B$8*SIN(PI()*(HOUR(A42)+MINUTE(A42)/60-6)/12),0))</f>
        <v>0</v>
      </c>
      <c r="D42">
        <f t="shared" si="0"/>
        <v>5.5</v>
      </c>
      <c r="E42">
        <f>MIN(B42,C42)*Assumptions!$B$2</f>
        <v>0</v>
      </c>
      <c r="F42">
        <f>MAX(C42-B42,0)*Assumptions!$B$2</f>
        <v>0</v>
      </c>
      <c r="G42">
        <f>MAX(B42-C42,0)*Assumptions!$B$2</f>
        <v>2.75</v>
      </c>
      <c r="P42" s="5"/>
    </row>
    <row r="43" spans="1:16" x14ac:dyDescent="0.3">
      <c r="A43" s="5">
        <f>Raw_Load_Data!A43</f>
        <v>46204.854166666766</v>
      </c>
      <c r="B43">
        <f>Raw_Load_Data!B43</f>
        <v>6</v>
      </c>
      <c r="C43">
        <f>MAX(0,IF(AND(HOUR(A43)&gt;=6,HOUR(A43)&lt;=18),Assumptions!$B$8*SIN(PI()*(HOUR(A43)+MINUTE(A43)/60-6)/12),0))</f>
        <v>0</v>
      </c>
      <c r="D43">
        <f t="shared" si="0"/>
        <v>6</v>
      </c>
      <c r="E43">
        <f>MIN(B43,C43)*Assumptions!$B$2</f>
        <v>0</v>
      </c>
      <c r="F43">
        <f>MAX(C43-B43,0)*Assumptions!$B$2</f>
        <v>0</v>
      </c>
      <c r="G43">
        <f>MAX(B43-C43,0)*Assumptions!$B$2</f>
        <v>3</v>
      </c>
      <c r="P43" s="5"/>
    </row>
    <row r="44" spans="1:16" x14ac:dyDescent="0.3">
      <c r="A44" s="5">
        <f>Raw_Load_Data!A44</f>
        <v>46204.875000000102</v>
      </c>
      <c r="B44">
        <f>Raw_Load_Data!B44</f>
        <v>4</v>
      </c>
      <c r="C44">
        <f>MAX(0,IF(AND(HOUR(A44)&gt;=6,HOUR(A44)&lt;=18),Assumptions!$B$8*SIN(PI()*(HOUR(A44)+MINUTE(A44)/60-6)/12),0))</f>
        <v>0</v>
      </c>
      <c r="D44">
        <f t="shared" si="0"/>
        <v>4</v>
      </c>
      <c r="E44">
        <f>MIN(B44,C44)*Assumptions!$B$2</f>
        <v>0</v>
      </c>
      <c r="F44">
        <f>MAX(C44-B44,0)*Assumptions!$B$2</f>
        <v>0</v>
      </c>
      <c r="G44">
        <f>MAX(B44-C44,0)*Assumptions!$B$2</f>
        <v>2</v>
      </c>
      <c r="P44" s="5"/>
    </row>
    <row r="45" spans="1:16" x14ac:dyDescent="0.3">
      <c r="A45" s="5">
        <f>Raw_Load_Data!A45</f>
        <v>46204.895833333438</v>
      </c>
      <c r="B45">
        <f>Raw_Load_Data!B45</f>
        <v>4.4000000000000004</v>
      </c>
      <c r="C45">
        <f>MAX(0,IF(AND(HOUR(A45)&gt;=6,HOUR(A45)&lt;=18),Assumptions!$B$8*SIN(PI()*(HOUR(A45)+MINUTE(A45)/60-6)/12),0))</f>
        <v>0</v>
      </c>
      <c r="D45">
        <f t="shared" si="0"/>
        <v>4.4000000000000004</v>
      </c>
      <c r="E45">
        <f>MIN(B45,C45)*Assumptions!$B$2</f>
        <v>0</v>
      </c>
      <c r="F45">
        <f>MAX(C45-B45,0)*Assumptions!$B$2</f>
        <v>0</v>
      </c>
      <c r="G45">
        <f>MAX(B45-C45,0)*Assumptions!$B$2</f>
        <v>2.2000000000000002</v>
      </c>
      <c r="P45" s="5"/>
    </row>
    <row r="46" spans="1:16" x14ac:dyDescent="0.3">
      <c r="A46" s="5">
        <f>Raw_Load_Data!A46</f>
        <v>46204.916666666773</v>
      </c>
      <c r="B46">
        <f>Raw_Load_Data!B46</f>
        <v>6.5</v>
      </c>
      <c r="C46">
        <f>MAX(0,IF(AND(HOUR(A46)&gt;=6,HOUR(A46)&lt;=18),Assumptions!$B$8*SIN(PI()*(HOUR(A46)+MINUTE(A46)/60-6)/12),0))</f>
        <v>0</v>
      </c>
      <c r="D46">
        <f t="shared" si="0"/>
        <v>6.5</v>
      </c>
      <c r="E46">
        <f>MIN(B46,C46)*Assumptions!$B$2</f>
        <v>0</v>
      </c>
      <c r="F46">
        <f>MAX(C46-B46,0)*Assumptions!$B$2</f>
        <v>0</v>
      </c>
      <c r="G46">
        <f>MAX(B46-C46,0)*Assumptions!$B$2</f>
        <v>3.25</v>
      </c>
      <c r="P46" s="5"/>
    </row>
    <row r="47" spans="1:16" x14ac:dyDescent="0.3">
      <c r="A47" s="5">
        <f>Raw_Load_Data!A47</f>
        <v>46204.937500000109</v>
      </c>
      <c r="B47">
        <f>Raw_Load_Data!B47</f>
        <v>3.1</v>
      </c>
      <c r="C47">
        <f>MAX(0,IF(AND(HOUR(A47)&gt;=6,HOUR(A47)&lt;=18),Assumptions!$B$8*SIN(PI()*(HOUR(A47)+MINUTE(A47)/60-6)/12),0))</f>
        <v>0</v>
      </c>
      <c r="D47">
        <f t="shared" si="0"/>
        <v>3.1</v>
      </c>
      <c r="E47">
        <f>MIN(B47,C47)*Assumptions!$B$2</f>
        <v>0</v>
      </c>
      <c r="F47">
        <f>MAX(C47-B47,0)*Assumptions!$B$2</f>
        <v>0</v>
      </c>
      <c r="G47">
        <f>MAX(B47-C47,0)*Assumptions!$B$2</f>
        <v>1.55</v>
      </c>
      <c r="P47" s="5"/>
    </row>
    <row r="48" spans="1:16" x14ac:dyDescent="0.3">
      <c r="A48" s="5">
        <f>Raw_Load_Data!A48</f>
        <v>46204.958333333445</v>
      </c>
      <c r="B48">
        <f>Raw_Load_Data!B48</f>
        <v>6</v>
      </c>
      <c r="C48">
        <f>MAX(0,IF(AND(HOUR(A48)&gt;=6,HOUR(A48)&lt;=18),Assumptions!$B$8*SIN(PI()*(HOUR(A48)+MINUTE(A48)/60-6)/12),0))</f>
        <v>0</v>
      </c>
      <c r="D48">
        <f t="shared" si="0"/>
        <v>6</v>
      </c>
      <c r="E48">
        <f>MIN(B48,C48)*Assumptions!$B$2</f>
        <v>0</v>
      </c>
      <c r="F48">
        <f>MAX(C48-B48,0)*Assumptions!$B$2</f>
        <v>0</v>
      </c>
      <c r="G48">
        <f>MAX(B48-C48,0)*Assumptions!$B$2</f>
        <v>3</v>
      </c>
      <c r="P48" s="5"/>
    </row>
    <row r="49" spans="1:16" x14ac:dyDescent="0.3">
      <c r="A49" s="5">
        <f>Raw_Load_Data!A49</f>
        <v>46204.979166666781</v>
      </c>
      <c r="B49">
        <f>Raw_Load_Data!B49</f>
        <v>4.0999999999999996</v>
      </c>
      <c r="C49">
        <f>MAX(0,IF(AND(HOUR(A49)&gt;=6,HOUR(A49)&lt;=18),Assumptions!$B$8*SIN(PI()*(HOUR(A49)+MINUTE(A49)/60-6)/12),0))</f>
        <v>0</v>
      </c>
      <c r="D49">
        <f t="shared" si="0"/>
        <v>4.0999999999999996</v>
      </c>
      <c r="E49">
        <f>MIN(B49,C49)*Assumptions!$B$2</f>
        <v>0</v>
      </c>
      <c r="F49">
        <f>MAX(C49-B49,0)*Assumptions!$B$2</f>
        <v>0</v>
      </c>
      <c r="G49">
        <f>MAX(B49-C49,0)*Assumptions!$B$2</f>
        <v>2.0499999999999998</v>
      </c>
      <c r="P49" s="5"/>
    </row>
    <row r="50" spans="1:16" x14ac:dyDescent="0.3">
      <c r="A50" s="5">
        <f>Raw_Load_Data!A50</f>
        <v>46205.000000000116</v>
      </c>
      <c r="B50">
        <f>Raw_Load_Data!B50</f>
        <v>2.7</v>
      </c>
      <c r="C50">
        <f>MAX(0,IF(AND(HOUR(A50)&gt;=6,HOUR(A50)&lt;=18),Assumptions!$B$8*SIN(PI()*(HOUR(A50)+MINUTE(A50)/60-6)/12),0))</f>
        <v>0</v>
      </c>
      <c r="D50">
        <f t="shared" si="0"/>
        <v>2.7</v>
      </c>
      <c r="E50">
        <f>MIN(B50,C50)*Assumptions!$B$2</f>
        <v>0</v>
      </c>
      <c r="F50">
        <f>MAX(C50-B50,0)*Assumptions!$B$2</f>
        <v>0</v>
      </c>
      <c r="G50">
        <f>MAX(B50-C50,0)*Assumptions!$B$2</f>
        <v>1.35</v>
      </c>
    </row>
    <row r="51" spans="1:16" x14ac:dyDescent="0.3">
      <c r="A51" s="5">
        <f>Raw_Load_Data!A51</f>
        <v>46205.020833333452</v>
      </c>
      <c r="B51">
        <f>Raw_Load_Data!B51</f>
        <v>1.9</v>
      </c>
      <c r="C51">
        <f>MAX(0,IF(AND(HOUR(A51)&gt;=6,HOUR(A51)&lt;=18),Assumptions!$B$8*SIN(PI()*(HOUR(A51)+MINUTE(A51)/60-6)/12),0))</f>
        <v>0</v>
      </c>
      <c r="D51">
        <f t="shared" si="0"/>
        <v>1.9</v>
      </c>
      <c r="E51">
        <f>MIN(B51,C51)*Assumptions!$B$2</f>
        <v>0</v>
      </c>
      <c r="F51">
        <f>MAX(C51-B51,0)*Assumptions!$B$2</f>
        <v>0</v>
      </c>
      <c r="G51">
        <f>MAX(B51-C51,0)*Assumptions!$B$2</f>
        <v>0.95</v>
      </c>
    </row>
    <row r="52" spans="1:16" x14ac:dyDescent="0.3">
      <c r="A52" s="5">
        <f>Raw_Load_Data!A52</f>
        <v>46205.041666666788</v>
      </c>
      <c r="B52">
        <f>Raw_Load_Data!B52</f>
        <v>2</v>
      </c>
      <c r="C52">
        <f>MAX(0,IF(AND(HOUR(A52)&gt;=6,HOUR(A52)&lt;=18),Assumptions!$B$8*SIN(PI()*(HOUR(A52)+MINUTE(A52)/60-6)/12),0))</f>
        <v>0</v>
      </c>
      <c r="D52">
        <f t="shared" si="0"/>
        <v>2</v>
      </c>
      <c r="E52">
        <f>MIN(B52,C52)*Assumptions!$B$2</f>
        <v>0</v>
      </c>
      <c r="F52">
        <f>MAX(C52-B52,0)*Assumptions!$B$2</f>
        <v>0</v>
      </c>
      <c r="G52">
        <f>MAX(B52-C52,0)*Assumptions!$B$2</f>
        <v>1</v>
      </c>
    </row>
    <row r="53" spans="1:16" x14ac:dyDescent="0.3">
      <c r="A53" s="5">
        <f>Raw_Load_Data!A53</f>
        <v>46205.062500000124</v>
      </c>
      <c r="B53">
        <f>Raw_Load_Data!B53</f>
        <v>2.2000000000000002</v>
      </c>
      <c r="C53">
        <f>MAX(0,IF(AND(HOUR(A53)&gt;=6,HOUR(A53)&lt;=18),Assumptions!$B$8*SIN(PI()*(HOUR(A53)+MINUTE(A53)/60-6)/12),0))</f>
        <v>0</v>
      </c>
      <c r="D53">
        <f t="shared" si="0"/>
        <v>2.2000000000000002</v>
      </c>
      <c r="E53">
        <f>MIN(B53,C53)*Assumptions!$B$2</f>
        <v>0</v>
      </c>
      <c r="F53">
        <f>MAX(C53-B53,0)*Assumptions!$B$2</f>
        <v>0</v>
      </c>
      <c r="G53">
        <f>MAX(B53-C53,0)*Assumptions!$B$2</f>
        <v>1.1000000000000001</v>
      </c>
    </row>
    <row r="54" spans="1:16" x14ac:dyDescent="0.3">
      <c r="A54" s="5">
        <f>Raw_Load_Data!A54</f>
        <v>46205.083333333459</v>
      </c>
      <c r="B54">
        <f>Raw_Load_Data!B54</f>
        <v>1.9</v>
      </c>
      <c r="C54">
        <f>MAX(0,IF(AND(HOUR(A54)&gt;=6,HOUR(A54)&lt;=18),Assumptions!$B$8*SIN(PI()*(HOUR(A54)+MINUTE(A54)/60-6)/12),0))</f>
        <v>0</v>
      </c>
      <c r="D54">
        <f t="shared" si="0"/>
        <v>1.9</v>
      </c>
      <c r="E54">
        <f>MIN(B54,C54)*Assumptions!$B$2</f>
        <v>0</v>
      </c>
      <c r="F54">
        <f>MAX(C54-B54,0)*Assumptions!$B$2</f>
        <v>0</v>
      </c>
      <c r="G54">
        <f>MAX(B54-C54,0)*Assumptions!$B$2</f>
        <v>0.95</v>
      </c>
    </row>
    <row r="55" spans="1:16" x14ac:dyDescent="0.3">
      <c r="A55" s="5">
        <f>Raw_Load_Data!A55</f>
        <v>46205.104166666795</v>
      </c>
      <c r="B55">
        <f>Raw_Load_Data!B55</f>
        <v>2.5</v>
      </c>
      <c r="C55">
        <f>MAX(0,IF(AND(HOUR(A55)&gt;=6,HOUR(A55)&lt;=18),Assumptions!$B$8*SIN(PI()*(HOUR(A55)+MINUTE(A55)/60-6)/12),0))</f>
        <v>0</v>
      </c>
      <c r="D55">
        <f t="shared" si="0"/>
        <v>2.5</v>
      </c>
      <c r="E55">
        <f>MIN(B55,C55)*Assumptions!$B$2</f>
        <v>0</v>
      </c>
      <c r="F55">
        <f>MAX(C55-B55,0)*Assumptions!$B$2</f>
        <v>0</v>
      </c>
      <c r="G55">
        <f>MAX(B55-C55,0)*Assumptions!$B$2</f>
        <v>1.25</v>
      </c>
    </row>
    <row r="56" spans="1:16" x14ac:dyDescent="0.3">
      <c r="A56" s="5">
        <f>Raw_Load_Data!A56</f>
        <v>46205.125000000131</v>
      </c>
      <c r="B56">
        <f>Raw_Load_Data!B56</f>
        <v>2</v>
      </c>
      <c r="C56">
        <f>MAX(0,IF(AND(HOUR(A56)&gt;=6,HOUR(A56)&lt;=18),Assumptions!$B$8*SIN(PI()*(HOUR(A56)+MINUTE(A56)/60-6)/12),0))</f>
        <v>0</v>
      </c>
      <c r="D56">
        <f t="shared" si="0"/>
        <v>2</v>
      </c>
      <c r="E56">
        <f>MIN(B56,C56)*Assumptions!$B$2</f>
        <v>0</v>
      </c>
      <c r="F56">
        <f>MAX(C56-B56,0)*Assumptions!$B$2</f>
        <v>0</v>
      </c>
      <c r="G56">
        <f>MAX(B56-C56,0)*Assumptions!$B$2</f>
        <v>1</v>
      </c>
    </row>
    <row r="57" spans="1:16" x14ac:dyDescent="0.3">
      <c r="A57" s="5">
        <f>Raw_Load_Data!A57</f>
        <v>46205.145833333467</v>
      </c>
      <c r="B57">
        <f>Raw_Load_Data!B57</f>
        <v>1.8</v>
      </c>
      <c r="C57">
        <f>MAX(0,IF(AND(HOUR(A57)&gt;=6,HOUR(A57)&lt;=18),Assumptions!$B$8*SIN(PI()*(HOUR(A57)+MINUTE(A57)/60-6)/12),0))</f>
        <v>0</v>
      </c>
      <c r="D57">
        <f t="shared" si="0"/>
        <v>1.8</v>
      </c>
      <c r="E57">
        <f>MIN(B57,C57)*Assumptions!$B$2</f>
        <v>0</v>
      </c>
      <c r="F57">
        <f>MAX(C57-B57,0)*Assumptions!$B$2</f>
        <v>0</v>
      </c>
      <c r="G57">
        <f>MAX(B57-C57,0)*Assumptions!$B$2</f>
        <v>0.9</v>
      </c>
    </row>
    <row r="58" spans="1:16" x14ac:dyDescent="0.3">
      <c r="A58" s="5">
        <f>Raw_Load_Data!A58</f>
        <v>46205.166666666802</v>
      </c>
      <c r="B58">
        <f>Raw_Load_Data!B58</f>
        <v>1.9</v>
      </c>
      <c r="C58">
        <f>MAX(0,IF(AND(HOUR(A58)&gt;=6,HOUR(A58)&lt;=18),Assumptions!$B$8*SIN(PI()*(HOUR(A58)+MINUTE(A58)/60-6)/12),0))</f>
        <v>0</v>
      </c>
      <c r="D58">
        <f t="shared" si="0"/>
        <v>1.9</v>
      </c>
      <c r="E58">
        <f>MIN(B58,C58)*Assumptions!$B$2</f>
        <v>0</v>
      </c>
      <c r="F58">
        <f>MAX(C58-B58,0)*Assumptions!$B$2</f>
        <v>0</v>
      </c>
      <c r="G58">
        <f>MAX(B58-C58,0)*Assumptions!$B$2</f>
        <v>0.95</v>
      </c>
    </row>
    <row r="59" spans="1:16" x14ac:dyDescent="0.3">
      <c r="A59" s="5">
        <f>Raw_Load_Data!A59</f>
        <v>46205.187500000138</v>
      </c>
      <c r="B59">
        <f>Raw_Load_Data!B59</f>
        <v>2.5</v>
      </c>
      <c r="C59">
        <f>MAX(0,IF(AND(HOUR(A59)&gt;=6,HOUR(A59)&lt;=18),Assumptions!$B$8*SIN(PI()*(HOUR(A59)+MINUTE(A59)/60-6)/12),0))</f>
        <v>0</v>
      </c>
      <c r="D59">
        <f t="shared" si="0"/>
        <v>2.5</v>
      </c>
      <c r="E59">
        <f>MIN(B59,C59)*Assumptions!$B$2</f>
        <v>0</v>
      </c>
      <c r="F59">
        <f>MAX(C59-B59,0)*Assumptions!$B$2</f>
        <v>0</v>
      </c>
      <c r="G59">
        <f>MAX(B59-C59,0)*Assumptions!$B$2</f>
        <v>1.25</v>
      </c>
    </row>
    <row r="60" spans="1:16" x14ac:dyDescent="0.3">
      <c r="A60" s="5">
        <f>Raw_Load_Data!A60</f>
        <v>46205.208333333474</v>
      </c>
      <c r="B60">
        <f>Raw_Load_Data!B60</f>
        <v>1.8</v>
      </c>
      <c r="C60">
        <f>MAX(0,IF(AND(HOUR(A60)&gt;=6,HOUR(A60)&lt;=18),Assumptions!$B$8*SIN(PI()*(HOUR(A60)+MINUTE(A60)/60-6)/12),0))</f>
        <v>0</v>
      </c>
      <c r="D60">
        <f t="shared" si="0"/>
        <v>1.8</v>
      </c>
      <c r="E60">
        <f>MIN(B60,C60)*Assumptions!$B$2</f>
        <v>0</v>
      </c>
      <c r="F60">
        <f>MAX(C60-B60,0)*Assumptions!$B$2</f>
        <v>0</v>
      </c>
      <c r="G60">
        <f>MAX(B60-C60,0)*Assumptions!$B$2</f>
        <v>0.9</v>
      </c>
    </row>
    <row r="61" spans="1:16" x14ac:dyDescent="0.3">
      <c r="A61" s="5">
        <f>Raw_Load_Data!A61</f>
        <v>46205.22916666681</v>
      </c>
      <c r="B61">
        <f>Raw_Load_Data!B61</f>
        <v>2.2999999999999998</v>
      </c>
      <c r="C61">
        <f>MAX(0,IF(AND(HOUR(A61)&gt;=6,HOUR(A61)&lt;=18),Assumptions!$B$8*SIN(PI()*(HOUR(A61)+MINUTE(A61)/60-6)/12),0))</f>
        <v>0</v>
      </c>
      <c r="D61">
        <f t="shared" si="0"/>
        <v>2.2999999999999998</v>
      </c>
      <c r="E61">
        <f>MIN(B61,C61)*Assumptions!$B$2</f>
        <v>0</v>
      </c>
      <c r="F61">
        <f>MAX(C61-B61,0)*Assumptions!$B$2</f>
        <v>0</v>
      </c>
      <c r="G61">
        <f>MAX(B61-C61,0)*Assumptions!$B$2</f>
        <v>1.1499999999999999</v>
      </c>
    </row>
    <row r="62" spans="1:16" x14ac:dyDescent="0.3">
      <c r="A62" s="5">
        <f>Raw_Load_Data!A62</f>
        <v>46205.250000000146</v>
      </c>
      <c r="B62">
        <f>Raw_Load_Data!B62</f>
        <v>7.5</v>
      </c>
      <c r="C62">
        <f>MAX(0,IF(AND(HOUR(A62)&gt;=6,HOUR(A62)&lt;=18),Assumptions!$B$8*SIN(PI()*(HOUR(A62)+MINUTE(A62)/60-6)/12),0))</f>
        <v>0</v>
      </c>
      <c r="D62">
        <f t="shared" si="0"/>
        <v>7.5</v>
      </c>
      <c r="E62">
        <f>MIN(B62,C62)*Assumptions!$B$2</f>
        <v>0</v>
      </c>
      <c r="F62">
        <f>MAX(C62-B62,0)*Assumptions!$B$2</f>
        <v>0</v>
      </c>
      <c r="G62">
        <f>MAX(B62-C62,0)*Assumptions!$B$2</f>
        <v>3.75</v>
      </c>
    </row>
    <row r="63" spans="1:16" x14ac:dyDescent="0.3">
      <c r="A63" s="5">
        <f>Raw_Load_Data!A63</f>
        <v>46205.270833333481</v>
      </c>
      <c r="B63">
        <f>Raw_Load_Data!B63</f>
        <v>7.9</v>
      </c>
      <c r="C63">
        <f>MAX(0,IF(AND(HOUR(A63)&gt;=6,HOUR(A63)&lt;=18),Assumptions!$B$8*SIN(PI()*(HOUR(A63)+MINUTE(A63)/60-6)/12),0))</f>
        <v>3.9157857666015472</v>
      </c>
      <c r="D63">
        <f t="shared" si="0"/>
        <v>3.9842142333984532</v>
      </c>
      <c r="E63">
        <f>MIN(B63,C63)*Assumptions!$B$2</f>
        <v>1.9578928833007736</v>
      </c>
      <c r="F63">
        <f>MAX(C63-B63,0)*Assumptions!$B$2</f>
        <v>0</v>
      </c>
      <c r="G63">
        <f>MAX(B63-C63,0)*Assumptions!$B$2</f>
        <v>1.9921071166992266</v>
      </c>
    </row>
    <row r="64" spans="1:16" x14ac:dyDescent="0.3">
      <c r="A64" s="5">
        <f>Raw_Load_Data!A64</f>
        <v>46205.291666666817</v>
      </c>
      <c r="B64">
        <f>Raw_Load_Data!B64</f>
        <v>7</v>
      </c>
      <c r="C64">
        <f>MAX(0,IF(AND(HOUR(A64)&gt;=6,HOUR(A64)&lt;=18),Assumptions!$B$8*SIN(PI()*(HOUR(A64)+MINUTE(A64)/60-6)/12),0))</f>
        <v>7.7645713530756222</v>
      </c>
      <c r="D64">
        <f t="shared" si="0"/>
        <v>-0.76457135307562218</v>
      </c>
      <c r="E64">
        <f>MIN(B64,C64)*Assumptions!$B$2</f>
        <v>3.5</v>
      </c>
      <c r="F64">
        <f>MAX(C64-B64,0)*Assumptions!$B$2</f>
        <v>0.38228567653781109</v>
      </c>
      <c r="G64">
        <f>MAX(B64-C64,0)*Assumptions!$B$2</f>
        <v>0</v>
      </c>
    </row>
    <row r="65" spans="1:7" x14ac:dyDescent="0.3">
      <c r="A65" s="5">
        <f>Raw_Load_Data!A65</f>
        <v>46205.312500000153</v>
      </c>
      <c r="B65">
        <f>Raw_Load_Data!B65</f>
        <v>6.7</v>
      </c>
      <c r="C65">
        <f>MAX(0,IF(AND(HOUR(A65)&gt;=6,HOUR(A65)&lt;=18),Assumptions!$B$8*SIN(PI()*(HOUR(A65)+MINUTE(A65)/60-6)/12),0))</f>
        <v>11.480502970952694</v>
      </c>
      <c r="D65">
        <f t="shared" si="0"/>
        <v>-4.7805029709526936</v>
      </c>
      <c r="E65">
        <f>MIN(B65,C65)*Assumptions!$B$2</f>
        <v>3.35</v>
      </c>
      <c r="F65">
        <f>MAX(C65-B65,0)*Assumptions!$B$2</f>
        <v>2.3902514854763468</v>
      </c>
      <c r="G65">
        <f>MAX(B65-C65,0)*Assumptions!$B$2</f>
        <v>0</v>
      </c>
    </row>
    <row r="66" spans="1:7" x14ac:dyDescent="0.3">
      <c r="A66" s="5">
        <f>Raw_Load_Data!A66</f>
        <v>46205.333333333489</v>
      </c>
      <c r="B66">
        <f>Raw_Load_Data!B66</f>
        <v>19.100000000000001</v>
      </c>
      <c r="C66">
        <f>MAX(0,IF(AND(HOUR(A66)&gt;=6,HOUR(A66)&lt;=18),Assumptions!$B$8*SIN(PI()*(HOUR(A66)+MINUTE(A66)/60-6)/12),0))</f>
        <v>14.999999999999998</v>
      </c>
      <c r="D66">
        <f t="shared" si="0"/>
        <v>4.1000000000000032</v>
      </c>
      <c r="E66">
        <f>MIN(B66,C66)*Assumptions!$B$2</f>
        <v>7.4999999999999991</v>
      </c>
      <c r="F66">
        <f>MAX(C66-B66,0)*Assumptions!$B$2</f>
        <v>0</v>
      </c>
      <c r="G66">
        <f>MAX(B66-C66,0)*Assumptions!$B$2</f>
        <v>2.0500000000000016</v>
      </c>
    </row>
    <row r="67" spans="1:7" x14ac:dyDescent="0.3">
      <c r="A67" s="5">
        <f>Raw_Load_Data!A67</f>
        <v>46205.354166666824</v>
      </c>
      <c r="B67">
        <f>Raw_Load_Data!B67</f>
        <v>14.2</v>
      </c>
      <c r="C67">
        <f>MAX(0,IF(AND(HOUR(A67)&gt;=6,HOUR(A67)&lt;=18),Assumptions!$B$8*SIN(PI()*(HOUR(A67)+MINUTE(A67)/60-6)/12),0))</f>
        <v>18.262842870261618</v>
      </c>
      <c r="D67">
        <f t="shared" ref="D67:D130" si="1">B67-C67</f>
        <v>-4.0628428702616191</v>
      </c>
      <c r="E67">
        <f>MIN(B67,C67)*Assumptions!$B$2</f>
        <v>7.1</v>
      </c>
      <c r="F67">
        <f>MAX(C67-B67,0)*Assumptions!$B$2</f>
        <v>2.0314214351308095</v>
      </c>
      <c r="G67">
        <f>MAX(B67-C67,0)*Assumptions!$B$2</f>
        <v>0</v>
      </c>
    </row>
    <row r="68" spans="1:7" x14ac:dyDescent="0.3">
      <c r="A68" s="5">
        <f>Raw_Load_Data!A68</f>
        <v>46205.37500000016</v>
      </c>
      <c r="B68">
        <f>Raw_Load_Data!B68</f>
        <v>21.5</v>
      </c>
      <c r="C68">
        <f>MAX(0,IF(AND(HOUR(A68)&gt;=6,HOUR(A68)&lt;=18),Assumptions!$B$8*SIN(PI()*(HOUR(A68)+MINUTE(A68)/60-6)/12),0))</f>
        <v>21.213203435596423</v>
      </c>
      <c r="D68">
        <f t="shared" si="1"/>
        <v>0.28679656440357704</v>
      </c>
      <c r="E68">
        <f>MIN(B68,C68)*Assumptions!$B$2</f>
        <v>10.606601717798211</v>
      </c>
      <c r="F68">
        <f>MAX(C68-B68,0)*Assumptions!$B$2</f>
        <v>0</v>
      </c>
      <c r="G68">
        <f>MAX(B68-C68,0)*Assumptions!$B$2</f>
        <v>0.14339828220178852</v>
      </c>
    </row>
    <row r="69" spans="1:7" x14ac:dyDescent="0.3">
      <c r="A69" s="5">
        <f>Raw_Load_Data!A69</f>
        <v>46205.395833333496</v>
      </c>
      <c r="B69">
        <f>Raw_Load_Data!B69</f>
        <v>15.1</v>
      </c>
      <c r="C69">
        <f>MAX(0,IF(AND(HOUR(A69)&gt;=6,HOUR(A69)&lt;=18),Assumptions!$B$8*SIN(PI()*(HOUR(A69)+MINUTE(A69)/60-6)/12),0))</f>
        <v>23.800600208737055</v>
      </c>
      <c r="D69">
        <f t="shared" si="1"/>
        <v>-8.7006002087370558</v>
      </c>
      <c r="E69">
        <f>MIN(B69,C69)*Assumptions!$B$2</f>
        <v>7.55</v>
      </c>
      <c r="F69">
        <f>MAX(C69-B69,0)*Assumptions!$B$2</f>
        <v>4.3503001043685279</v>
      </c>
      <c r="G69">
        <f>MAX(B69-C69,0)*Assumptions!$B$2</f>
        <v>0</v>
      </c>
    </row>
    <row r="70" spans="1:7" x14ac:dyDescent="0.3">
      <c r="A70" s="5">
        <f>Raw_Load_Data!A70</f>
        <v>46205.416666666832</v>
      </c>
      <c r="B70">
        <f>Raw_Load_Data!B70</f>
        <v>15.5</v>
      </c>
      <c r="C70">
        <f>MAX(0,IF(AND(HOUR(A70)&gt;=6,HOUR(A70)&lt;=18),Assumptions!$B$8*SIN(PI()*(HOUR(A70)+MINUTE(A70)/60-6)/12),0))</f>
        <v>25.980762113533157</v>
      </c>
      <c r="D70">
        <f t="shared" si="1"/>
        <v>-10.480762113533157</v>
      </c>
      <c r="E70">
        <f>MIN(B70,C70)*Assumptions!$B$2</f>
        <v>7.75</v>
      </c>
      <c r="F70">
        <f>MAX(C70-B70,0)*Assumptions!$B$2</f>
        <v>5.2403810567665783</v>
      </c>
      <c r="G70">
        <f>MAX(B70-C70,0)*Assumptions!$B$2</f>
        <v>0</v>
      </c>
    </row>
    <row r="71" spans="1:7" x14ac:dyDescent="0.3">
      <c r="A71" s="5">
        <f>Raw_Load_Data!A71</f>
        <v>46205.437500000167</v>
      </c>
      <c r="B71">
        <f>Raw_Load_Data!B71</f>
        <v>14.5</v>
      </c>
      <c r="C71">
        <f>MAX(0,IF(AND(HOUR(A71)&gt;=6,HOUR(A71)&lt;=18),Assumptions!$B$8*SIN(PI()*(HOUR(A71)+MINUTE(A71)/60-6)/12),0))</f>
        <v>27.716385975338603</v>
      </c>
      <c r="D71">
        <f t="shared" si="1"/>
        <v>-13.216385975338603</v>
      </c>
      <c r="E71">
        <f>MIN(B71,C71)*Assumptions!$B$2</f>
        <v>7.25</v>
      </c>
      <c r="F71">
        <f>MAX(C71-B71,0)*Assumptions!$B$2</f>
        <v>6.6081929876693017</v>
      </c>
      <c r="G71">
        <f>MAX(B71-C71,0)*Assumptions!$B$2</f>
        <v>0</v>
      </c>
    </row>
    <row r="72" spans="1:7" x14ac:dyDescent="0.3">
      <c r="A72" s="5">
        <f>Raw_Load_Data!A72</f>
        <v>46205.458333333503</v>
      </c>
      <c r="B72">
        <f>Raw_Load_Data!B72</f>
        <v>19.7</v>
      </c>
      <c r="C72">
        <f>MAX(0,IF(AND(HOUR(A72)&gt;=6,HOUR(A72)&lt;=18),Assumptions!$B$8*SIN(PI()*(HOUR(A72)+MINUTE(A72)/60-6)/12),0))</f>
        <v>28.97777478867205</v>
      </c>
      <c r="D72">
        <f t="shared" si="1"/>
        <v>-9.2777747886720512</v>
      </c>
      <c r="E72">
        <f>MIN(B72,C72)*Assumptions!$B$2</f>
        <v>9.85</v>
      </c>
      <c r="F72">
        <f>MAX(C72-B72,0)*Assumptions!$B$2</f>
        <v>4.6388873943360256</v>
      </c>
      <c r="G72">
        <f>MAX(B72-C72,0)*Assumptions!$B$2</f>
        <v>0</v>
      </c>
    </row>
    <row r="73" spans="1:7" x14ac:dyDescent="0.3">
      <c r="A73" s="5">
        <f>Raw_Load_Data!A73</f>
        <v>46205.479166666839</v>
      </c>
      <c r="B73">
        <f>Raw_Load_Data!B73</f>
        <v>15.3</v>
      </c>
      <c r="C73">
        <f>MAX(0,IF(AND(HOUR(A73)&gt;=6,HOUR(A73)&lt;=18),Assumptions!$B$8*SIN(PI()*(HOUR(A73)+MINUTE(A73)/60-6)/12),0))</f>
        <v>29.74334584121431</v>
      </c>
      <c r="D73">
        <f t="shared" si="1"/>
        <v>-14.44334584121431</v>
      </c>
      <c r="E73">
        <f>MIN(B73,C73)*Assumptions!$B$2</f>
        <v>7.65</v>
      </c>
      <c r="F73">
        <f>MAX(C73-B73,0)*Assumptions!$B$2</f>
        <v>7.2216729206071548</v>
      </c>
      <c r="G73">
        <f>MAX(B73-C73,0)*Assumptions!$B$2</f>
        <v>0</v>
      </c>
    </row>
    <row r="74" spans="1:7" x14ac:dyDescent="0.3">
      <c r="A74" s="5">
        <f>Raw_Load_Data!A74</f>
        <v>46205.500000000175</v>
      </c>
      <c r="B74">
        <f>Raw_Load_Data!B74</f>
        <v>31.5</v>
      </c>
      <c r="C74">
        <f>MAX(0,IF(AND(HOUR(A74)&gt;=6,HOUR(A74)&lt;=18),Assumptions!$B$8*SIN(PI()*(HOUR(A74)+MINUTE(A74)/60-6)/12),0))</f>
        <v>30</v>
      </c>
      <c r="D74">
        <f t="shared" si="1"/>
        <v>1.5</v>
      </c>
      <c r="E74">
        <f>MIN(B74,C74)*Assumptions!$B$2</f>
        <v>15</v>
      </c>
      <c r="F74">
        <f>MAX(C74-B74,0)*Assumptions!$B$2</f>
        <v>0</v>
      </c>
      <c r="G74">
        <f>MAX(B74-C74,0)*Assumptions!$B$2</f>
        <v>0.75</v>
      </c>
    </row>
    <row r="75" spans="1:7" x14ac:dyDescent="0.3">
      <c r="A75" s="5">
        <f>Raw_Load_Data!A75</f>
        <v>46205.52083333351</v>
      </c>
      <c r="B75">
        <f>Raw_Load_Data!B75</f>
        <v>25.6</v>
      </c>
      <c r="C75">
        <f>MAX(0,IF(AND(HOUR(A75)&gt;=6,HOUR(A75)&lt;=18),Assumptions!$B$8*SIN(PI()*(HOUR(A75)+MINUTE(A75)/60-6)/12),0))</f>
        <v>29.74334584121431</v>
      </c>
      <c r="D75">
        <f t="shared" si="1"/>
        <v>-4.1433458412143089</v>
      </c>
      <c r="E75">
        <f>MIN(B75,C75)*Assumptions!$B$2</f>
        <v>12.8</v>
      </c>
      <c r="F75">
        <f>MAX(C75-B75,0)*Assumptions!$B$2</f>
        <v>2.0716729206071545</v>
      </c>
      <c r="G75">
        <f>MAX(B75-C75,0)*Assumptions!$B$2</f>
        <v>0</v>
      </c>
    </row>
    <row r="76" spans="1:7" x14ac:dyDescent="0.3">
      <c r="A76" s="5">
        <f>Raw_Load_Data!A76</f>
        <v>46205.541666666846</v>
      </c>
      <c r="B76">
        <f>Raw_Load_Data!B76</f>
        <v>30.6</v>
      </c>
      <c r="C76">
        <f>MAX(0,IF(AND(HOUR(A76)&gt;=6,HOUR(A76)&lt;=18),Assumptions!$B$8*SIN(PI()*(HOUR(A76)+MINUTE(A76)/60-6)/12),0))</f>
        <v>28.97777478867205</v>
      </c>
      <c r="D76">
        <f t="shared" si="1"/>
        <v>1.6222252113279509</v>
      </c>
      <c r="E76">
        <f>MIN(B76,C76)*Assumptions!$B$2</f>
        <v>14.488887394336025</v>
      </c>
      <c r="F76">
        <f>MAX(C76-B76,0)*Assumptions!$B$2</f>
        <v>0</v>
      </c>
      <c r="G76">
        <f>MAX(B76-C76,0)*Assumptions!$B$2</f>
        <v>0.81111260566397547</v>
      </c>
    </row>
    <row r="77" spans="1:7" x14ac:dyDescent="0.3">
      <c r="A77" s="5">
        <f>Raw_Load_Data!A77</f>
        <v>46205.562500000182</v>
      </c>
      <c r="B77">
        <f>Raw_Load_Data!B77</f>
        <v>20.3</v>
      </c>
      <c r="C77">
        <f>MAX(0,IF(AND(HOUR(A77)&gt;=6,HOUR(A77)&lt;=18),Assumptions!$B$8*SIN(PI()*(HOUR(A77)+MINUTE(A77)/60-6)/12),0))</f>
        <v>27.716385975338607</v>
      </c>
      <c r="D77">
        <f t="shared" si="1"/>
        <v>-7.4163859753386063</v>
      </c>
      <c r="E77">
        <f>MIN(B77,C77)*Assumptions!$B$2</f>
        <v>10.15</v>
      </c>
      <c r="F77">
        <f>MAX(C77-B77,0)*Assumptions!$B$2</f>
        <v>3.7081929876693032</v>
      </c>
      <c r="G77">
        <f>MAX(B77-C77,0)*Assumptions!$B$2</f>
        <v>0</v>
      </c>
    </row>
    <row r="78" spans="1:7" x14ac:dyDescent="0.3">
      <c r="A78" s="5">
        <f>Raw_Load_Data!A78</f>
        <v>46205.583333333518</v>
      </c>
      <c r="B78">
        <f>Raw_Load_Data!B78</f>
        <v>18.8</v>
      </c>
      <c r="C78">
        <f>MAX(0,IF(AND(HOUR(A78)&gt;=6,HOUR(A78)&lt;=18),Assumptions!$B$8*SIN(PI()*(HOUR(A78)+MINUTE(A78)/60-6)/12),0))</f>
        <v>25.98076211353316</v>
      </c>
      <c r="D78">
        <f t="shared" si="1"/>
        <v>-7.1807621135331594</v>
      </c>
      <c r="E78">
        <f>MIN(B78,C78)*Assumptions!$B$2</f>
        <v>9.4</v>
      </c>
      <c r="F78">
        <f>MAX(C78-B78,0)*Assumptions!$B$2</f>
        <v>3.5903810567665797</v>
      </c>
      <c r="G78">
        <f>MAX(B78-C78,0)*Assumptions!$B$2</f>
        <v>0</v>
      </c>
    </row>
    <row r="79" spans="1:7" x14ac:dyDescent="0.3">
      <c r="A79" s="5">
        <f>Raw_Load_Data!A79</f>
        <v>46205.604166666853</v>
      </c>
      <c r="B79">
        <f>Raw_Load_Data!B79</f>
        <v>21.5</v>
      </c>
      <c r="C79">
        <f>MAX(0,IF(AND(HOUR(A79)&gt;=6,HOUR(A79)&lt;=18),Assumptions!$B$8*SIN(PI()*(HOUR(A79)+MINUTE(A79)/60-6)/12),0))</f>
        <v>23.800600208737055</v>
      </c>
      <c r="D79">
        <f t="shared" si="1"/>
        <v>-2.3006002087370554</v>
      </c>
      <c r="E79">
        <f>MIN(B79,C79)*Assumptions!$B$2</f>
        <v>10.75</v>
      </c>
      <c r="F79">
        <f>MAX(C79-B79,0)*Assumptions!$B$2</f>
        <v>1.1503001043685277</v>
      </c>
      <c r="G79">
        <f>MAX(B79-C79,0)*Assumptions!$B$2</f>
        <v>0</v>
      </c>
    </row>
    <row r="80" spans="1:7" x14ac:dyDescent="0.3">
      <c r="A80" s="5">
        <f>Raw_Load_Data!A80</f>
        <v>46205.625000000189</v>
      </c>
      <c r="B80">
        <f>Raw_Load_Data!B80</f>
        <v>25.9</v>
      </c>
      <c r="C80">
        <f>MAX(0,IF(AND(HOUR(A80)&gt;=6,HOUR(A80)&lt;=18),Assumptions!$B$8*SIN(PI()*(HOUR(A80)+MINUTE(A80)/60-6)/12),0))</f>
        <v>21.213203435596427</v>
      </c>
      <c r="D80">
        <f t="shared" si="1"/>
        <v>4.6867965644035721</v>
      </c>
      <c r="E80">
        <f>MIN(B80,C80)*Assumptions!$B$2</f>
        <v>10.606601717798213</v>
      </c>
      <c r="F80">
        <f>MAX(C80-B80,0)*Assumptions!$B$2</f>
        <v>0</v>
      </c>
      <c r="G80">
        <f>MAX(B80-C80,0)*Assumptions!$B$2</f>
        <v>2.343398282201786</v>
      </c>
    </row>
    <row r="81" spans="1:7" x14ac:dyDescent="0.3">
      <c r="A81" s="5">
        <f>Raw_Load_Data!A81</f>
        <v>46205.645833333525</v>
      </c>
      <c r="B81">
        <f>Raw_Load_Data!B81</f>
        <v>30.1</v>
      </c>
      <c r="C81">
        <f>MAX(0,IF(AND(HOUR(A81)&gt;=6,HOUR(A81)&lt;=18),Assumptions!$B$8*SIN(PI()*(HOUR(A81)+MINUTE(A81)/60-6)/12),0))</f>
        <v>18.262842870261625</v>
      </c>
      <c r="D81">
        <f t="shared" si="1"/>
        <v>11.837157129738376</v>
      </c>
      <c r="E81">
        <f>MIN(B81,C81)*Assumptions!$B$2</f>
        <v>9.1314214351308127</v>
      </c>
      <c r="F81">
        <f>MAX(C81-B81,0)*Assumptions!$B$2</f>
        <v>0</v>
      </c>
      <c r="G81">
        <f>MAX(B81-C81,0)*Assumptions!$B$2</f>
        <v>5.918578564869188</v>
      </c>
    </row>
    <row r="82" spans="1:7" x14ac:dyDescent="0.3">
      <c r="A82" s="5">
        <f>Raw_Load_Data!A82</f>
        <v>46205.666666666861</v>
      </c>
      <c r="B82">
        <f>Raw_Load_Data!B82</f>
        <v>15.9</v>
      </c>
      <c r="C82">
        <f>MAX(0,IF(AND(HOUR(A82)&gt;=6,HOUR(A82)&lt;=18),Assumptions!$B$8*SIN(PI()*(HOUR(A82)+MINUTE(A82)/60-6)/12),0))</f>
        <v>14.999999999999998</v>
      </c>
      <c r="D82">
        <f t="shared" si="1"/>
        <v>0.90000000000000213</v>
      </c>
      <c r="E82">
        <f>MIN(B82,C82)*Assumptions!$B$2</f>
        <v>7.4999999999999991</v>
      </c>
      <c r="F82">
        <f>MAX(C82-B82,0)*Assumptions!$B$2</f>
        <v>0</v>
      </c>
      <c r="G82">
        <f>MAX(B82-C82,0)*Assumptions!$B$2</f>
        <v>0.45000000000000107</v>
      </c>
    </row>
    <row r="83" spans="1:7" x14ac:dyDescent="0.3">
      <c r="A83" s="5">
        <f>Raw_Load_Data!A83</f>
        <v>46205.687500000196</v>
      </c>
      <c r="B83">
        <f>Raw_Load_Data!B83</f>
        <v>19.899999999999999</v>
      </c>
      <c r="C83">
        <f>MAX(0,IF(AND(HOUR(A83)&gt;=6,HOUR(A83)&lt;=18),Assumptions!$B$8*SIN(PI()*(HOUR(A83)+MINUTE(A83)/60-6)/12),0))</f>
        <v>11.480502970952697</v>
      </c>
      <c r="D83">
        <f t="shared" si="1"/>
        <v>8.4194970290473012</v>
      </c>
      <c r="E83">
        <f>MIN(B83,C83)*Assumptions!$B$2</f>
        <v>5.7402514854763487</v>
      </c>
      <c r="F83">
        <f>MAX(C83-B83,0)*Assumptions!$B$2</f>
        <v>0</v>
      </c>
      <c r="G83">
        <f>MAX(B83-C83,0)*Assumptions!$B$2</f>
        <v>4.2097485145236506</v>
      </c>
    </row>
    <row r="84" spans="1:7" x14ac:dyDescent="0.3">
      <c r="A84" s="5">
        <f>Raw_Load_Data!A84</f>
        <v>46205.708333333532</v>
      </c>
      <c r="B84">
        <f>Raw_Load_Data!B84</f>
        <v>11.4</v>
      </c>
      <c r="C84">
        <f>MAX(0,IF(AND(HOUR(A84)&gt;=6,HOUR(A84)&lt;=18),Assumptions!$B$8*SIN(PI()*(HOUR(A84)+MINUTE(A84)/60-6)/12),0))</f>
        <v>7.7645713530756302</v>
      </c>
      <c r="D84">
        <f t="shared" si="1"/>
        <v>3.6354286469243702</v>
      </c>
      <c r="E84">
        <f>MIN(B84,C84)*Assumptions!$B$2</f>
        <v>3.8822856765378151</v>
      </c>
      <c r="F84">
        <f>MAX(C84-B84,0)*Assumptions!$B$2</f>
        <v>0</v>
      </c>
      <c r="G84">
        <f>MAX(B84-C84,0)*Assumptions!$B$2</f>
        <v>1.8177143234621851</v>
      </c>
    </row>
    <row r="85" spans="1:7" x14ac:dyDescent="0.3">
      <c r="A85" s="5">
        <f>Raw_Load_Data!A85</f>
        <v>46205.729166666868</v>
      </c>
      <c r="B85">
        <f>Raw_Load_Data!B85</f>
        <v>10</v>
      </c>
      <c r="C85">
        <f>MAX(0,IF(AND(HOUR(A85)&gt;=6,HOUR(A85)&lt;=18),Assumptions!$B$8*SIN(PI()*(HOUR(A85)+MINUTE(A85)/60-6)/12),0))</f>
        <v>3.9157857666015596</v>
      </c>
      <c r="D85">
        <f t="shared" si="1"/>
        <v>6.0842142333984404</v>
      </c>
      <c r="E85">
        <f>MIN(B85,C85)*Assumptions!$B$2</f>
        <v>1.9578928833007798</v>
      </c>
      <c r="F85">
        <f>MAX(C85-B85,0)*Assumptions!$B$2</f>
        <v>0</v>
      </c>
      <c r="G85">
        <f>MAX(B85-C85,0)*Assumptions!$B$2</f>
        <v>3.0421071166992202</v>
      </c>
    </row>
    <row r="86" spans="1:7" x14ac:dyDescent="0.3">
      <c r="A86" s="5">
        <f>Raw_Load_Data!A86</f>
        <v>46205.750000000204</v>
      </c>
      <c r="B86">
        <f>Raw_Load_Data!B86</f>
        <v>15.4</v>
      </c>
      <c r="C86">
        <f>MAX(0,IF(AND(HOUR(A86)&gt;=6,HOUR(A86)&lt;=18),Assumptions!$B$8*SIN(PI()*(HOUR(A86)+MINUTE(A86)/60-6)/12),0))</f>
        <v>3.67544536472586E-15</v>
      </c>
      <c r="D86">
        <f t="shared" si="1"/>
        <v>15.399999999999997</v>
      </c>
      <c r="E86">
        <f>MIN(B86,C86)*Assumptions!$B$2</f>
        <v>1.83772268236293E-15</v>
      </c>
      <c r="F86">
        <f>MAX(C86-B86,0)*Assumptions!$B$2</f>
        <v>0</v>
      </c>
      <c r="G86">
        <f>MAX(B86-C86,0)*Assumptions!$B$2</f>
        <v>7.6999999999999984</v>
      </c>
    </row>
    <row r="87" spans="1:7" x14ac:dyDescent="0.3">
      <c r="A87" s="5">
        <f>Raw_Load_Data!A87</f>
        <v>46205.770833333539</v>
      </c>
      <c r="B87">
        <f>Raw_Load_Data!B87</f>
        <v>10.9</v>
      </c>
      <c r="C87">
        <f>MAX(0,IF(AND(HOUR(A87)&gt;=6,HOUR(A87)&lt;=18),Assumptions!$B$8*SIN(PI()*(HOUR(A87)+MINUTE(A87)/60-6)/12),0))</f>
        <v>0</v>
      </c>
      <c r="D87">
        <f t="shared" si="1"/>
        <v>10.9</v>
      </c>
      <c r="E87">
        <f>MIN(B87,C87)*Assumptions!$B$2</f>
        <v>0</v>
      </c>
      <c r="F87">
        <f>MAX(C87-B87,0)*Assumptions!$B$2</f>
        <v>0</v>
      </c>
      <c r="G87">
        <f>MAX(B87-C87,0)*Assumptions!$B$2</f>
        <v>5.45</v>
      </c>
    </row>
    <row r="88" spans="1:7" x14ac:dyDescent="0.3">
      <c r="A88" s="5">
        <f>Raw_Load_Data!A88</f>
        <v>46205.791666666875</v>
      </c>
      <c r="B88">
        <f>Raw_Load_Data!B88</f>
        <v>3.2</v>
      </c>
      <c r="C88">
        <f>MAX(0,IF(AND(HOUR(A88)&gt;=6,HOUR(A88)&lt;=18),Assumptions!$B$8*SIN(PI()*(HOUR(A88)+MINUTE(A88)/60-6)/12),0))</f>
        <v>0</v>
      </c>
      <c r="D88">
        <f t="shared" si="1"/>
        <v>3.2</v>
      </c>
      <c r="E88">
        <f>MIN(B88,C88)*Assumptions!$B$2</f>
        <v>0</v>
      </c>
      <c r="F88">
        <f>MAX(C88-B88,0)*Assumptions!$B$2</f>
        <v>0</v>
      </c>
      <c r="G88">
        <f>MAX(B88-C88,0)*Assumptions!$B$2</f>
        <v>1.6</v>
      </c>
    </row>
    <row r="89" spans="1:7" x14ac:dyDescent="0.3">
      <c r="A89" s="5">
        <f>Raw_Load_Data!A89</f>
        <v>46205.812500000211</v>
      </c>
      <c r="B89">
        <f>Raw_Load_Data!B89</f>
        <v>5.9</v>
      </c>
      <c r="C89">
        <f>MAX(0,IF(AND(HOUR(A89)&gt;=6,HOUR(A89)&lt;=18),Assumptions!$B$8*SIN(PI()*(HOUR(A89)+MINUTE(A89)/60-6)/12),0))</f>
        <v>0</v>
      </c>
      <c r="D89">
        <f t="shared" si="1"/>
        <v>5.9</v>
      </c>
      <c r="E89">
        <f>MIN(B89,C89)*Assumptions!$B$2</f>
        <v>0</v>
      </c>
      <c r="F89">
        <f>MAX(C89-B89,0)*Assumptions!$B$2</f>
        <v>0</v>
      </c>
      <c r="G89">
        <f>MAX(B89-C89,0)*Assumptions!$B$2</f>
        <v>2.95</v>
      </c>
    </row>
    <row r="90" spans="1:7" x14ac:dyDescent="0.3">
      <c r="A90" s="5">
        <f>Raw_Load_Data!A90</f>
        <v>46205.833333333547</v>
      </c>
      <c r="B90">
        <f>Raw_Load_Data!B90</f>
        <v>4.4000000000000004</v>
      </c>
      <c r="C90">
        <f>MAX(0,IF(AND(HOUR(A90)&gt;=6,HOUR(A90)&lt;=18),Assumptions!$B$8*SIN(PI()*(HOUR(A90)+MINUTE(A90)/60-6)/12),0))</f>
        <v>0</v>
      </c>
      <c r="D90">
        <f t="shared" si="1"/>
        <v>4.4000000000000004</v>
      </c>
      <c r="E90">
        <f>MIN(B90,C90)*Assumptions!$B$2</f>
        <v>0</v>
      </c>
      <c r="F90">
        <f>MAX(C90-B90,0)*Assumptions!$B$2</f>
        <v>0</v>
      </c>
      <c r="G90">
        <f>MAX(B90-C90,0)*Assumptions!$B$2</f>
        <v>2.2000000000000002</v>
      </c>
    </row>
    <row r="91" spans="1:7" x14ac:dyDescent="0.3">
      <c r="A91" s="5">
        <f>Raw_Load_Data!A91</f>
        <v>46205.854166666883</v>
      </c>
      <c r="B91">
        <f>Raw_Load_Data!B91</f>
        <v>5.4</v>
      </c>
      <c r="C91">
        <f>MAX(0,IF(AND(HOUR(A91)&gt;=6,HOUR(A91)&lt;=18),Assumptions!$B$8*SIN(PI()*(HOUR(A91)+MINUTE(A91)/60-6)/12),0))</f>
        <v>0</v>
      </c>
      <c r="D91">
        <f t="shared" si="1"/>
        <v>5.4</v>
      </c>
      <c r="E91">
        <f>MIN(B91,C91)*Assumptions!$B$2</f>
        <v>0</v>
      </c>
      <c r="F91">
        <f>MAX(C91-B91,0)*Assumptions!$B$2</f>
        <v>0</v>
      </c>
      <c r="G91">
        <f>MAX(B91-C91,0)*Assumptions!$B$2</f>
        <v>2.7</v>
      </c>
    </row>
    <row r="92" spans="1:7" x14ac:dyDescent="0.3">
      <c r="A92" s="5">
        <f>Raw_Load_Data!A92</f>
        <v>46205.875000000218</v>
      </c>
      <c r="B92">
        <f>Raw_Load_Data!B92</f>
        <v>3.2</v>
      </c>
      <c r="C92">
        <f>MAX(0,IF(AND(HOUR(A92)&gt;=6,HOUR(A92)&lt;=18),Assumptions!$B$8*SIN(PI()*(HOUR(A92)+MINUTE(A92)/60-6)/12),0))</f>
        <v>0</v>
      </c>
      <c r="D92">
        <f t="shared" si="1"/>
        <v>3.2</v>
      </c>
      <c r="E92">
        <f>MIN(B92,C92)*Assumptions!$B$2</f>
        <v>0</v>
      </c>
      <c r="F92">
        <f>MAX(C92-B92,0)*Assumptions!$B$2</f>
        <v>0</v>
      </c>
      <c r="G92">
        <f>MAX(B92-C92,0)*Assumptions!$B$2</f>
        <v>1.6</v>
      </c>
    </row>
    <row r="93" spans="1:7" x14ac:dyDescent="0.3">
      <c r="A93" s="5">
        <f>Raw_Load_Data!A93</f>
        <v>46205.895833333554</v>
      </c>
      <c r="B93">
        <f>Raw_Load_Data!B93</f>
        <v>7.5</v>
      </c>
      <c r="C93">
        <f>MAX(0,IF(AND(HOUR(A93)&gt;=6,HOUR(A93)&lt;=18),Assumptions!$B$8*SIN(PI()*(HOUR(A93)+MINUTE(A93)/60-6)/12),0))</f>
        <v>0</v>
      </c>
      <c r="D93">
        <f t="shared" si="1"/>
        <v>7.5</v>
      </c>
      <c r="E93">
        <f>MIN(B93,C93)*Assumptions!$B$2</f>
        <v>0</v>
      </c>
      <c r="F93">
        <f>MAX(C93-B93,0)*Assumptions!$B$2</f>
        <v>0</v>
      </c>
      <c r="G93">
        <f>MAX(B93-C93,0)*Assumptions!$B$2</f>
        <v>3.75</v>
      </c>
    </row>
    <row r="94" spans="1:7" x14ac:dyDescent="0.3">
      <c r="A94" s="5">
        <f>Raw_Load_Data!A94</f>
        <v>46205.91666666689</v>
      </c>
      <c r="B94">
        <f>Raw_Load_Data!B94</f>
        <v>3.8</v>
      </c>
      <c r="C94">
        <f>MAX(0,IF(AND(HOUR(A94)&gt;=6,HOUR(A94)&lt;=18),Assumptions!$B$8*SIN(PI()*(HOUR(A94)+MINUTE(A94)/60-6)/12),0))</f>
        <v>0</v>
      </c>
      <c r="D94">
        <f t="shared" si="1"/>
        <v>3.8</v>
      </c>
      <c r="E94">
        <f>MIN(B94,C94)*Assumptions!$B$2</f>
        <v>0</v>
      </c>
      <c r="F94">
        <f>MAX(C94-B94,0)*Assumptions!$B$2</f>
        <v>0</v>
      </c>
      <c r="G94">
        <f>MAX(B94-C94,0)*Assumptions!$B$2</f>
        <v>1.9</v>
      </c>
    </row>
    <row r="95" spans="1:7" x14ac:dyDescent="0.3">
      <c r="A95" s="5">
        <f>Raw_Load_Data!A95</f>
        <v>46205.937500000226</v>
      </c>
      <c r="B95">
        <f>Raw_Load_Data!B95</f>
        <v>7.4</v>
      </c>
      <c r="C95">
        <f>MAX(0,IF(AND(HOUR(A95)&gt;=6,HOUR(A95)&lt;=18),Assumptions!$B$8*SIN(PI()*(HOUR(A95)+MINUTE(A95)/60-6)/12),0))</f>
        <v>0</v>
      </c>
      <c r="D95">
        <f t="shared" si="1"/>
        <v>7.4</v>
      </c>
      <c r="E95">
        <f>MIN(B95,C95)*Assumptions!$B$2</f>
        <v>0</v>
      </c>
      <c r="F95">
        <f>MAX(C95-B95,0)*Assumptions!$B$2</f>
        <v>0</v>
      </c>
      <c r="G95">
        <f>MAX(B95-C95,0)*Assumptions!$B$2</f>
        <v>3.7</v>
      </c>
    </row>
    <row r="96" spans="1:7" x14ac:dyDescent="0.3">
      <c r="A96" s="5">
        <f>Raw_Load_Data!A96</f>
        <v>46205.958333333561</v>
      </c>
      <c r="B96">
        <f>Raw_Load_Data!B96</f>
        <v>7.4</v>
      </c>
      <c r="C96">
        <f>MAX(0,IF(AND(HOUR(A96)&gt;=6,HOUR(A96)&lt;=18),Assumptions!$B$8*SIN(PI()*(HOUR(A96)+MINUTE(A96)/60-6)/12),0))</f>
        <v>0</v>
      </c>
      <c r="D96">
        <f t="shared" si="1"/>
        <v>7.4</v>
      </c>
      <c r="E96">
        <f>MIN(B96,C96)*Assumptions!$B$2</f>
        <v>0</v>
      </c>
      <c r="F96">
        <f>MAX(C96-B96,0)*Assumptions!$B$2</f>
        <v>0</v>
      </c>
      <c r="G96">
        <f>MAX(B96-C96,0)*Assumptions!$B$2</f>
        <v>3.7</v>
      </c>
    </row>
    <row r="97" spans="1:7" x14ac:dyDescent="0.3">
      <c r="A97" s="5">
        <f>Raw_Load_Data!A97</f>
        <v>46205.979166666897</v>
      </c>
      <c r="B97">
        <f>Raw_Load_Data!B97</f>
        <v>3.3</v>
      </c>
      <c r="C97">
        <f>MAX(0,IF(AND(HOUR(A97)&gt;=6,HOUR(A97)&lt;=18),Assumptions!$B$8*SIN(PI()*(HOUR(A97)+MINUTE(A97)/60-6)/12),0))</f>
        <v>0</v>
      </c>
      <c r="D97">
        <f t="shared" si="1"/>
        <v>3.3</v>
      </c>
      <c r="E97">
        <f>MIN(B97,C97)*Assumptions!$B$2</f>
        <v>0</v>
      </c>
      <c r="F97">
        <f>MAX(C97-B97,0)*Assumptions!$B$2</f>
        <v>0</v>
      </c>
      <c r="G97">
        <f>MAX(B97-C97,0)*Assumptions!$B$2</f>
        <v>1.65</v>
      </c>
    </row>
    <row r="98" spans="1:7" x14ac:dyDescent="0.3">
      <c r="A98" s="5">
        <f>Raw_Load_Data!A98</f>
        <v>46206.000000000233</v>
      </c>
      <c r="B98">
        <f>Raw_Load_Data!B98</f>
        <v>2.1</v>
      </c>
      <c r="C98">
        <f>MAX(0,IF(AND(HOUR(A98)&gt;=6,HOUR(A98)&lt;=18),Assumptions!$B$8*SIN(PI()*(HOUR(A98)+MINUTE(A98)/60-6)/12),0))</f>
        <v>0</v>
      </c>
      <c r="D98">
        <f t="shared" si="1"/>
        <v>2.1</v>
      </c>
      <c r="E98">
        <f>MIN(B98,C98)*Assumptions!$B$2</f>
        <v>0</v>
      </c>
      <c r="F98">
        <f>MAX(C98-B98,0)*Assumptions!$B$2</f>
        <v>0</v>
      </c>
      <c r="G98">
        <f>MAX(B98-C98,0)*Assumptions!$B$2</f>
        <v>1.05</v>
      </c>
    </row>
    <row r="99" spans="1:7" x14ac:dyDescent="0.3">
      <c r="A99" s="5">
        <f>Raw_Load_Data!A99</f>
        <v>46206.020833333569</v>
      </c>
      <c r="B99">
        <f>Raw_Load_Data!B99</f>
        <v>2.2000000000000002</v>
      </c>
      <c r="C99">
        <f>MAX(0,IF(AND(HOUR(A99)&gt;=6,HOUR(A99)&lt;=18),Assumptions!$B$8*SIN(PI()*(HOUR(A99)+MINUTE(A99)/60-6)/12),0))</f>
        <v>0</v>
      </c>
      <c r="D99">
        <f t="shared" si="1"/>
        <v>2.2000000000000002</v>
      </c>
      <c r="E99">
        <f>MIN(B99,C99)*Assumptions!$B$2</f>
        <v>0</v>
      </c>
      <c r="F99">
        <f>MAX(C99-B99,0)*Assumptions!$B$2</f>
        <v>0</v>
      </c>
      <c r="G99">
        <f>MAX(B99-C99,0)*Assumptions!$B$2</f>
        <v>1.1000000000000001</v>
      </c>
    </row>
    <row r="100" spans="1:7" x14ac:dyDescent="0.3">
      <c r="A100" s="5">
        <f>Raw_Load_Data!A100</f>
        <v>46206.041666666904</v>
      </c>
      <c r="B100">
        <f>Raw_Load_Data!B100</f>
        <v>2.8</v>
      </c>
      <c r="C100">
        <f>MAX(0,IF(AND(HOUR(A100)&gt;=6,HOUR(A100)&lt;=18),Assumptions!$B$8*SIN(PI()*(HOUR(A100)+MINUTE(A100)/60-6)/12),0))</f>
        <v>0</v>
      </c>
      <c r="D100">
        <f t="shared" si="1"/>
        <v>2.8</v>
      </c>
      <c r="E100">
        <f>MIN(B100,C100)*Assumptions!$B$2</f>
        <v>0</v>
      </c>
      <c r="F100">
        <f>MAX(C100-B100,0)*Assumptions!$B$2</f>
        <v>0</v>
      </c>
      <c r="G100">
        <f>MAX(B100-C100,0)*Assumptions!$B$2</f>
        <v>1.4</v>
      </c>
    </row>
    <row r="101" spans="1:7" x14ac:dyDescent="0.3">
      <c r="A101" s="5">
        <f>Raw_Load_Data!A101</f>
        <v>46206.06250000024</v>
      </c>
      <c r="B101">
        <f>Raw_Load_Data!B101</f>
        <v>2.8</v>
      </c>
      <c r="C101">
        <f>MAX(0,IF(AND(HOUR(A101)&gt;=6,HOUR(A101)&lt;=18),Assumptions!$B$8*SIN(PI()*(HOUR(A101)+MINUTE(A101)/60-6)/12),0))</f>
        <v>0</v>
      </c>
      <c r="D101">
        <f t="shared" si="1"/>
        <v>2.8</v>
      </c>
      <c r="E101">
        <f>MIN(B101,C101)*Assumptions!$B$2</f>
        <v>0</v>
      </c>
      <c r="F101">
        <f>MAX(C101-B101,0)*Assumptions!$B$2</f>
        <v>0</v>
      </c>
      <c r="G101">
        <f>MAX(B101-C101,0)*Assumptions!$B$2</f>
        <v>1.4</v>
      </c>
    </row>
    <row r="102" spans="1:7" x14ac:dyDescent="0.3">
      <c r="A102" s="5">
        <f>Raw_Load_Data!A102</f>
        <v>46206.083333333576</v>
      </c>
      <c r="B102">
        <f>Raw_Load_Data!B102</f>
        <v>2.6</v>
      </c>
      <c r="C102">
        <f>MAX(0,IF(AND(HOUR(A102)&gt;=6,HOUR(A102)&lt;=18),Assumptions!$B$8*SIN(PI()*(HOUR(A102)+MINUTE(A102)/60-6)/12),0))</f>
        <v>0</v>
      </c>
      <c r="D102">
        <f t="shared" si="1"/>
        <v>2.6</v>
      </c>
      <c r="E102">
        <f>MIN(B102,C102)*Assumptions!$B$2</f>
        <v>0</v>
      </c>
      <c r="F102">
        <f>MAX(C102-B102,0)*Assumptions!$B$2</f>
        <v>0</v>
      </c>
      <c r="G102">
        <f>MAX(B102-C102,0)*Assumptions!$B$2</f>
        <v>1.3</v>
      </c>
    </row>
    <row r="103" spans="1:7" x14ac:dyDescent="0.3">
      <c r="A103" s="5">
        <f>Raw_Load_Data!A103</f>
        <v>46206.104166666912</v>
      </c>
      <c r="B103">
        <f>Raw_Load_Data!B103</f>
        <v>1.8</v>
      </c>
      <c r="C103">
        <f>MAX(0,IF(AND(HOUR(A103)&gt;=6,HOUR(A103)&lt;=18),Assumptions!$B$8*SIN(PI()*(HOUR(A103)+MINUTE(A103)/60-6)/12),0))</f>
        <v>0</v>
      </c>
      <c r="D103">
        <f t="shared" si="1"/>
        <v>1.8</v>
      </c>
      <c r="E103">
        <f>MIN(B103,C103)*Assumptions!$B$2</f>
        <v>0</v>
      </c>
      <c r="F103">
        <f>MAX(C103-B103,0)*Assumptions!$B$2</f>
        <v>0</v>
      </c>
      <c r="G103">
        <f>MAX(B103-C103,0)*Assumptions!$B$2</f>
        <v>0.9</v>
      </c>
    </row>
    <row r="104" spans="1:7" x14ac:dyDescent="0.3">
      <c r="A104" s="5">
        <f>Raw_Load_Data!A104</f>
        <v>46206.125000000247</v>
      </c>
      <c r="B104">
        <f>Raw_Load_Data!B104</f>
        <v>2.6</v>
      </c>
      <c r="C104">
        <f>MAX(0,IF(AND(HOUR(A104)&gt;=6,HOUR(A104)&lt;=18),Assumptions!$B$8*SIN(PI()*(HOUR(A104)+MINUTE(A104)/60-6)/12),0))</f>
        <v>0</v>
      </c>
      <c r="D104">
        <f t="shared" si="1"/>
        <v>2.6</v>
      </c>
      <c r="E104">
        <f>MIN(B104,C104)*Assumptions!$B$2</f>
        <v>0</v>
      </c>
      <c r="F104">
        <f>MAX(C104-B104,0)*Assumptions!$B$2</f>
        <v>0</v>
      </c>
      <c r="G104">
        <f>MAX(B104-C104,0)*Assumptions!$B$2</f>
        <v>1.3</v>
      </c>
    </row>
    <row r="105" spans="1:7" x14ac:dyDescent="0.3">
      <c r="A105" s="5">
        <f>Raw_Load_Data!A105</f>
        <v>46206.145833333583</v>
      </c>
      <c r="B105">
        <f>Raw_Load_Data!B105</f>
        <v>2.1</v>
      </c>
      <c r="C105">
        <f>MAX(0,IF(AND(HOUR(A105)&gt;=6,HOUR(A105)&lt;=18),Assumptions!$B$8*SIN(PI()*(HOUR(A105)+MINUTE(A105)/60-6)/12),0))</f>
        <v>0</v>
      </c>
      <c r="D105">
        <f t="shared" si="1"/>
        <v>2.1</v>
      </c>
      <c r="E105">
        <f>MIN(B105,C105)*Assumptions!$B$2</f>
        <v>0</v>
      </c>
      <c r="F105">
        <f>MAX(C105-B105,0)*Assumptions!$B$2</f>
        <v>0</v>
      </c>
      <c r="G105">
        <f>MAX(B105-C105,0)*Assumptions!$B$2</f>
        <v>1.05</v>
      </c>
    </row>
    <row r="106" spans="1:7" x14ac:dyDescent="0.3">
      <c r="A106" s="5">
        <f>Raw_Load_Data!A106</f>
        <v>46206.166666666919</v>
      </c>
      <c r="B106">
        <f>Raw_Load_Data!B106</f>
        <v>2.2999999999999998</v>
      </c>
      <c r="C106">
        <f>MAX(0,IF(AND(HOUR(A106)&gt;=6,HOUR(A106)&lt;=18),Assumptions!$B$8*SIN(PI()*(HOUR(A106)+MINUTE(A106)/60-6)/12),0))</f>
        <v>0</v>
      </c>
      <c r="D106">
        <f t="shared" si="1"/>
        <v>2.2999999999999998</v>
      </c>
      <c r="E106">
        <f>MIN(B106,C106)*Assumptions!$B$2</f>
        <v>0</v>
      </c>
      <c r="F106">
        <f>MAX(C106-B106,0)*Assumptions!$B$2</f>
        <v>0</v>
      </c>
      <c r="G106">
        <f>MAX(B106-C106,0)*Assumptions!$B$2</f>
        <v>1.1499999999999999</v>
      </c>
    </row>
    <row r="107" spans="1:7" x14ac:dyDescent="0.3">
      <c r="A107" s="5">
        <f>Raw_Load_Data!A107</f>
        <v>46206.187500000255</v>
      </c>
      <c r="B107">
        <f>Raw_Load_Data!B107</f>
        <v>2.2000000000000002</v>
      </c>
      <c r="C107">
        <f>MAX(0,IF(AND(HOUR(A107)&gt;=6,HOUR(A107)&lt;=18),Assumptions!$B$8*SIN(PI()*(HOUR(A107)+MINUTE(A107)/60-6)/12),0))</f>
        <v>0</v>
      </c>
      <c r="D107">
        <f t="shared" si="1"/>
        <v>2.2000000000000002</v>
      </c>
      <c r="E107">
        <f>MIN(B107,C107)*Assumptions!$B$2</f>
        <v>0</v>
      </c>
      <c r="F107">
        <f>MAX(C107-B107,0)*Assumptions!$B$2</f>
        <v>0</v>
      </c>
      <c r="G107">
        <f>MAX(B107-C107,0)*Assumptions!$B$2</f>
        <v>1.1000000000000001</v>
      </c>
    </row>
    <row r="108" spans="1:7" x14ac:dyDescent="0.3">
      <c r="A108" s="5">
        <f>Raw_Load_Data!A108</f>
        <v>46206.20833333359</v>
      </c>
      <c r="B108">
        <f>Raw_Load_Data!B108</f>
        <v>1.9</v>
      </c>
      <c r="C108">
        <f>MAX(0,IF(AND(HOUR(A108)&gt;=6,HOUR(A108)&lt;=18),Assumptions!$B$8*SIN(PI()*(HOUR(A108)+MINUTE(A108)/60-6)/12),0))</f>
        <v>0</v>
      </c>
      <c r="D108">
        <f t="shared" si="1"/>
        <v>1.9</v>
      </c>
      <c r="E108">
        <f>MIN(B108,C108)*Assumptions!$B$2</f>
        <v>0</v>
      </c>
      <c r="F108">
        <f>MAX(C108-B108,0)*Assumptions!$B$2</f>
        <v>0</v>
      </c>
      <c r="G108">
        <f>MAX(B108-C108,0)*Assumptions!$B$2</f>
        <v>0.95</v>
      </c>
    </row>
    <row r="109" spans="1:7" x14ac:dyDescent="0.3">
      <c r="A109" s="5">
        <f>Raw_Load_Data!A109</f>
        <v>46206.229166666926</v>
      </c>
      <c r="B109">
        <f>Raw_Load_Data!B109</f>
        <v>2.8</v>
      </c>
      <c r="C109">
        <f>MAX(0,IF(AND(HOUR(A109)&gt;=6,HOUR(A109)&lt;=18),Assumptions!$B$8*SIN(PI()*(HOUR(A109)+MINUTE(A109)/60-6)/12),0))</f>
        <v>0</v>
      </c>
      <c r="D109">
        <f t="shared" si="1"/>
        <v>2.8</v>
      </c>
      <c r="E109">
        <f>MIN(B109,C109)*Assumptions!$B$2</f>
        <v>0</v>
      </c>
      <c r="F109">
        <f>MAX(C109-B109,0)*Assumptions!$B$2</f>
        <v>0</v>
      </c>
      <c r="G109">
        <f>MAX(B109-C109,0)*Assumptions!$B$2</f>
        <v>1.4</v>
      </c>
    </row>
    <row r="110" spans="1:7" x14ac:dyDescent="0.3">
      <c r="A110" s="5">
        <f>Raw_Load_Data!A110</f>
        <v>46206.250000000262</v>
      </c>
      <c r="B110">
        <f>Raw_Load_Data!B110</f>
        <v>5.5</v>
      </c>
      <c r="C110">
        <f>MAX(0,IF(AND(HOUR(A110)&gt;=6,HOUR(A110)&lt;=18),Assumptions!$B$8*SIN(PI()*(HOUR(A110)+MINUTE(A110)/60-6)/12),0))</f>
        <v>0</v>
      </c>
      <c r="D110">
        <f t="shared" si="1"/>
        <v>5.5</v>
      </c>
      <c r="E110">
        <f>MIN(B110,C110)*Assumptions!$B$2</f>
        <v>0</v>
      </c>
      <c r="F110">
        <f>MAX(C110-B110,0)*Assumptions!$B$2</f>
        <v>0</v>
      </c>
      <c r="G110">
        <f>MAX(B110-C110,0)*Assumptions!$B$2</f>
        <v>2.75</v>
      </c>
    </row>
    <row r="111" spans="1:7" x14ac:dyDescent="0.3">
      <c r="A111" s="5">
        <f>Raw_Load_Data!A111</f>
        <v>46206.270833333598</v>
      </c>
      <c r="B111">
        <f>Raw_Load_Data!B111</f>
        <v>6.2</v>
      </c>
      <c r="C111">
        <f>MAX(0,IF(AND(HOUR(A111)&gt;=6,HOUR(A111)&lt;=18),Assumptions!$B$8*SIN(PI()*(HOUR(A111)+MINUTE(A111)/60-6)/12),0))</f>
        <v>3.9157857666015472</v>
      </c>
      <c r="D111">
        <f t="shared" si="1"/>
        <v>2.284214233398453</v>
      </c>
      <c r="E111">
        <f>MIN(B111,C111)*Assumptions!$B$2</f>
        <v>1.9578928833007736</v>
      </c>
      <c r="F111">
        <f>MAX(C111-B111,0)*Assumptions!$B$2</f>
        <v>0</v>
      </c>
      <c r="G111">
        <f>MAX(B111-C111,0)*Assumptions!$B$2</f>
        <v>1.1421071166992265</v>
      </c>
    </row>
    <row r="112" spans="1:7" x14ac:dyDescent="0.3">
      <c r="A112" s="5">
        <f>Raw_Load_Data!A112</f>
        <v>46206.291666666933</v>
      </c>
      <c r="B112">
        <f>Raw_Load_Data!B112</f>
        <v>6.7</v>
      </c>
      <c r="C112">
        <f>MAX(0,IF(AND(HOUR(A112)&gt;=6,HOUR(A112)&lt;=18),Assumptions!$B$8*SIN(PI()*(HOUR(A112)+MINUTE(A112)/60-6)/12),0))</f>
        <v>7.7645713530756222</v>
      </c>
      <c r="D112">
        <f t="shared" si="1"/>
        <v>-1.064571353075622</v>
      </c>
      <c r="E112">
        <f>MIN(B112,C112)*Assumptions!$B$2</f>
        <v>3.35</v>
      </c>
      <c r="F112">
        <f>MAX(C112-B112,0)*Assumptions!$B$2</f>
        <v>0.532285676537811</v>
      </c>
      <c r="G112">
        <f>MAX(B112-C112,0)*Assumptions!$B$2</f>
        <v>0</v>
      </c>
    </row>
    <row r="113" spans="1:7" x14ac:dyDescent="0.3">
      <c r="A113" s="5">
        <f>Raw_Load_Data!A113</f>
        <v>46206.312500000269</v>
      </c>
      <c r="B113">
        <f>Raw_Load_Data!B113</f>
        <v>4.2</v>
      </c>
      <c r="C113">
        <f>MAX(0,IF(AND(HOUR(A113)&gt;=6,HOUR(A113)&lt;=18),Assumptions!$B$8*SIN(PI()*(HOUR(A113)+MINUTE(A113)/60-6)/12),0))</f>
        <v>11.480502970952694</v>
      </c>
      <c r="D113">
        <f t="shared" si="1"/>
        <v>-7.2805029709526936</v>
      </c>
      <c r="E113">
        <f>MIN(B113,C113)*Assumptions!$B$2</f>
        <v>2.1</v>
      </c>
      <c r="F113">
        <f>MAX(C113-B113,0)*Assumptions!$B$2</f>
        <v>3.6402514854763468</v>
      </c>
      <c r="G113">
        <f>MAX(B113-C113,0)*Assumptions!$B$2</f>
        <v>0</v>
      </c>
    </row>
    <row r="114" spans="1:7" x14ac:dyDescent="0.3">
      <c r="A114" s="5">
        <f>Raw_Load_Data!A114</f>
        <v>46206.333333333605</v>
      </c>
      <c r="B114">
        <f>Raw_Load_Data!B114</f>
        <v>16.399999999999999</v>
      </c>
      <c r="C114">
        <f>MAX(0,IF(AND(HOUR(A114)&gt;=6,HOUR(A114)&lt;=18),Assumptions!$B$8*SIN(PI()*(HOUR(A114)+MINUTE(A114)/60-6)/12),0))</f>
        <v>14.999999999999998</v>
      </c>
      <c r="D114">
        <f t="shared" si="1"/>
        <v>1.4000000000000004</v>
      </c>
      <c r="E114">
        <f>MIN(B114,C114)*Assumptions!$B$2</f>
        <v>7.4999999999999991</v>
      </c>
      <c r="F114">
        <f>MAX(C114-B114,0)*Assumptions!$B$2</f>
        <v>0</v>
      </c>
      <c r="G114">
        <f>MAX(B114-C114,0)*Assumptions!$B$2</f>
        <v>0.70000000000000018</v>
      </c>
    </row>
    <row r="115" spans="1:7" x14ac:dyDescent="0.3">
      <c r="A115" s="5">
        <f>Raw_Load_Data!A115</f>
        <v>46206.354166666941</v>
      </c>
      <c r="B115">
        <f>Raw_Load_Data!B115</f>
        <v>12.4</v>
      </c>
      <c r="C115">
        <f>MAX(0,IF(AND(HOUR(A115)&gt;=6,HOUR(A115)&lt;=18),Assumptions!$B$8*SIN(PI()*(HOUR(A115)+MINUTE(A115)/60-6)/12),0))</f>
        <v>18.262842870261618</v>
      </c>
      <c r="D115">
        <f t="shared" si="1"/>
        <v>-5.862842870261618</v>
      </c>
      <c r="E115">
        <f>MIN(B115,C115)*Assumptions!$B$2</f>
        <v>6.2</v>
      </c>
      <c r="F115">
        <f>MAX(C115-B115,0)*Assumptions!$B$2</f>
        <v>2.931421435130809</v>
      </c>
      <c r="G115">
        <f>MAX(B115-C115,0)*Assumptions!$B$2</f>
        <v>0</v>
      </c>
    </row>
    <row r="116" spans="1:7" x14ac:dyDescent="0.3">
      <c r="A116" s="5">
        <f>Raw_Load_Data!A116</f>
        <v>46206.375000000276</v>
      </c>
      <c r="B116">
        <f>Raw_Load_Data!B116</f>
        <v>12.5</v>
      </c>
      <c r="C116">
        <f>MAX(0,IF(AND(HOUR(A116)&gt;=6,HOUR(A116)&lt;=18),Assumptions!$B$8*SIN(PI()*(HOUR(A116)+MINUTE(A116)/60-6)/12),0))</f>
        <v>21.213203435596423</v>
      </c>
      <c r="D116">
        <f t="shared" si="1"/>
        <v>-8.713203435596423</v>
      </c>
      <c r="E116">
        <f>MIN(B116,C116)*Assumptions!$B$2</f>
        <v>6.25</v>
      </c>
      <c r="F116">
        <f>MAX(C116-B116,0)*Assumptions!$B$2</f>
        <v>4.3566017177982115</v>
      </c>
      <c r="G116">
        <f>MAX(B116-C116,0)*Assumptions!$B$2</f>
        <v>0</v>
      </c>
    </row>
    <row r="117" spans="1:7" x14ac:dyDescent="0.3">
      <c r="A117" s="5">
        <f>Raw_Load_Data!A117</f>
        <v>46206.395833333612</v>
      </c>
      <c r="B117">
        <f>Raw_Load_Data!B117</f>
        <v>15.6</v>
      </c>
      <c r="C117">
        <f>MAX(0,IF(AND(HOUR(A117)&gt;=6,HOUR(A117)&lt;=18),Assumptions!$B$8*SIN(PI()*(HOUR(A117)+MINUTE(A117)/60-6)/12),0))</f>
        <v>23.800600208737055</v>
      </c>
      <c r="D117">
        <f t="shared" si="1"/>
        <v>-8.2006002087370558</v>
      </c>
      <c r="E117">
        <f>MIN(B117,C117)*Assumptions!$B$2</f>
        <v>7.8</v>
      </c>
      <c r="F117">
        <f>MAX(C117-B117,0)*Assumptions!$B$2</f>
        <v>4.1003001043685279</v>
      </c>
      <c r="G117">
        <f>MAX(B117-C117,0)*Assumptions!$B$2</f>
        <v>0</v>
      </c>
    </row>
    <row r="118" spans="1:7" x14ac:dyDescent="0.3">
      <c r="A118" s="5">
        <f>Raw_Load_Data!A118</f>
        <v>46206.416666666948</v>
      </c>
      <c r="B118">
        <f>Raw_Load_Data!B118</f>
        <v>15.3</v>
      </c>
      <c r="C118">
        <f>MAX(0,IF(AND(HOUR(A118)&gt;=6,HOUR(A118)&lt;=18),Assumptions!$B$8*SIN(PI()*(HOUR(A118)+MINUTE(A118)/60-6)/12),0))</f>
        <v>25.980762113533157</v>
      </c>
      <c r="D118">
        <f t="shared" si="1"/>
        <v>-10.680762113533156</v>
      </c>
      <c r="E118">
        <f>MIN(B118,C118)*Assumptions!$B$2</f>
        <v>7.65</v>
      </c>
      <c r="F118">
        <f>MAX(C118-B118,0)*Assumptions!$B$2</f>
        <v>5.3403810567665779</v>
      </c>
      <c r="G118">
        <f>MAX(B118-C118,0)*Assumptions!$B$2</f>
        <v>0</v>
      </c>
    </row>
    <row r="119" spans="1:7" x14ac:dyDescent="0.3">
      <c r="A119" s="5">
        <f>Raw_Load_Data!A119</f>
        <v>46206.437500000284</v>
      </c>
      <c r="B119">
        <f>Raw_Load_Data!B119</f>
        <v>12.7</v>
      </c>
      <c r="C119">
        <f>MAX(0,IF(AND(HOUR(A119)&gt;=6,HOUR(A119)&lt;=18),Assumptions!$B$8*SIN(PI()*(HOUR(A119)+MINUTE(A119)/60-6)/12),0))</f>
        <v>27.716385975338603</v>
      </c>
      <c r="D119">
        <f t="shared" si="1"/>
        <v>-15.016385975338604</v>
      </c>
      <c r="E119">
        <f>MIN(B119,C119)*Assumptions!$B$2</f>
        <v>6.35</v>
      </c>
      <c r="F119">
        <f>MAX(C119-B119,0)*Assumptions!$B$2</f>
        <v>7.5081929876693021</v>
      </c>
      <c r="G119">
        <f>MAX(B119-C119,0)*Assumptions!$B$2</f>
        <v>0</v>
      </c>
    </row>
    <row r="120" spans="1:7" x14ac:dyDescent="0.3">
      <c r="A120" s="5">
        <f>Raw_Load_Data!A120</f>
        <v>46206.45833333362</v>
      </c>
      <c r="B120">
        <f>Raw_Load_Data!B120</f>
        <v>18.600000000000001</v>
      </c>
      <c r="C120">
        <f>MAX(0,IF(AND(HOUR(A120)&gt;=6,HOUR(A120)&lt;=18),Assumptions!$B$8*SIN(PI()*(HOUR(A120)+MINUTE(A120)/60-6)/12),0))</f>
        <v>28.97777478867205</v>
      </c>
      <c r="D120">
        <f t="shared" si="1"/>
        <v>-10.377774788672049</v>
      </c>
      <c r="E120">
        <f>MIN(B120,C120)*Assumptions!$B$2</f>
        <v>9.3000000000000007</v>
      </c>
      <c r="F120">
        <f>MAX(C120-B120,0)*Assumptions!$B$2</f>
        <v>5.1888873943360245</v>
      </c>
      <c r="G120">
        <f>MAX(B120-C120,0)*Assumptions!$B$2</f>
        <v>0</v>
      </c>
    </row>
    <row r="121" spans="1:7" x14ac:dyDescent="0.3">
      <c r="A121" s="5">
        <f>Raw_Load_Data!A121</f>
        <v>46206.479166666955</v>
      </c>
      <c r="B121">
        <f>Raw_Load_Data!B121</f>
        <v>21.5</v>
      </c>
      <c r="C121">
        <f>MAX(0,IF(AND(HOUR(A121)&gt;=6,HOUR(A121)&lt;=18),Assumptions!$B$8*SIN(PI()*(HOUR(A121)+MINUTE(A121)/60-6)/12),0))</f>
        <v>29.74334584121431</v>
      </c>
      <c r="D121">
        <f t="shared" si="1"/>
        <v>-8.2433458412143104</v>
      </c>
      <c r="E121">
        <f>MIN(B121,C121)*Assumptions!$B$2</f>
        <v>10.75</v>
      </c>
      <c r="F121">
        <f>MAX(C121-B121,0)*Assumptions!$B$2</f>
        <v>4.1216729206071552</v>
      </c>
      <c r="G121">
        <f>MAX(B121-C121,0)*Assumptions!$B$2</f>
        <v>0</v>
      </c>
    </row>
    <row r="122" spans="1:7" x14ac:dyDescent="0.3">
      <c r="A122" s="5">
        <f>Raw_Load_Data!A122</f>
        <v>46206.500000000291</v>
      </c>
      <c r="B122">
        <f>Raw_Load_Data!B122</f>
        <v>34</v>
      </c>
      <c r="C122">
        <f>MAX(0,IF(AND(HOUR(A122)&gt;=6,HOUR(A122)&lt;=18),Assumptions!$B$8*SIN(PI()*(HOUR(A122)+MINUTE(A122)/60-6)/12),0))</f>
        <v>30</v>
      </c>
      <c r="D122">
        <f t="shared" si="1"/>
        <v>4</v>
      </c>
      <c r="E122">
        <f>MIN(B122,C122)*Assumptions!$B$2</f>
        <v>15</v>
      </c>
      <c r="F122">
        <f>MAX(C122-B122,0)*Assumptions!$B$2</f>
        <v>0</v>
      </c>
      <c r="G122">
        <f>MAX(B122-C122,0)*Assumptions!$B$2</f>
        <v>2</v>
      </c>
    </row>
    <row r="123" spans="1:7" x14ac:dyDescent="0.3">
      <c r="A123" s="5">
        <f>Raw_Load_Data!A123</f>
        <v>46206.520833333627</v>
      </c>
      <c r="B123">
        <f>Raw_Load_Data!B123</f>
        <v>31.7</v>
      </c>
      <c r="C123">
        <f>MAX(0,IF(AND(HOUR(A123)&gt;=6,HOUR(A123)&lt;=18),Assumptions!$B$8*SIN(PI()*(HOUR(A123)+MINUTE(A123)/60-6)/12),0))</f>
        <v>29.74334584121431</v>
      </c>
      <c r="D123">
        <f t="shared" si="1"/>
        <v>1.9566541587856889</v>
      </c>
      <c r="E123">
        <f>MIN(B123,C123)*Assumptions!$B$2</f>
        <v>14.871672920607155</v>
      </c>
      <c r="F123">
        <f>MAX(C123-B123,0)*Assumptions!$B$2</f>
        <v>0</v>
      </c>
      <c r="G123">
        <f>MAX(B123-C123,0)*Assumptions!$B$2</f>
        <v>0.97832707939284447</v>
      </c>
    </row>
    <row r="124" spans="1:7" x14ac:dyDescent="0.3">
      <c r="A124" s="5">
        <f>Raw_Load_Data!A124</f>
        <v>46206.541666666963</v>
      </c>
      <c r="B124">
        <f>Raw_Load_Data!B124</f>
        <v>32.1</v>
      </c>
      <c r="C124">
        <f>MAX(0,IF(AND(HOUR(A124)&gt;=6,HOUR(A124)&lt;=18),Assumptions!$B$8*SIN(PI()*(HOUR(A124)+MINUTE(A124)/60-6)/12),0))</f>
        <v>28.97777478867205</v>
      </c>
      <c r="D124">
        <f t="shared" si="1"/>
        <v>3.1222252113279509</v>
      </c>
      <c r="E124">
        <f>MIN(B124,C124)*Assumptions!$B$2</f>
        <v>14.488887394336025</v>
      </c>
      <c r="F124">
        <f>MAX(C124-B124,0)*Assumptions!$B$2</f>
        <v>0</v>
      </c>
      <c r="G124">
        <f>MAX(B124-C124,0)*Assumptions!$B$2</f>
        <v>1.5611126056639755</v>
      </c>
    </row>
    <row r="125" spans="1:7" x14ac:dyDescent="0.3">
      <c r="A125" s="5">
        <f>Raw_Load_Data!A125</f>
        <v>46206.562500000298</v>
      </c>
      <c r="B125">
        <f>Raw_Load_Data!B125</f>
        <v>22.8</v>
      </c>
      <c r="C125">
        <f>MAX(0,IF(AND(HOUR(A125)&gt;=6,HOUR(A125)&lt;=18),Assumptions!$B$8*SIN(PI()*(HOUR(A125)+MINUTE(A125)/60-6)/12),0))</f>
        <v>27.716385975338607</v>
      </c>
      <c r="D125">
        <f t="shared" si="1"/>
        <v>-4.9163859753386063</v>
      </c>
      <c r="E125">
        <f>MIN(B125,C125)*Assumptions!$B$2</f>
        <v>11.4</v>
      </c>
      <c r="F125">
        <f>MAX(C125-B125,0)*Assumptions!$B$2</f>
        <v>2.4581929876693032</v>
      </c>
      <c r="G125">
        <f>MAX(B125-C125,0)*Assumptions!$B$2</f>
        <v>0</v>
      </c>
    </row>
    <row r="126" spans="1:7" x14ac:dyDescent="0.3">
      <c r="A126" s="5">
        <f>Raw_Load_Data!A126</f>
        <v>46206.583333333634</v>
      </c>
      <c r="B126">
        <f>Raw_Load_Data!B126</f>
        <v>34.299999999999997</v>
      </c>
      <c r="C126">
        <f>MAX(0,IF(AND(HOUR(A126)&gt;=6,HOUR(A126)&lt;=18),Assumptions!$B$8*SIN(PI()*(HOUR(A126)+MINUTE(A126)/60-6)/12),0))</f>
        <v>25.98076211353316</v>
      </c>
      <c r="D126">
        <f t="shared" si="1"/>
        <v>8.319237886466837</v>
      </c>
      <c r="E126">
        <f>MIN(B126,C126)*Assumptions!$B$2</f>
        <v>12.99038105676658</v>
      </c>
      <c r="F126">
        <f>MAX(C126-B126,0)*Assumptions!$B$2</f>
        <v>0</v>
      </c>
      <c r="G126">
        <f>MAX(B126-C126,0)*Assumptions!$B$2</f>
        <v>4.1596189432334185</v>
      </c>
    </row>
    <row r="127" spans="1:7" x14ac:dyDescent="0.3">
      <c r="A127" s="5">
        <f>Raw_Load_Data!A127</f>
        <v>46206.60416666697</v>
      </c>
      <c r="B127">
        <f>Raw_Load_Data!B127</f>
        <v>20.100000000000001</v>
      </c>
      <c r="C127">
        <f>MAX(0,IF(AND(HOUR(A127)&gt;=6,HOUR(A127)&lt;=18),Assumptions!$B$8*SIN(PI()*(HOUR(A127)+MINUTE(A127)/60-6)/12),0))</f>
        <v>23.800600208737055</v>
      </c>
      <c r="D127">
        <f t="shared" si="1"/>
        <v>-3.700600208737054</v>
      </c>
      <c r="E127">
        <f>MIN(B127,C127)*Assumptions!$B$2</f>
        <v>10.050000000000001</v>
      </c>
      <c r="F127">
        <f>MAX(C127-B127,0)*Assumptions!$B$2</f>
        <v>1.850300104368527</v>
      </c>
      <c r="G127">
        <f>MAX(B127-C127,0)*Assumptions!$B$2</f>
        <v>0</v>
      </c>
    </row>
    <row r="128" spans="1:7" x14ac:dyDescent="0.3">
      <c r="A128" s="5">
        <f>Raw_Load_Data!A128</f>
        <v>46206.625000000306</v>
      </c>
      <c r="B128">
        <f>Raw_Load_Data!B128</f>
        <v>22.7</v>
      </c>
      <c r="C128">
        <f>MAX(0,IF(AND(HOUR(A128)&gt;=6,HOUR(A128)&lt;=18),Assumptions!$B$8*SIN(PI()*(HOUR(A128)+MINUTE(A128)/60-6)/12),0))</f>
        <v>21.213203435596427</v>
      </c>
      <c r="D128">
        <f t="shared" si="1"/>
        <v>1.4867965644035728</v>
      </c>
      <c r="E128">
        <f>MIN(B128,C128)*Assumptions!$B$2</f>
        <v>10.606601717798213</v>
      </c>
      <c r="F128">
        <f>MAX(C128-B128,0)*Assumptions!$B$2</f>
        <v>0</v>
      </c>
      <c r="G128">
        <f>MAX(B128-C128,0)*Assumptions!$B$2</f>
        <v>0.74339828220178639</v>
      </c>
    </row>
    <row r="129" spans="1:7" x14ac:dyDescent="0.3">
      <c r="A129" s="5">
        <f>Raw_Load_Data!A129</f>
        <v>46206.645833333641</v>
      </c>
      <c r="B129">
        <f>Raw_Load_Data!B129</f>
        <v>23</v>
      </c>
      <c r="C129">
        <f>MAX(0,IF(AND(HOUR(A129)&gt;=6,HOUR(A129)&lt;=18),Assumptions!$B$8*SIN(PI()*(HOUR(A129)+MINUTE(A129)/60-6)/12),0))</f>
        <v>18.262842870261625</v>
      </c>
      <c r="D129">
        <f t="shared" si="1"/>
        <v>4.7371571297383746</v>
      </c>
      <c r="E129">
        <f>MIN(B129,C129)*Assumptions!$B$2</f>
        <v>9.1314214351308127</v>
      </c>
      <c r="F129">
        <f>MAX(C129-B129,0)*Assumptions!$B$2</f>
        <v>0</v>
      </c>
      <c r="G129">
        <f>MAX(B129-C129,0)*Assumptions!$B$2</f>
        <v>2.3685785648691873</v>
      </c>
    </row>
    <row r="130" spans="1:7" x14ac:dyDescent="0.3">
      <c r="A130" s="5">
        <f>Raw_Load_Data!A130</f>
        <v>46206.666666666977</v>
      </c>
      <c r="B130">
        <f>Raw_Load_Data!B130</f>
        <v>16.5</v>
      </c>
      <c r="C130">
        <f>MAX(0,IF(AND(HOUR(A130)&gt;=6,HOUR(A130)&lt;=18),Assumptions!$B$8*SIN(PI()*(HOUR(A130)+MINUTE(A130)/60-6)/12),0))</f>
        <v>14.999999999999998</v>
      </c>
      <c r="D130">
        <f t="shared" si="1"/>
        <v>1.5000000000000018</v>
      </c>
      <c r="E130">
        <f>MIN(B130,C130)*Assumptions!$B$2</f>
        <v>7.4999999999999991</v>
      </c>
      <c r="F130">
        <f>MAX(C130-B130,0)*Assumptions!$B$2</f>
        <v>0</v>
      </c>
      <c r="G130">
        <f>MAX(B130-C130,0)*Assumptions!$B$2</f>
        <v>0.75000000000000089</v>
      </c>
    </row>
    <row r="131" spans="1:7" x14ac:dyDescent="0.3">
      <c r="A131" s="5">
        <f>Raw_Load_Data!A131</f>
        <v>46206.687500000313</v>
      </c>
      <c r="B131">
        <f>Raw_Load_Data!B131</f>
        <v>16.3</v>
      </c>
      <c r="C131">
        <f>MAX(0,IF(AND(HOUR(A131)&gt;=6,HOUR(A131)&lt;=18),Assumptions!$B$8*SIN(PI()*(HOUR(A131)+MINUTE(A131)/60-6)/12),0))</f>
        <v>11.480502970952697</v>
      </c>
      <c r="D131">
        <f t="shared" ref="D131:D194" si="2">B131-C131</f>
        <v>4.8194970290473034</v>
      </c>
      <c r="E131">
        <f>MIN(B131,C131)*Assumptions!$B$2</f>
        <v>5.7402514854763487</v>
      </c>
      <c r="F131">
        <f>MAX(C131-B131,0)*Assumptions!$B$2</f>
        <v>0</v>
      </c>
      <c r="G131">
        <f>MAX(B131-C131,0)*Assumptions!$B$2</f>
        <v>2.4097485145236517</v>
      </c>
    </row>
    <row r="132" spans="1:7" x14ac:dyDescent="0.3">
      <c r="A132" s="5">
        <f>Raw_Load_Data!A132</f>
        <v>46206.708333333649</v>
      </c>
      <c r="B132">
        <f>Raw_Load_Data!B132</f>
        <v>16.8</v>
      </c>
      <c r="C132">
        <f>MAX(0,IF(AND(HOUR(A132)&gt;=6,HOUR(A132)&lt;=18),Assumptions!$B$8*SIN(PI()*(HOUR(A132)+MINUTE(A132)/60-6)/12),0))</f>
        <v>7.7645713530756302</v>
      </c>
      <c r="D132">
        <f t="shared" si="2"/>
        <v>9.0354286469243696</v>
      </c>
      <c r="E132">
        <f>MIN(B132,C132)*Assumptions!$B$2</f>
        <v>3.8822856765378151</v>
      </c>
      <c r="F132">
        <f>MAX(C132-B132,0)*Assumptions!$B$2</f>
        <v>0</v>
      </c>
      <c r="G132">
        <f>MAX(B132-C132,0)*Assumptions!$B$2</f>
        <v>4.5177143234621848</v>
      </c>
    </row>
    <row r="133" spans="1:7" x14ac:dyDescent="0.3">
      <c r="A133" s="5">
        <f>Raw_Load_Data!A133</f>
        <v>46206.729166666984</v>
      </c>
      <c r="B133">
        <f>Raw_Load_Data!B133</f>
        <v>14</v>
      </c>
      <c r="C133">
        <f>MAX(0,IF(AND(HOUR(A133)&gt;=6,HOUR(A133)&lt;=18),Assumptions!$B$8*SIN(PI()*(HOUR(A133)+MINUTE(A133)/60-6)/12),0))</f>
        <v>3.9157857666015596</v>
      </c>
      <c r="D133">
        <f t="shared" si="2"/>
        <v>10.084214233398441</v>
      </c>
      <c r="E133">
        <f>MIN(B133,C133)*Assumptions!$B$2</f>
        <v>1.9578928833007798</v>
      </c>
      <c r="F133">
        <f>MAX(C133-B133,0)*Assumptions!$B$2</f>
        <v>0</v>
      </c>
      <c r="G133">
        <f>MAX(B133-C133,0)*Assumptions!$B$2</f>
        <v>5.0421071166992206</v>
      </c>
    </row>
    <row r="134" spans="1:7" x14ac:dyDescent="0.3">
      <c r="A134" s="5">
        <f>Raw_Load_Data!A134</f>
        <v>46206.75000000032</v>
      </c>
      <c r="B134">
        <f>Raw_Load_Data!B134</f>
        <v>18.2</v>
      </c>
      <c r="C134">
        <f>MAX(0,IF(AND(HOUR(A134)&gt;=6,HOUR(A134)&lt;=18),Assumptions!$B$8*SIN(PI()*(HOUR(A134)+MINUTE(A134)/60-6)/12),0))</f>
        <v>3.67544536472586E-15</v>
      </c>
      <c r="D134">
        <f t="shared" si="2"/>
        <v>18.199999999999996</v>
      </c>
      <c r="E134">
        <f>MIN(B134,C134)*Assumptions!$B$2</f>
        <v>1.83772268236293E-15</v>
      </c>
      <c r="F134">
        <f>MAX(C134-B134,0)*Assumptions!$B$2</f>
        <v>0</v>
      </c>
      <c r="G134">
        <f>MAX(B134-C134,0)*Assumptions!$B$2</f>
        <v>9.0999999999999979</v>
      </c>
    </row>
    <row r="135" spans="1:7" x14ac:dyDescent="0.3">
      <c r="A135" s="5">
        <f>Raw_Load_Data!A135</f>
        <v>46206.770833333656</v>
      </c>
      <c r="B135">
        <f>Raw_Load_Data!B135</f>
        <v>11.6</v>
      </c>
      <c r="C135">
        <f>MAX(0,IF(AND(HOUR(A135)&gt;=6,HOUR(A135)&lt;=18),Assumptions!$B$8*SIN(PI()*(HOUR(A135)+MINUTE(A135)/60-6)/12),0))</f>
        <v>0</v>
      </c>
      <c r="D135">
        <f t="shared" si="2"/>
        <v>11.6</v>
      </c>
      <c r="E135">
        <f>MIN(B135,C135)*Assumptions!$B$2</f>
        <v>0</v>
      </c>
      <c r="F135">
        <f>MAX(C135-B135,0)*Assumptions!$B$2</f>
        <v>0</v>
      </c>
      <c r="G135">
        <f>MAX(B135-C135,0)*Assumptions!$B$2</f>
        <v>5.8</v>
      </c>
    </row>
    <row r="136" spans="1:7" x14ac:dyDescent="0.3">
      <c r="A136" s="5">
        <f>Raw_Load_Data!A136</f>
        <v>46206.791666666992</v>
      </c>
      <c r="B136">
        <f>Raw_Load_Data!B136</f>
        <v>5.8</v>
      </c>
      <c r="C136">
        <f>MAX(0,IF(AND(HOUR(A136)&gt;=6,HOUR(A136)&lt;=18),Assumptions!$B$8*SIN(PI()*(HOUR(A136)+MINUTE(A136)/60-6)/12),0))</f>
        <v>0</v>
      </c>
      <c r="D136">
        <f t="shared" si="2"/>
        <v>5.8</v>
      </c>
      <c r="E136">
        <f>MIN(B136,C136)*Assumptions!$B$2</f>
        <v>0</v>
      </c>
      <c r="F136">
        <f>MAX(C136-B136,0)*Assumptions!$B$2</f>
        <v>0</v>
      </c>
      <c r="G136">
        <f>MAX(B136-C136,0)*Assumptions!$B$2</f>
        <v>2.9</v>
      </c>
    </row>
    <row r="137" spans="1:7" x14ac:dyDescent="0.3">
      <c r="A137" s="5">
        <f>Raw_Load_Data!A137</f>
        <v>46206.812500000327</v>
      </c>
      <c r="B137">
        <f>Raw_Load_Data!B137</f>
        <v>6.7</v>
      </c>
      <c r="C137">
        <f>MAX(0,IF(AND(HOUR(A137)&gt;=6,HOUR(A137)&lt;=18),Assumptions!$B$8*SIN(PI()*(HOUR(A137)+MINUTE(A137)/60-6)/12),0))</f>
        <v>0</v>
      </c>
      <c r="D137">
        <f t="shared" si="2"/>
        <v>6.7</v>
      </c>
      <c r="E137">
        <f>MIN(B137,C137)*Assumptions!$B$2</f>
        <v>0</v>
      </c>
      <c r="F137">
        <f>MAX(C137-B137,0)*Assumptions!$B$2</f>
        <v>0</v>
      </c>
      <c r="G137">
        <f>MAX(B137-C137,0)*Assumptions!$B$2</f>
        <v>3.35</v>
      </c>
    </row>
    <row r="138" spans="1:7" x14ac:dyDescent="0.3">
      <c r="A138" s="5">
        <f>Raw_Load_Data!A138</f>
        <v>46206.833333333663</v>
      </c>
      <c r="B138">
        <f>Raw_Load_Data!B138</f>
        <v>5.8</v>
      </c>
      <c r="C138">
        <f>MAX(0,IF(AND(HOUR(A138)&gt;=6,HOUR(A138)&lt;=18),Assumptions!$B$8*SIN(PI()*(HOUR(A138)+MINUTE(A138)/60-6)/12),0))</f>
        <v>0</v>
      </c>
      <c r="D138">
        <f t="shared" si="2"/>
        <v>5.8</v>
      </c>
      <c r="E138">
        <f>MIN(B138,C138)*Assumptions!$B$2</f>
        <v>0</v>
      </c>
      <c r="F138">
        <f>MAX(C138-B138,0)*Assumptions!$B$2</f>
        <v>0</v>
      </c>
      <c r="G138">
        <f>MAX(B138-C138,0)*Assumptions!$B$2</f>
        <v>2.9</v>
      </c>
    </row>
    <row r="139" spans="1:7" x14ac:dyDescent="0.3">
      <c r="A139" s="5">
        <f>Raw_Load_Data!A139</f>
        <v>46206.854166666999</v>
      </c>
      <c r="B139">
        <f>Raw_Load_Data!B139</f>
        <v>4.5</v>
      </c>
      <c r="C139">
        <f>MAX(0,IF(AND(HOUR(A139)&gt;=6,HOUR(A139)&lt;=18),Assumptions!$B$8*SIN(PI()*(HOUR(A139)+MINUTE(A139)/60-6)/12),0))</f>
        <v>0</v>
      </c>
      <c r="D139">
        <f t="shared" si="2"/>
        <v>4.5</v>
      </c>
      <c r="E139">
        <f>MIN(B139,C139)*Assumptions!$B$2</f>
        <v>0</v>
      </c>
      <c r="F139">
        <f>MAX(C139-B139,0)*Assumptions!$B$2</f>
        <v>0</v>
      </c>
      <c r="G139">
        <f>MAX(B139-C139,0)*Assumptions!$B$2</f>
        <v>2.25</v>
      </c>
    </row>
    <row r="140" spans="1:7" x14ac:dyDescent="0.3">
      <c r="A140" s="5">
        <f>Raw_Load_Data!A140</f>
        <v>46206.875000000335</v>
      </c>
      <c r="B140">
        <f>Raw_Load_Data!B140</f>
        <v>5.7</v>
      </c>
      <c r="C140">
        <f>MAX(0,IF(AND(HOUR(A140)&gt;=6,HOUR(A140)&lt;=18),Assumptions!$B$8*SIN(PI()*(HOUR(A140)+MINUTE(A140)/60-6)/12),0))</f>
        <v>0</v>
      </c>
      <c r="D140">
        <f t="shared" si="2"/>
        <v>5.7</v>
      </c>
      <c r="E140">
        <f>MIN(B140,C140)*Assumptions!$B$2</f>
        <v>0</v>
      </c>
      <c r="F140">
        <f>MAX(C140-B140,0)*Assumptions!$B$2</f>
        <v>0</v>
      </c>
      <c r="G140">
        <f>MAX(B140-C140,0)*Assumptions!$B$2</f>
        <v>2.85</v>
      </c>
    </row>
    <row r="141" spans="1:7" x14ac:dyDescent="0.3">
      <c r="A141" s="5">
        <f>Raw_Load_Data!A141</f>
        <v>46206.89583333367</v>
      </c>
      <c r="B141">
        <f>Raw_Load_Data!B141</f>
        <v>4.7</v>
      </c>
      <c r="C141">
        <f>MAX(0,IF(AND(HOUR(A141)&gt;=6,HOUR(A141)&lt;=18),Assumptions!$B$8*SIN(PI()*(HOUR(A141)+MINUTE(A141)/60-6)/12),0))</f>
        <v>0</v>
      </c>
      <c r="D141">
        <f t="shared" si="2"/>
        <v>4.7</v>
      </c>
      <c r="E141">
        <f>MIN(B141,C141)*Assumptions!$B$2</f>
        <v>0</v>
      </c>
      <c r="F141">
        <f>MAX(C141-B141,0)*Assumptions!$B$2</f>
        <v>0</v>
      </c>
      <c r="G141">
        <f>MAX(B141-C141,0)*Assumptions!$B$2</f>
        <v>2.35</v>
      </c>
    </row>
    <row r="142" spans="1:7" x14ac:dyDescent="0.3">
      <c r="A142" s="5">
        <f>Raw_Load_Data!A142</f>
        <v>46206.916666667006</v>
      </c>
      <c r="B142">
        <f>Raw_Load_Data!B142</f>
        <v>3.6</v>
      </c>
      <c r="C142">
        <f>MAX(0,IF(AND(HOUR(A142)&gt;=6,HOUR(A142)&lt;=18),Assumptions!$B$8*SIN(PI()*(HOUR(A142)+MINUTE(A142)/60-6)/12),0))</f>
        <v>0</v>
      </c>
      <c r="D142">
        <f t="shared" si="2"/>
        <v>3.6</v>
      </c>
      <c r="E142">
        <f>MIN(B142,C142)*Assumptions!$B$2</f>
        <v>0</v>
      </c>
      <c r="F142">
        <f>MAX(C142-B142,0)*Assumptions!$B$2</f>
        <v>0</v>
      </c>
      <c r="G142">
        <f>MAX(B142-C142,0)*Assumptions!$B$2</f>
        <v>1.8</v>
      </c>
    </row>
    <row r="143" spans="1:7" x14ac:dyDescent="0.3">
      <c r="A143" s="5">
        <f>Raw_Load_Data!A143</f>
        <v>46206.937500000342</v>
      </c>
      <c r="B143">
        <f>Raw_Load_Data!B143</f>
        <v>3.9</v>
      </c>
      <c r="C143">
        <f>MAX(0,IF(AND(HOUR(A143)&gt;=6,HOUR(A143)&lt;=18),Assumptions!$B$8*SIN(PI()*(HOUR(A143)+MINUTE(A143)/60-6)/12),0))</f>
        <v>0</v>
      </c>
      <c r="D143">
        <f t="shared" si="2"/>
        <v>3.9</v>
      </c>
      <c r="E143">
        <f>MIN(B143,C143)*Assumptions!$B$2</f>
        <v>0</v>
      </c>
      <c r="F143">
        <f>MAX(C143-B143,0)*Assumptions!$B$2</f>
        <v>0</v>
      </c>
      <c r="G143">
        <f>MAX(B143-C143,0)*Assumptions!$B$2</f>
        <v>1.95</v>
      </c>
    </row>
    <row r="144" spans="1:7" x14ac:dyDescent="0.3">
      <c r="A144" s="5">
        <f>Raw_Load_Data!A144</f>
        <v>46206.958333333678</v>
      </c>
      <c r="B144">
        <f>Raw_Load_Data!B144</f>
        <v>5.6</v>
      </c>
      <c r="C144">
        <f>MAX(0,IF(AND(HOUR(A144)&gt;=6,HOUR(A144)&lt;=18),Assumptions!$B$8*SIN(PI()*(HOUR(A144)+MINUTE(A144)/60-6)/12),0))</f>
        <v>0</v>
      </c>
      <c r="D144">
        <f t="shared" si="2"/>
        <v>5.6</v>
      </c>
      <c r="E144">
        <f>MIN(B144,C144)*Assumptions!$B$2</f>
        <v>0</v>
      </c>
      <c r="F144">
        <f>MAX(C144-B144,0)*Assumptions!$B$2</f>
        <v>0</v>
      </c>
      <c r="G144">
        <f>MAX(B144-C144,0)*Assumptions!$B$2</f>
        <v>2.8</v>
      </c>
    </row>
    <row r="145" spans="1:7" x14ac:dyDescent="0.3">
      <c r="A145" s="5">
        <f>Raw_Load_Data!A145</f>
        <v>46206.979166667013</v>
      </c>
      <c r="B145">
        <f>Raw_Load_Data!B145</f>
        <v>7</v>
      </c>
      <c r="C145">
        <f>MAX(0,IF(AND(HOUR(A145)&gt;=6,HOUR(A145)&lt;=18),Assumptions!$B$8*SIN(PI()*(HOUR(A145)+MINUTE(A145)/60-6)/12),0))</f>
        <v>0</v>
      </c>
      <c r="D145">
        <f t="shared" si="2"/>
        <v>7</v>
      </c>
      <c r="E145">
        <f>MIN(B145,C145)*Assumptions!$B$2</f>
        <v>0</v>
      </c>
      <c r="F145">
        <f>MAX(C145-B145,0)*Assumptions!$B$2</f>
        <v>0</v>
      </c>
      <c r="G145">
        <f>MAX(B145-C145,0)*Assumptions!$B$2</f>
        <v>3.5</v>
      </c>
    </row>
    <row r="146" spans="1:7" x14ac:dyDescent="0.3">
      <c r="A146" s="5">
        <f>Raw_Load_Data!A146</f>
        <v>46207.000000000349</v>
      </c>
      <c r="B146">
        <f>Raw_Load_Data!B146</f>
        <v>2.1</v>
      </c>
      <c r="C146">
        <f>MAX(0,IF(AND(HOUR(A146)&gt;=6,HOUR(A146)&lt;=18),Assumptions!$B$8*SIN(PI()*(HOUR(A146)+MINUTE(A146)/60-6)/12),0))</f>
        <v>0</v>
      </c>
      <c r="D146">
        <f t="shared" si="2"/>
        <v>2.1</v>
      </c>
      <c r="E146">
        <f>MIN(B146,C146)*Assumptions!$B$2</f>
        <v>0</v>
      </c>
      <c r="F146">
        <f>MAX(C146-B146,0)*Assumptions!$B$2</f>
        <v>0</v>
      </c>
      <c r="G146">
        <f>MAX(B146-C146,0)*Assumptions!$B$2</f>
        <v>1.05</v>
      </c>
    </row>
    <row r="147" spans="1:7" x14ac:dyDescent="0.3">
      <c r="A147" s="5">
        <f>Raw_Load_Data!A147</f>
        <v>46207.020833333685</v>
      </c>
      <c r="B147">
        <f>Raw_Load_Data!B147</f>
        <v>3</v>
      </c>
      <c r="C147">
        <f>MAX(0,IF(AND(HOUR(A147)&gt;=6,HOUR(A147)&lt;=18),Assumptions!$B$8*SIN(PI()*(HOUR(A147)+MINUTE(A147)/60-6)/12),0))</f>
        <v>0</v>
      </c>
      <c r="D147">
        <f t="shared" si="2"/>
        <v>3</v>
      </c>
      <c r="E147">
        <f>MIN(B147,C147)*Assumptions!$B$2</f>
        <v>0</v>
      </c>
      <c r="F147">
        <f>MAX(C147-B147,0)*Assumptions!$B$2</f>
        <v>0</v>
      </c>
      <c r="G147">
        <f>MAX(B147-C147,0)*Assumptions!$B$2</f>
        <v>1.5</v>
      </c>
    </row>
    <row r="148" spans="1:7" x14ac:dyDescent="0.3">
      <c r="A148" s="5">
        <f>Raw_Load_Data!A148</f>
        <v>46207.041666667021</v>
      </c>
      <c r="B148">
        <f>Raw_Load_Data!B148</f>
        <v>2</v>
      </c>
      <c r="C148">
        <f>MAX(0,IF(AND(HOUR(A148)&gt;=6,HOUR(A148)&lt;=18),Assumptions!$B$8*SIN(PI()*(HOUR(A148)+MINUTE(A148)/60-6)/12),0))</f>
        <v>0</v>
      </c>
      <c r="D148">
        <f t="shared" si="2"/>
        <v>2</v>
      </c>
      <c r="E148">
        <f>MIN(B148,C148)*Assumptions!$B$2</f>
        <v>0</v>
      </c>
      <c r="F148">
        <f>MAX(C148-B148,0)*Assumptions!$B$2</f>
        <v>0</v>
      </c>
      <c r="G148">
        <f>MAX(B148-C148,0)*Assumptions!$B$2</f>
        <v>1</v>
      </c>
    </row>
    <row r="149" spans="1:7" x14ac:dyDescent="0.3">
      <c r="A149" s="5">
        <f>Raw_Load_Data!A149</f>
        <v>46207.062500000357</v>
      </c>
      <c r="B149">
        <f>Raw_Load_Data!B149</f>
        <v>2</v>
      </c>
      <c r="C149">
        <f>MAX(0,IF(AND(HOUR(A149)&gt;=6,HOUR(A149)&lt;=18),Assumptions!$B$8*SIN(PI()*(HOUR(A149)+MINUTE(A149)/60-6)/12),0))</f>
        <v>0</v>
      </c>
      <c r="D149">
        <f t="shared" si="2"/>
        <v>2</v>
      </c>
      <c r="E149">
        <f>MIN(B149,C149)*Assumptions!$B$2</f>
        <v>0</v>
      </c>
      <c r="F149">
        <f>MAX(C149-B149,0)*Assumptions!$B$2</f>
        <v>0</v>
      </c>
      <c r="G149">
        <f>MAX(B149-C149,0)*Assumptions!$B$2</f>
        <v>1</v>
      </c>
    </row>
    <row r="150" spans="1:7" x14ac:dyDescent="0.3">
      <c r="A150" s="5">
        <f>Raw_Load_Data!A150</f>
        <v>46207.083333333692</v>
      </c>
      <c r="B150">
        <f>Raw_Load_Data!B150</f>
        <v>2.4</v>
      </c>
      <c r="C150">
        <f>MAX(0,IF(AND(HOUR(A150)&gt;=6,HOUR(A150)&lt;=18),Assumptions!$B$8*SIN(PI()*(HOUR(A150)+MINUTE(A150)/60-6)/12),0))</f>
        <v>0</v>
      </c>
      <c r="D150">
        <f t="shared" si="2"/>
        <v>2.4</v>
      </c>
      <c r="E150">
        <f>MIN(B150,C150)*Assumptions!$B$2</f>
        <v>0</v>
      </c>
      <c r="F150">
        <f>MAX(C150-B150,0)*Assumptions!$B$2</f>
        <v>0</v>
      </c>
      <c r="G150">
        <f>MAX(B150-C150,0)*Assumptions!$B$2</f>
        <v>1.2</v>
      </c>
    </row>
    <row r="151" spans="1:7" x14ac:dyDescent="0.3">
      <c r="A151" s="5">
        <f>Raw_Load_Data!A151</f>
        <v>46207.104166667028</v>
      </c>
      <c r="B151">
        <f>Raw_Load_Data!B151</f>
        <v>2.5</v>
      </c>
      <c r="C151">
        <f>MAX(0,IF(AND(HOUR(A151)&gt;=6,HOUR(A151)&lt;=18),Assumptions!$B$8*SIN(PI()*(HOUR(A151)+MINUTE(A151)/60-6)/12),0))</f>
        <v>0</v>
      </c>
      <c r="D151">
        <f t="shared" si="2"/>
        <v>2.5</v>
      </c>
      <c r="E151">
        <f>MIN(B151,C151)*Assumptions!$B$2</f>
        <v>0</v>
      </c>
      <c r="F151">
        <f>MAX(C151-B151,0)*Assumptions!$B$2</f>
        <v>0</v>
      </c>
      <c r="G151">
        <f>MAX(B151-C151,0)*Assumptions!$B$2</f>
        <v>1.25</v>
      </c>
    </row>
    <row r="152" spans="1:7" x14ac:dyDescent="0.3">
      <c r="A152" s="5">
        <f>Raw_Load_Data!A152</f>
        <v>46207.125000000364</v>
      </c>
      <c r="B152">
        <f>Raw_Load_Data!B152</f>
        <v>2.8</v>
      </c>
      <c r="C152">
        <f>MAX(0,IF(AND(HOUR(A152)&gt;=6,HOUR(A152)&lt;=18),Assumptions!$B$8*SIN(PI()*(HOUR(A152)+MINUTE(A152)/60-6)/12),0))</f>
        <v>0</v>
      </c>
      <c r="D152">
        <f t="shared" si="2"/>
        <v>2.8</v>
      </c>
      <c r="E152">
        <f>MIN(B152,C152)*Assumptions!$B$2</f>
        <v>0</v>
      </c>
      <c r="F152">
        <f>MAX(C152-B152,0)*Assumptions!$B$2</f>
        <v>0</v>
      </c>
      <c r="G152">
        <f>MAX(B152-C152,0)*Assumptions!$B$2</f>
        <v>1.4</v>
      </c>
    </row>
    <row r="153" spans="1:7" x14ac:dyDescent="0.3">
      <c r="A153" s="5">
        <f>Raw_Load_Data!A153</f>
        <v>46207.1458333337</v>
      </c>
      <c r="B153">
        <f>Raw_Load_Data!B153</f>
        <v>3</v>
      </c>
      <c r="C153">
        <f>MAX(0,IF(AND(HOUR(A153)&gt;=6,HOUR(A153)&lt;=18),Assumptions!$B$8*SIN(PI()*(HOUR(A153)+MINUTE(A153)/60-6)/12),0))</f>
        <v>0</v>
      </c>
      <c r="D153">
        <f t="shared" si="2"/>
        <v>3</v>
      </c>
      <c r="E153">
        <f>MIN(B153,C153)*Assumptions!$B$2</f>
        <v>0</v>
      </c>
      <c r="F153">
        <f>MAX(C153-B153,0)*Assumptions!$B$2</f>
        <v>0</v>
      </c>
      <c r="G153">
        <f>MAX(B153-C153,0)*Assumptions!$B$2</f>
        <v>1.5</v>
      </c>
    </row>
    <row r="154" spans="1:7" x14ac:dyDescent="0.3">
      <c r="A154" s="5">
        <f>Raw_Load_Data!A154</f>
        <v>46207.166666667035</v>
      </c>
      <c r="B154">
        <f>Raw_Load_Data!B154</f>
        <v>2.6</v>
      </c>
      <c r="C154">
        <f>MAX(0,IF(AND(HOUR(A154)&gt;=6,HOUR(A154)&lt;=18),Assumptions!$B$8*SIN(PI()*(HOUR(A154)+MINUTE(A154)/60-6)/12),0))</f>
        <v>0</v>
      </c>
      <c r="D154">
        <f t="shared" si="2"/>
        <v>2.6</v>
      </c>
      <c r="E154">
        <f>MIN(B154,C154)*Assumptions!$B$2</f>
        <v>0</v>
      </c>
      <c r="F154">
        <f>MAX(C154-B154,0)*Assumptions!$B$2</f>
        <v>0</v>
      </c>
      <c r="G154">
        <f>MAX(B154-C154,0)*Assumptions!$B$2</f>
        <v>1.3</v>
      </c>
    </row>
    <row r="155" spans="1:7" x14ac:dyDescent="0.3">
      <c r="A155" s="5">
        <f>Raw_Load_Data!A155</f>
        <v>46207.187500000371</v>
      </c>
      <c r="B155">
        <f>Raw_Load_Data!B155</f>
        <v>2.2999999999999998</v>
      </c>
      <c r="C155">
        <f>MAX(0,IF(AND(HOUR(A155)&gt;=6,HOUR(A155)&lt;=18),Assumptions!$B$8*SIN(PI()*(HOUR(A155)+MINUTE(A155)/60-6)/12),0))</f>
        <v>0</v>
      </c>
      <c r="D155">
        <f t="shared" si="2"/>
        <v>2.2999999999999998</v>
      </c>
      <c r="E155">
        <f>MIN(B155,C155)*Assumptions!$B$2</f>
        <v>0</v>
      </c>
      <c r="F155">
        <f>MAX(C155-B155,0)*Assumptions!$B$2</f>
        <v>0</v>
      </c>
      <c r="G155">
        <f>MAX(B155-C155,0)*Assumptions!$B$2</f>
        <v>1.1499999999999999</v>
      </c>
    </row>
    <row r="156" spans="1:7" x14ac:dyDescent="0.3">
      <c r="A156" s="5">
        <f>Raw_Load_Data!A156</f>
        <v>46207.208333333707</v>
      </c>
      <c r="B156">
        <f>Raw_Load_Data!B156</f>
        <v>2.8</v>
      </c>
      <c r="C156">
        <f>MAX(0,IF(AND(HOUR(A156)&gt;=6,HOUR(A156)&lt;=18),Assumptions!$B$8*SIN(PI()*(HOUR(A156)+MINUTE(A156)/60-6)/12),0))</f>
        <v>0</v>
      </c>
      <c r="D156">
        <f t="shared" si="2"/>
        <v>2.8</v>
      </c>
      <c r="E156">
        <f>MIN(B156,C156)*Assumptions!$B$2</f>
        <v>0</v>
      </c>
      <c r="F156">
        <f>MAX(C156-B156,0)*Assumptions!$B$2</f>
        <v>0</v>
      </c>
      <c r="G156">
        <f>MAX(B156-C156,0)*Assumptions!$B$2</f>
        <v>1.4</v>
      </c>
    </row>
    <row r="157" spans="1:7" x14ac:dyDescent="0.3">
      <c r="A157" s="5">
        <f>Raw_Load_Data!A157</f>
        <v>46207.229166667043</v>
      </c>
      <c r="B157">
        <f>Raw_Load_Data!B157</f>
        <v>2.1</v>
      </c>
      <c r="C157">
        <f>MAX(0,IF(AND(HOUR(A157)&gt;=6,HOUR(A157)&lt;=18),Assumptions!$B$8*SIN(PI()*(HOUR(A157)+MINUTE(A157)/60-6)/12),0))</f>
        <v>0</v>
      </c>
      <c r="D157">
        <f t="shared" si="2"/>
        <v>2.1</v>
      </c>
      <c r="E157">
        <f>MIN(B157,C157)*Assumptions!$B$2</f>
        <v>0</v>
      </c>
      <c r="F157">
        <f>MAX(C157-B157,0)*Assumptions!$B$2</f>
        <v>0</v>
      </c>
      <c r="G157">
        <f>MAX(B157-C157,0)*Assumptions!$B$2</f>
        <v>1.05</v>
      </c>
    </row>
    <row r="158" spans="1:7" x14ac:dyDescent="0.3">
      <c r="A158" s="5">
        <f>Raw_Load_Data!A158</f>
        <v>46207.250000000378</v>
      </c>
      <c r="B158">
        <f>Raw_Load_Data!B158</f>
        <v>4.0999999999999996</v>
      </c>
      <c r="C158">
        <f>MAX(0,IF(AND(HOUR(A158)&gt;=6,HOUR(A158)&lt;=18),Assumptions!$B$8*SIN(PI()*(HOUR(A158)+MINUTE(A158)/60-6)/12),0))</f>
        <v>0</v>
      </c>
      <c r="D158">
        <f t="shared" si="2"/>
        <v>4.0999999999999996</v>
      </c>
      <c r="E158">
        <f>MIN(B158,C158)*Assumptions!$B$2</f>
        <v>0</v>
      </c>
      <c r="F158">
        <f>MAX(C158-B158,0)*Assumptions!$B$2</f>
        <v>0</v>
      </c>
      <c r="G158">
        <f>MAX(B158-C158,0)*Assumptions!$B$2</f>
        <v>2.0499999999999998</v>
      </c>
    </row>
    <row r="159" spans="1:7" x14ac:dyDescent="0.3">
      <c r="A159" s="5">
        <f>Raw_Load_Data!A159</f>
        <v>46207.270833333714</v>
      </c>
      <c r="B159">
        <f>Raw_Load_Data!B159</f>
        <v>5.0999999999999996</v>
      </c>
      <c r="C159">
        <f>MAX(0,IF(AND(HOUR(A159)&gt;=6,HOUR(A159)&lt;=18),Assumptions!$B$8*SIN(PI()*(HOUR(A159)+MINUTE(A159)/60-6)/12),0))</f>
        <v>3.9157857666015472</v>
      </c>
      <c r="D159">
        <f t="shared" si="2"/>
        <v>1.1842142333984524</v>
      </c>
      <c r="E159">
        <f>MIN(B159,C159)*Assumptions!$B$2</f>
        <v>1.9578928833007736</v>
      </c>
      <c r="F159">
        <f>MAX(C159-B159,0)*Assumptions!$B$2</f>
        <v>0</v>
      </c>
      <c r="G159">
        <f>MAX(B159-C159,0)*Assumptions!$B$2</f>
        <v>0.59210711669922622</v>
      </c>
    </row>
    <row r="160" spans="1:7" x14ac:dyDescent="0.3">
      <c r="A160" s="5">
        <f>Raw_Load_Data!A160</f>
        <v>46207.29166666705</v>
      </c>
      <c r="B160">
        <f>Raw_Load_Data!B160</f>
        <v>6.7</v>
      </c>
      <c r="C160">
        <f>MAX(0,IF(AND(HOUR(A160)&gt;=6,HOUR(A160)&lt;=18),Assumptions!$B$8*SIN(PI()*(HOUR(A160)+MINUTE(A160)/60-6)/12),0))</f>
        <v>7.7645713530756222</v>
      </c>
      <c r="D160">
        <f t="shared" si="2"/>
        <v>-1.064571353075622</v>
      </c>
      <c r="E160">
        <f>MIN(B160,C160)*Assumptions!$B$2</f>
        <v>3.35</v>
      </c>
      <c r="F160">
        <f>MAX(C160-B160,0)*Assumptions!$B$2</f>
        <v>0.532285676537811</v>
      </c>
      <c r="G160">
        <f>MAX(B160-C160,0)*Assumptions!$B$2</f>
        <v>0</v>
      </c>
    </row>
    <row r="161" spans="1:7" x14ac:dyDescent="0.3">
      <c r="A161" s="5">
        <f>Raw_Load_Data!A161</f>
        <v>46207.312500000386</v>
      </c>
      <c r="B161">
        <f>Raw_Load_Data!B161</f>
        <v>6.5</v>
      </c>
      <c r="C161">
        <f>MAX(0,IF(AND(HOUR(A161)&gt;=6,HOUR(A161)&lt;=18),Assumptions!$B$8*SIN(PI()*(HOUR(A161)+MINUTE(A161)/60-6)/12),0))</f>
        <v>11.480502970952694</v>
      </c>
      <c r="D161">
        <f t="shared" si="2"/>
        <v>-4.9805029709526938</v>
      </c>
      <c r="E161">
        <f>MIN(B161,C161)*Assumptions!$B$2</f>
        <v>3.25</v>
      </c>
      <c r="F161">
        <f>MAX(C161-B161,0)*Assumptions!$B$2</f>
        <v>2.4902514854763469</v>
      </c>
      <c r="G161">
        <f>MAX(B161-C161,0)*Assumptions!$B$2</f>
        <v>0</v>
      </c>
    </row>
    <row r="162" spans="1:7" x14ac:dyDescent="0.3">
      <c r="A162" s="5">
        <f>Raw_Load_Data!A162</f>
        <v>46207.333333333721</v>
      </c>
      <c r="B162">
        <f>Raw_Load_Data!B162</f>
        <v>20.9</v>
      </c>
      <c r="C162">
        <f>MAX(0,IF(AND(HOUR(A162)&gt;=6,HOUR(A162)&lt;=18),Assumptions!$B$8*SIN(PI()*(HOUR(A162)+MINUTE(A162)/60-6)/12),0))</f>
        <v>14.999999999999998</v>
      </c>
      <c r="D162">
        <f t="shared" si="2"/>
        <v>5.9</v>
      </c>
      <c r="E162">
        <f>MIN(B162,C162)*Assumptions!$B$2</f>
        <v>7.4999999999999991</v>
      </c>
      <c r="F162">
        <f>MAX(C162-B162,0)*Assumptions!$B$2</f>
        <v>0</v>
      </c>
      <c r="G162">
        <f>MAX(B162-C162,0)*Assumptions!$B$2</f>
        <v>2.95</v>
      </c>
    </row>
    <row r="163" spans="1:7" x14ac:dyDescent="0.3">
      <c r="A163" s="5">
        <f>Raw_Load_Data!A163</f>
        <v>46207.354166667057</v>
      </c>
      <c r="B163">
        <f>Raw_Load_Data!B163</f>
        <v>21.1</v>
      </c>
      <c r="C163">
        <f>MAX(0,IF(AND(HOUR(A163)&gt;=6,HOUR(A163)&lt;=18),Assumptions!$B$8*SIN(PI()*(HOUR(A163)+MINUTE(A163)/60-6)/12),0))</f>
        <v>18.262842870261618</v>
      </c>
      <c r="D163">
        <f t="shared" si="2"/>
        <v>2.8371571297383831</v>
      </c>
      <c r="E163">
        <f>MIN(B163,C163)*Assumptions!$B$2</f>
        <v>9.1314214351308092</v>
      </c>
      <c r="F163">
        <f>MAX(C163-B163,0)*Assumptions!$B$2</f>
        <v>0</v>
      </c>
      <c r="G163">
        <f>MAX(B163-C163,0)*Assumptions!$B$2</f>
        <v>1.4185785648691915</v>
      </c>
    </row>
    <row r="164" spans="1:7" x14ac:dyDescent="0.3">
      <c r="A164" s="5">
        <f>Raw_Load_Data!A164</f>
        <v>46207.375000000393</v>
      </c>
      <c r="B164">
        <f>Raw_Load_Data!B164</f>
        <v>17.8</v>
      </c>
      <c r="C164">
        <f>MAX(0,IF(AND(HOUR(A164)&gt;=6,HOUR(A164)&lt;=18),Assumptions!$B$8*SIN(PI()*(HOUR(A164)+MINUTE(A164)/60-6)/12),0))</f>
        <v>21.213203435596423</v>
      </c>
      <c r="D164">
        <f t="shared" si="2"/>
        <v>-3.4132034355964223</v>
      </c>
      <c r="E164">
        <f>MIN(B164,C164)*Assumptions!$B$2</f>
        <v>8.9</v>
      </c>
      <c r="F164">
        <f>MAX(C164-B164,0)*Assumptions!$B$2</f>
        <v>1.7066017177982111</v>
      </c>
      <c r="G164">
        <f>MAX(B164-C164,0)*Assumptions!$B$2</f>
        <v>0</v>
      </c>
    </row>
    <row r="165" spans="1:7" x14ac:dyDescent="0.3">
      <c r="A165" s="5">
        <f>Raw_Load_Data!A165</f>
        <v>46207.395833333729</v>
      </c>
      <c r="B165">
        <f>Raw_Load_Data!B165</f>
        <v>13.9</v>
      </c>
      <c r="C165">
        <f>MAX(0,IF(AND(HOUR(A165)&gt;=6,HOUR(A165)&lt;=18),Assumptions!$B$8*SIN(PI()*(HOUR(A165)+MINUTE(A165)/60-6)/12),0))</f>
        <v>23.800600208737055</v>
      </c>
      <c r="D165">
        <f t="shared" si="2"/>
        <v>-9.900600208737055</v>
      </c>
      <c r="E165">
        <f>MIN(B165,C165)*Assumptions!$B$2</f>
        <v>6.95</v>
      </c>
      <c r="F165">
        <f>MAX(C165-B165,0)*Assumptions!$B$2</f>
        <v>4.9503001043685275</v>
      </c>
      <c r="G165">
        <f>MAX(B165-C165,0)*Assumptions!$B$2</f>
        <v>0</v>
      </c>
    </row>
    <row r="166" spans="1:7" x14ac:dyDescent="0.3">
      <c r="A166" s="5">
        <f>Raw_Load_Data!A166</f>
        <v>46207.416666667064</v>
      </c>
      <c r="B166">
        <f>Raw_Load_Data!B166</f>
        <v>18.5</v>
      </c>
      <c r="C166">
        <f>MAX(0,IF(AND(HOUR(A166)&gt;=6,HOUR(A166)&lt;=18),Assumptions!$B$8*SIN(PI()*(HOUR(A166)+MINUTE(A166)/60-6)/12),0))</f>
        <v>25.980762113533157</v>
      </c>
      <c r="D166">
        <f t="shared" si="2"/>
        <v>-7.4807621135331566</v>
      </c>
      <c r="E166">
        <f>MIN(B166,C166)*Assumptions!$B$2</f>
        <v>9.25</v>
      </c>
      <c r="F166">
        <f>MAX(C166-B166,0)*Assumptions!$B$2</f>
        <v>3.7403810567665783</v>
      </c>
      <c r="G166">
        <f>MAX(B166-C166,0)*Assumptions!$B$2</f>
        <v>0</v>
      </c>
    </row>
    <row r="167" spans="1:7" x14ac:dyDescent="0.3">
      <c r="A167" s="5">
        <f>Raw_Load_Data!A167</f>
        <v>46207.4375000004</v>
      </c>
      <c r="B167">
        <f>Raw_Load_Data!B167</f>
        <v>13.6</v>
      </c>
      <c r="C167">
        <f>MAX(0,IF(AND(HOUR(A167)&gt;=6,HOUR(A167)&lt;=18),Assumptions!$B$8*SIN(PI()*(HOUR(A167)+MINUTE(A167)/60-6)/12),0))</f>
        <v>27.716385975338603</v>
      </c>
      <c r="D167">
        <f t="shared" si="2"/>
        <v>-14.116385975338604</v>
      </c>
      <c r="E167">
        <f>MIN(B167,C167)*Assumptions!$B$2</f>
        <v>6.8</v>
      </c>
      <c r="F167">
        <f>MAX(C167-B167,0)*Assumptions!$B$2</f>
        <v>7.0581929876693019</v>
      </c>
      <c r="G167">
        <f>MAX(B167-C167,0)*Assumptions!$B$2</f>
        <v>0</v>
      </c>
    </row>
    <row r="168" spans="1:7" x14ac:dyDescent="0.3">
      <c r="A168" s="5">
        <f>Raw_Load_Data!A168</f>
        <v>46207.458333333736</v>
      </c>
      <c r="B168">
        <f>Raw_Load_Data!B168</f>
        <v>14.3</v>
      </c>
      <c r="C168">
        <f>MAX(0,IF(AND(HOUR(A168)&gt;=6,HOUR(A168)&lt;=18),Assumptions!$B$8*SIN(PI()*(HOUR(A168)+MINUTE(A168)/60-6)/12),0))</f>
        <v>28.97777478867205</v>
      </c>
      <c r="D168">
        <f t="shared" si="2"/>
        <v>-14.67777478867205</v>
      </c>
      <c r="E168">
        <f>MIN(B168,C168)*Assumptions!$B$2</f>
        <v>7.15</v>
      </c>
      <c r="F168">
        <f>MAX(C168-B168,0)*Assumptions!$B$2</f>
        <v>7.3388873943360249</v>
      </c>
      <c r="G168">
        <f>MAX(B168-C168,0)*Assumptions!$B$2</f>
        <v>0</v>
      </c>
    </row>
    <row r="169" spans="1:7" x14ac:dyDescent="0.3">
      <c r="A169" s="5">
        <f>Raw_Load_Data!A169</f>
        <v>46207.479166667072</v>
      </c>
      <c r="B169">
        <f>Raw_Load_Data!B169</f>
        <v>14</v>
      </c>
      <c r="C169">
        <f>MAX(0,IF(AND(HOUR(A169)&gt;=6,HOUR(A169)&lt;=18),Assumptions!$B$8*SIN(PI()*(HOUR(A169)+MINUTE(A169)/60-6)/12),0))</f>
        <v>29.74334584121431</v>
      </c>
      <c r="D169">
        <f t="shared" si="2"/>
        <v>-15.74334584121431</v>
      </c>
      <c r="E169">
        <f>MIN(B169,C169)*Assumptions!$B$2</f>
        <v>7</v>
      </c>
      <c r="F169">
        <f>MAX(C169-B169,0)*Assumptions!$B$2</f>
        <v>7.8716729206071552</v>
      </c>
      <c r="G169">
        <f>MAX(B169-C169,0)*Assumptions!$B$2</f>
        <v>0</v>
      </c>
    </row>
    <row r="170" spans="1:7" x14ac:dyDescent="0.3">
      <c r="A170" s="5">
        <f>Raw_Load_Data!A170</f>
        <v>46207.500000000407</v>
      </c>
      <c r="B170">
        <f>Raw_Load_Data!B170</f>
        <v>25.9</v>
      </c>
      <c r="C170">
        <f>MAX(0,IF(AND(HOUR(A170)&gt;=6,HOUR(A170)&lt;=18),Assumptions!$B$8*SIN(PI()*(HOUR(A170)+MINUTE(A170)/60-6)/12),0))</f>
        <v>30</v>
      </c>
      <c r="D170">
        <f t="shared" si="2"/>
        <v>-4.1000000000000014</v>
      </c>
      <c r="E170">
        <f>MIN(B170,C170)*Assumptions!$B$2</f>
        <v>12.95</v>
      </c>
      <c r="F170">
        <f>MAX(C170-B170,0)*Assumptions!$B$2</f>
        <v>2.0500000000000007</v>
      </c>
      <c r="G170">
        <f>MAX(B170-C170,0)*Assumptions!$B$2</f>
        <v>0</v>
      </c>
    </row>
    <row r="171" spans="1:7" x14ac:dyDescent="0.3">
      <c r="A171" s="5">
        <f>Raw_Load_Data!A171</f>
        <v>46207.520833333743</v>
      </c>
      <c r="B171">
        <f>Raw_Load_Data!B171</f>
        <v>23.9</v>
      </c>
      <c r="C171">
        <f>MAX(0,IF(AND(HOUR(A171)&gt;=6,HOUR(A171)&lt;=18),Assumptions!$B$8*SIN(PI()*(HOUR(A171)+MINUTE(A171)/60-6)/12),0))</f>
        <v>29.74334584121431</v>
      </c>
      <c r="D171">
        <f t="shared" si="2"/>
        <v>-5.8433458412143118</v>
      </c>
      <c r="E171">
        <f>MIN(B171,C171)*Assumptions!$B$2</f>
        <v>11.95</v>
      </c>
      <c r="F171">
        <f>MAX(C171-B171,0)*Assumptions!$B$2</f>
        <v>2.9216729206071559</v>
      </c>
      <c r="G171">
        <f>MAX(B171-C171,0)*Assumptions!$B$2</f>
        <v>0</v>
      </c>
    </row>
    <row r="172" spans="1:7" x14ac:dyDescent="0.3">
      <c r="A172" s="5">
        <f>Raw_Load_Data!A172</f>
        <v>46207.541666667079</v>
      </c>
      <c r="B172">
        <f>Raw_Load_Data!B172</f>
        <v>21</v>
      </c>
      <c r="C172">
        <f>MAX(0,IF(AND(HOUR(A172)&gt;=6,HOUR(A172)&lt;=18),Assumptions!$B$8*SIN(PI()*(HOUR(A172)+MINUTE(A172)/60-6)/12),0))</f>
        <v>28.97777478867205</v>
      </c>
      <c r="D172">
        <f t="shared" si="2"/>
        <v>-7.9777747886720505</v>
      </c>
      <c r="E172">
        <f>MIN(B172,C172)*Assumptions!$B$2</f>
        <v>10.5</v>
      </c>
      <c r="F172">
        <f>MAX(C172-B172,0)*Assumptions!$B$2</f>
        <v>3.9888873943360252</v>
      </c>
      <c r="G172">
        <f>MAX(B172-C172,0)*Assumptions!$B$2</f>
        <v>0</v>
      </c>
    </row>
    <row r="173" spans="1:7" x14ac:dyDescent="0.3">
      <c r="A173" s="5">
        <f>Raw_Load_Data!A173</f>
        <v>46207.562500000415</v>
      </c>
      <c r="B173">
        <f>Raw_Load_Data!B173</f>
        <v>28.2</v>
      </c>
      <c r="C173">
        <f>MAX(0,IF(AND(HOUR(A173)&gt;=6,HOUR(A173)&lt;=18),Assumptions!$B$8*SIN(PI()*(HOUR(A173)+MINUTE(A173)/60-6)/12),0))</f>
        <v>27.716385975338607</v>
      </c>
      <c r="D173">
        <f t="shared" si="2"/>
        <v>0.48361402466139225</v>
      </c>
      <c r="E173">
        <f>MIN(B173,C173)*Assumptions!$B$2</f>
        <v>13.858192987669304</v>
      </c>
      <c r="F173">
        <f>MAX(C173-B173,0)*Assumptions!$B$2</f>
        <v>0</v>
      </c>
      <c r="G173">
        <f>MAX(B173-C173,0)*Assumptions!$B$2</f>
        <v>0.24180701233069612</v>
      </c>
    </row>
    <row r="174" spans="1:7" x14ac:dyDescent="0.3">
      <c r="A174" s="5">
        <f>Raw_Load_Data!A174</f>
        <v>46207.58333333375</v>
      </c>
      <c r="B174">
        <f>Raw_Load_Data!B174</f>
        <v>31.7</v>
      </c>
      <c r="C174">
        <f>MAX(0,IF(AND(HOUR(A174)&gt;=6,HOUR(A174)&lt;=18),Assumptions!$B$8*SIN(PI()*(HOUR(A174)+MINUTE(A174)/60-6)/12),0))</f>
        <v>25.98076211353316</v>
      </c>
      <c r="D174">
        <f t="shared" si="2"/>
        <v>5.7192378864668392</v>
      </c>
      <c r="E174">
        <f>MIN(B174,C174)*Assumptions!$B$2</f>
        <v>12.99038105676658</v>
      </c>
      <c r="F174">
        <f>MAX(C174-B174,0)*Assumptions!$B$2</f>
        <v>0</v>
      </c>
      <c r="G174">
        <f>MAX(B174-C174,0)*Assumptions!$B$2</f>
        <v>2.8596189432334196</v>
      </c>
    </row>
    <row r="175" spans="1:7" x14ac:dyDescent="0.3">
      <c r="A175" s="5">
        <f>Raw_Load_Data!A175</f>
        <v>46207.604166667086</v>
      </c>
      <c r="B175">
        <f>Raw_Load_Data!B175</f>
        <v>18.2</v>
      </c>
      <c r="C175">
        <f>MAX(0,IF(AND(HOUR(A175)&gt;=6,HOUR(A175)&lt;=18),Assumptions!$B$8*SIN(PI()*(HOUR(A175)+MINUTE(A175)/60-6)/12),0))</f>
        <v>23.800600208737055</v>
      </c>
      <c r="D175">
        <f t="shared" si="2"/>
        <v>-5.6006002087370561</v>
      </c>
      <c r="E175">
        <f>MIN(B175,C175)*Assumptions!$B$2</f>
        <v>9.1</v>
      </c>
      <c r="F175">
        <f>MAX(C175-B175,0)*Assumptions!$B$2</f>
        <v>2.8003001043685281</v>
      </c>
      <c r="G175">
        <f>MAX(B175-C175,0)*Assumptions!$B$2</f>
        <v>0</v>
      </c>
    </row>
    <row r="176" spans="1:7" x14ac:dyDescent="0.3">
      <c r="A176" s="5">
        <f>Raw_Load_Data!A176</f>
        <v>46207.625000000422</v>
      </c>
      <c r="B176">
        <f>Raw_Load_Data!B176</f>
        <v>23.3</v>
      </c>
      <c r="C176">
        <f>MAX(0,IF(AND(HOUR(A176)&gt;=6,HOUR(A176)&lt;=18),Assumptions!$B$8*SIN(PI()*(HOUR(A176)+MINUTE(A176)/60-6)/12),0))</f>
        <v>21.213203435596427</v>
      </c>
      <c r="D176">
        <f t="shared" si="2"/>
        <v>2.0867965644035742</v>
      </c>
      <c r="E176">
        <f>MIN(B176,C176)*Assumptions!$B$2</f>
        <v>10.606601717798213</v>
      </c>
      <c r="F176">
        <f>MAX(C176-B176,0)*Assumptions!$B$2</f>
        <v>0</v>
      </c>
      <c r="G176">
        <f>MAX(B176-C176,0)*Assumptions!$B$2</f>
        <v>1.0433982822017871</v>
      </c>
    </row>
    <row r="177" spans="1:7" x14ac:dyDescent="0.3">
      <c r="A177" s="5">
        <f>Raw_Load_Data!A177</f>
        <v>46207.645833333758</v>
      </c>
      <c r="B177">
        <f>Raw_Load_Data!B177</f>
        <v>23.3</v>
      </c>
      <c r="C177">
        <f>MAX(0,IF(AND(HOUR(A177)&gt;=6,HOUR(A177)&lt;=18),Assumptions!$B$8*SIN(PI()*(HOUR(A177)+MINUTE(A177)/60-6)/12),0))</f>
        <v>18.262842870261625</v>
      </c>
      <c r="D177">
        <f t="shared" si="2"/>
        <v>5.0371571297383753</v>
      </c>
      <c r="E177">
        <f>MIN(B177,C177)*Assumptions!$B$2</f>
        <v>9.1314214351308127</v>
      </c>
      <c r="F177">
        <f>MAX(C177-B177,0)*Assumptions!$B$2</f>
        <v>0</v>
      </c>
      <c r="G177">
        <f>MAX(B177-C177,0)*Assumptions!$B$2</f>
        <v>2.5185785648691876</v>
      </c>
    </row>
    <row r="178" spans="1:7" x14ac:dyDescent="0.3">
      <c r="A178" s="5">
        <f>Raw_Load_Data!A178</f>
        <v>46207.666666667094</v>
      </c>
      <c r="B178">
        <f>Raw_Load_Data!B178</f>
        <v>18.399999999999999</v>
      </c>
      <c r="C178">
        <f>MAX(0,IF(AND(HOUR(A178)&gt;=6,HOUR(A178)&lt;=18),Assumptions!$B$8*SIN(PI()*(HOUR(A178)+MINUTE(A178)/60-6)/12),0))</f>
        <v>14.999999999999998</v>
      </c>
      <c r="D178">
        <f t="shared" si="2"/>
        <v>3.4000000000000004</v>
      </c>
      <c r="E178">
        <f>MIN(B178,C178)*Assumptions!$B$2</f>
        <v>7.4999999999999991</v>
      </c>
      <c r="F178">
        <f>MAX(C178-B178,0)*Assumptions!$B$2</f>
        <v>0</v>
      </c>
      <c r="G178">
        <f>MAX(B178-C178,0)*Assumptions!$B$2</f>
        <v>1.7000000000000002</v>
      </c>
    </row>
    <row r="179" spans="1:7" x14ac:dyDescent="0.3">
      <c r="A179" s="5">
        <f>Raw_Load_Data!A179</f>
        <v>46207.687500000429</v>
      </c>
      <c r="B179">
        <f>Raw_Load_Data!B179</f>
        <v>11.6</v>
      </c>
      <c r="C179">
        <f>MAX(0,IF(AND(HOUR(A179)&gt;=6,HOUR(A179)&lt;=18),Assumptions!$B$8*SIN(PI()*(HOUR(A179)+MINUTE(A179)/60-6)/12),0))</f>
        <v>11.480502970952697</v>
      </c>
      <c r="D179">
        <f t="shared" si="2"/>
        <v>0.11949702904730231</v>
      </c>
      <c r="E179">
        <f>MIN(B179,C179)*Assumptions!$B$2</f>
        <v>5.7402514854763487</v>
      </c>
      <c r="F179">
        <f>MAX(C179-B179,0)*Assumptions!$B$2</f>
        <v>0</v>
      </c>
      <c r="G179">
        <f>MAX(B179-C179,0)*Assumptions!$B$2</f>
        <v>5.9748514523651153E-2</v>
      </c>
    </row>
    <row r="180" spans="1:7" x14ac:dyDescent="0.3">
      <c r="A180" s="5">
        <f>Raw_Load_Data!A180</f>
        <v>46207.708333333765</v>
      </c>
      <c r="B180">
        <f>Raw_Load_Data!B180</f>
        <v>15.7</v>
      </c>
      <c r="C180">
        <f>MAX(0,IF(AND(HOUR(A180)&gt;=6,HOUR(A180)&lt;=18),Assumptions!$B$8*SIN(PI()*(HOUR(A180)+MINUTE(A180)/60-6)/12),0))</f>
        <v>7.7645713530756302</v>
      </c>
      <c r="D180">
        <f t="shared" si="2"/>
        <v>7.9354286469243691</v>
      </c>
      <c r="E180">
        <f>MIN(B180,C180)*Assumptions!$B$2</f>
        <v>3.8822856765378151</v>
      </c>
      <c r="F180">
        <f>MAX(C180-B180,0)*Assumptions!$B$2</f>
        <v>0</v>
      </c>
      <c r="G180">
        <f>MAX(B180-C180,0)*Assumptions!$B$2</f>
        <v>3.9677143234621846</v>
      </c>
    </row>
    <row r="181" spans="1:7" x14ac:dyDescent="0.3">
      <c r="A181" s="5">
        <f>Raw_Load_Data!A181</f>
        <v>46207.729166667101</v>
      </c>
      <c r="B181">
        <f>Raw_Load_Data!B181</f>
        <v>15.8</v>
      </c>
      <c r="C181">
        <f>MAX(0,IF(AND(HOUR(A181)&gt;=6,HOUR(A181)&lt;=18),Assumptions!$B$8*SIN(PI()*(HOUR(A181)+MINUTE(A181)/60-6)/12),0))</f>
        <v>3.9157857666015596</v>
      </c>
      <c r="D181">
        <f t="shared" si="2"/>
        <v>11.884214233398442</v>
      </c>
      <c r="E181">
        <f>MIN(B181,C181)*Assumptions!$B$2</f>
        <v>1.9578928833007798</v>
      </c>
      <c r="F181">
        <f>MAX(C181-B181,0)*Assumptions!$B$2</f>
        <v>0</v>
      </c>
      <c r="G181">
        <f>MAX(B181-C181,0)*Assumptions!$B$2</f>
        <v>5.942107116699221</v>
      </c>
    </row>
    <row r="182" spans="1:7" x14ac:dyDescent="0.3">
      <c r="A182" s="5">
        <f>Raw_Load_Data!A182</f>
        <v>46207.750000000437</v>
      </c>
      <c r="B182">
        <f>Raw_Load_Data!B182</f>
        <v>13.5</v>
      </c>
      <c r="C182">
        <f>MAX(0,IF(AND(HOUR(A182)&gt;=6,HOUR(A182)&lt;=18),Assumptions!$B$8*SIN(PI()*(HOUR(A182)+MINUTE(A182)/60-6)/12),0))</f>
        <v>3.67544536472586E-15</v>
      </c>
      <c r="D182">
        <f t="shared" si="2"/>
        <v>13.499999999999996</v>
      </c>
      <c r="E182">
        <f>MIN(B182,C182)*Assumptions!$B$2</f>
        <v>1.83772268236293E-15</v>
      </c>
      <c r="F182">
        <f>MAX(C182-B182,0)*Assumptions!$B$2</f>
        <v>0</v>
      </c>
      <c r="G182">
        <f>MAX(B182-C182,0)*Assumptions!$B$2</f>
        <v>6.7499999999999982</v>
      </c>
    </row>
    <row r="183" spans="1:7" x14ac:dyDescent="0.3">
      <c r="A183" s="5">
        <f>Raw_Load_Data!A183</f>
        <v>46207.770833333772</v>
      </c>
      <c r="B183">
        <f>Raw_Load_Data!B183</f>
        <v>14.1</v>
      </c>
      <c r="C183">
        <f>MAX(0,IF(AND(HOUR(A183)&gt;=6,HOUR(A183)&lt;=18),Assumptions!$B$8*SIN(PI()*(HOUR(A183)+MINUTE(A183)/60-6)/12),0))</f>
        <v>0</v>
      </c>
      <c r="D183">
        <f t="shared" si="2"/>
        <v>14.1</v>
      </c>
      <c r="E183">
        <f>MIN(B183,C183)*Assumptions!$B$2</f>
        <v>0</v>
      </c>
      <c r="F183">
        <f>MAX(C183-B183,0)*Assumptions!$B$2</f>
        <v>0</v>
      </c>
      <c r="G183">
        <f>MAX(B183-C183,0)*Assumptions!$B$2</f>
        <v>7.05</v>
      </c>
    </row>
    <row r="184" spans="1:7" x14ac:dyDescent="0.3">
      <c r="A184" s="5">
        <f>Raw_Load_Data!A184</f>
        <v>46207.791666667108</v>
      </c>
      <c r="B184">
        <f>Raw_Load_Data!B184</f>
        <v>5.0999999999999996</v>
      </c>
      <c r="C184">
        <f>MAX(0,IF(AND(HOUR(A184)&gt;=6,HOUR(A184)&lt;=18),Assumptions!$B$8*SIN(PI()*(HOUR(A184)+MINUTE(A184)/60-6)/12),0))</f>
        <v>0</v>
      </c>
      <c r="D184">
        <f t="shared" si="2"/>
        <v>5.0999999999999996</v>
      </c>
      <c r="E184">
        <f>MIN(B184,C184)*Assumptions!$B$2</f>
        <v>0</v>
      </c>
      <c r="F184">
        <f>MAX(C184-B184,0)*Assumptions!$B$2</f>
        <v>0</v>
      </c>
      <c r="G184">
        <f>MAX(B184-C184,0)*Assumptions!$B$2</f>
        <v>2.5499999999999998</v>
      </c>
    </row>
    <row r="185" spans="1:7" x14ac:dyDescent="0.3">
      <c r="A185" s="5">
        <f>Raw_Load_Data!A185</f>
        <v>46207.812500000444</v>
      </c>
      <c r="B185">
        <f>Raw_Load_Data!B185</f>
        <v>3.1</v>
      </c>
      <c r="C185">
        <f>MAX(0,IF(AND(HOUR(A185)&gt;=6,HOUR(A185)&lt;=18),Assumptions!$B$8*SIN(PI()*(HOUR(A185)+MINUTE(A185)/60-6)/12),0))</f>
        <v>0</v>
      </c>
      <c r="D185">
        <f t="shared" si="2"/>
        <v>3.1</v>
      </c>
      <c r="E185">
        <f>MIN(B185,C185)*Assumptions!$B$2</f>
        <v>0</v>
      </c>
      <c r="F185">
        <f>MAX(C185-B185,0)*Assumptions!$B$2</f>
        <v>0</v>
      </c>
      <c r="G185">
        <f>MAX(B185-C185,0)*Assumptions!$B$2</f>
        <v>1.55</v>
      </c>
    </row>
    <row r="186" spans="1:7" x14ac:dyDescent="0.3">
      <c r="A186" s="5">
        <f>Raw_Load_Data!A186</f>
        <v>46207.83333333378</v>
      </c>
      <c r="B186">
        <f>Raw_Load_Data!B186</f>
        <v>4.9000000000000004</v>
      </c>
      <c r="C186">
        <f>MAX(0,IF(AND(HOUR(A186)&gt;=6,HOUR(A186)&lt;=18),Assumptions!$B$8*SIN(PI()*(HOUR(A186)+MINUTE(A186)/60-6)/12),0))</f>
        <v>0</v>
      </c>
      <c r="D186">
        <f t="shared" si="2"/>
        <v>4.9000000000000004</v>
      </c>
      <c r="E186">
        <f>MIN(B186,C186)*Assumptions!$B$2</f>
        <v>0</v>
      </c>
      <c r="F186">
        <f>MAX(C186-B186,0)*Assumptions!$B$2</f>
        <v>0</v>
      </c>
      <c r="G186">
        <f>MAX(B186-C186,0)*Assumptions!$B$2</f>
        <v>2.4500000000000002</v>
      </c>
    </row>
    <row r="187" spans="1:7" x14ac:dyDescent="0.3">
      <c r="A187" s="5">
        <f>Raw_Load_Data!A187</f>
        <v>46207.854166667115</v>
      </c>
      <c r="B187">
        <f>Raw_Load_Data!B187</f>
        <v>4.9000000000000004</v>
      </c>
      <c r="C187">
        <f>MAX(0,IF(AND(HOUR(A187)&gt;=6,HOUR(A187)&lt;=18),Assumptions!$B$8*SIN(PI()*(HOUR(A187)+MINUTE(A187)/60-6)/12),0))</f>
        <v>0</v>
      </c>
      <c r="D187">
        <f t="shared" si="2"/>
        <v>4.9000000000000004</v>
      </c>
      <c r="E187">
        <f>MIN(B187,C187)*Assumptions!$B$2</f>
        <v>0</v>
      </c>
      <c r="F187">
        <f>MAX(C187-B187,0)*Assumptions!$B$2</f>
        <v>0</v>
      </c>
      <c r="G187">
        <f>MAX(B187-C187,0)*Assumptions!$B$2</f>
        <v>2.4500000000000002</v>
      </c>
    </row>
    <row r="188" spans="1:7" x14ac:dyDescent="0.3">
      <c r="A188" s="5">
        <f>Raw_Load_Data!A188</f>
        <v>46207.875000000451</v>
      </c>
      <c r="B188">
        <f>Raw_Load_Data!B188</f>
        <v>3.5</v>
      </c>
      <c r="C188">
        <f>MAX(0,IF(AND(HOUR(A188)&gt;=6,HOUR(A188)&lt;=18),Assumptions!$B$8*SIN(PI()*(HOUR(A188)+MINUTE(A188)/60-6)/12),0))</f>
        <v>0</v>
      </c>
      <c r="D188">
        <f t="shared" si="2"/>
        <v>3.5</v>
      </c>
      <c r="E188">
        <f>MIN(B188,C188)*Assumptions!$B$2</f>
        <v>0</v>
      </c>
      <c r="F188">
        <f>MAX(C188-B188,0)*Assumptions!$B$2</f>
        <v>0</v>
      </c>
      <c r="G188">
        <f>MAX(B188-C188,0)*Assumptions!$B$2</f>
        <v>1.75</v>
      </c>
    </row>
    <row r="189" spans="1:7" x14ac:dyDescent="0.3">
      <c r="A189" s="5">
        <f>Raw_Load_Data!A189</f>
        <v>46207.895833333787</v>
      </c>
      <c r="B189">
        <f>Raw_Load_Data!B189</f>
        <v>7.7</v>
      </c>
      <c r="C189">
        <f>MAX(0,IF(AND(HOUR(A189)&gt;=6,HOUR(A189)&lt;=18),Assumptions!$B$8*SIN(PI()*(HOUR(A189)+MINUTE(A189)/60-6)/12),0))</f>
        <v>0</v>
      </c>
      <c r="D189">
        <f t="shared" si="2"/>
        <v>7.7</v>
      </c>
      <c r="E189">
        <f>MIN(B189,C189)*Assumptions!$B$2</f>
        <v>0</v>
      </c>
      <c r="F189">
        <f>MAX(C189-B189,0)*Assumptions!$B$2</f>
        <v>0</v>
      </c>
      <c r="G189">
        <f>MAX(B189-C189,0)*Assumptions!$B$2</f>
        <v>3.85</v>
      </c>
    </row>
    <row r="190" spans="1:7" x14ac:dyDescent="0.3">
      <c r="A190" s="5">
        <f>Raw_Load_Data!A190</f>
        <v>46207.916666667123</v>
      </c>
      <c r="B190">
        <f>Raw_Load_Data!B190</f>
        <v>7.5</v>
      </c>
      <c r="C190">
        <f>MAX(0,IF(AND(HOUR(A190)&gt;=6,HOUR(A190)&lt;=18),Assumptions!$B$8*SIN(PI()*(HOUR(A190)+MINUTE(A190)/60-6)/12),0))</f>
        <v>0</v>
      </c>
      <c r="D190">
        <f t="shared" si="2"/>
        <v>7.5</v>
      </c>
      <c r="E190">
        <f>MIN(B190,C190)*Assumptions!$B$2</f>
        <v>0</v>
      </c>
      <c r="F190">
        <f>MAX(C190-B190,0)*Assumptions!$B$2</f>
        <v>0</v>
      </c>
      <c r="G190">
        <f>MAX(B190-C190,0)*Assumptions!$B$2</f>
        <v>3.75</v>
      </c>
    </row>
    <row r="191" spans="1:7" x14ac:dyDescent="0.3">
      <c r="A191" s="5">
        <f>Raw_Load_Data!A191</f>
        <v>46207.937500000458</v>
      </c>
      <c r="B191">
        <f>Raw_Load_Data!B191</f>
        <v>4.9000000000000004</v>
      </c>
      <c r="C191">
        <f>MAX(0,IF(AND(HOUR(A191)&gt;=6,HOUR(A191)&lt;=18),Assumptions!$B$8*SIN(PI()*(HOUR(A191)+MINUTE(A191)/60-6)/12),0))</f>
        <v>0</v>
      </c>
      <c r="D191">
        <f t="shared" si="2"/>
        <v>4.9000000000000004</v>
      </c>
      <c r="E191">
        <f>MIN(B191,C191)*Assumptions!$B$2</f>
        <v>0</v>
      </c>
      <c r="F191">
        <f>MAX(C191-B191,0)*Assumptions!$B$2</f>
        <v>0</v>
      </c>
      <c r="G191">
        <f>MAX(B191-C191,0)*Assumptions!$B$2</f>
        <v>2.4500000000000002</v>
      </c>
    </row>
    <row r="192" spans="1:7" x14ac:dyDescent="0.3">
      <c r="A192" s="5">
        <f>Raw_Load_Data!A192</f>
        <v>46207.958333333794</v>
      </c>
      <c r="B192">
        <f>Raw_Load_Data!B192</f>
        <v>5</v>
      </c>
      <c r="C192">
        <f>MAX(0,IF(AND(HOUR(A192)&gt;=6,HOUR(A192)&lt;=18),Assumptions!$B$8*SIN(PI()*(HOUR(A192)+MINUTE(A192)/60-6)/12),0))</f>
        <v>0</v>
      </c>
      <c r="D192">
        <f t="shared" si="2"/>
        <v>5</v>
      </c>
      <c r="E192">
        <f>MIN(B192,C192)*Assumptions!$B$2</f>
        <v>0</v>
      </c>
      <c r="F192">
        <f>MAX(C192-B192,0)*Assumptions!$B$2</f>
        <v>0</v>
      </c>
      <c r="G192">
        <f>MAX(B192-C192,0)*Assumptions!$B$2</f>
        <v>2.5</v>
      </c>
    </row>
    <row r="193" spans="1:7" x14ac:dyDescent="0.3">
      <c r="A193" s="5">
        <f>Raw_Load_Data!A193</f>
        <v>46207.97916666713</v>
      </c>
      <c r="B193">
        <f>Raw_Load_Data!B193</f>
        <v>5.4</v>
      </c>
      <c r="C193">
        <f>MAX(0,IF(AND(HOUR(A193)&gt;=6,HOUR(A193)&lt;=18),Assumptions!$B$8*SIN(PI()*(HOUR(A193)+MINUTE(A193)/60-6)/12),0))</f>
        <v>0</v>
      </c>
      <c r="D193">
        <f t="shared" si="2"/>
        <v>5.4</v>
      </c>
      <c r="E193">
        <f>MIN(B193,C193)*Assumptions!$B$2</f>
        <v>0</v>
      </c>
      <c r="F193">
        <f>MAX(C193-B193,0)*Assumptions!$B$2</f>
        <v>0</v>
      </c>
      <c r="G193">
        <f>MAX(B193-C193,0)*Assumptions!$B$2</f>
        <v>2.7</v>
      </c>
    </row>
    <row r="194" spans="1:7" x14ac:dyDescent="0.3">
      <c r="A194" s="5">
        <f>Raw_Load_Data!A194</f>
        <v>46208.000000000466</v>
      </c>
      <c r="B194">
        <f>Raw_Load_Data!B194</f>
        <v>2.2000000000000002</v>
      </c>
      <c r="C194">
        <f>MAX(0,IF(AND(HOUR(A194)&gt;=6,HOUR(A194)&lt;=18),Assumptions!$B$8*SIN(PI()*(HOUR(A194)+MINUTE(A194)/60-6)/12),0))</f>
        <v>0</v>
      </c>
      <c r="D194">
        <f t="shared" si="2"/>
        <v>2.2000000000000002</v>
      </c>
      <c r="E194">
        <f>MIN(B194,C194)*Assumptions!$B$2</f>
        <v>0</v>
      </c>
      <c r="F194">
        <f>MAX(C194-B194,0)*Assumptions!$B$2</f>
        <v>0</v>
      </c>
      <c r="G194">
        <f>MAX(B194-C194,0)*Assumptions!$B$2</f>
        <v>1.1000000000000001</v>
      </c>
    </row>
    <row r="195" spans="1:7" x14ac:dyDescent="0.3">
      <c r="A195" s="5">
        <f>Raw_Load_Data!A195</f>
        <v>46208.020833333801</v>
      </c>
      <c r="B195">
        <f>Raw_Load_Data!B195</f>
        <v>2.2000000000000002</v>
      </c>
      <c r="C195">
        <f>MAX(0,IF(AND(HOUR(A195)&gt;=6,HOUR(A195)&lt;=18),Assumptions!$B$8*SIN(PI()*(HOUR(A195)+MINUTE(A195)/60-6)/12),0))</f>
        <v>0</v>
      </c>
      <c r="D195">
        <f t="shared" ref="D195:D258" si="3">B195-C195</f>
        <v>2.2000000000000002</v>
      </c>
      <c r="E195">
        <f>MIN(B195,C195)*Assumptions!$B$2</f>
        <v>0</v>
      </c>
      <c r="F195">
        <f>MAX(C195-B195,0)*Assumptions!$B$2</f>
        <v>0</v>
      </c>
      <c r="G195">
        <f>MAX(B195-C195,0)*Assumptions!$B$2</f>
        <v>1.1000000000000001</v>
      </c>
    </row>
    <row r="196" spans="1:7" x14ac:dyDescent="0.3">
      <c r="A196" s="5">
        <f>Raw_Load_Data!A196</f>
        <v>46208.041666667137</v>
      </c>
      <c r="B196">
        <f>Raw_Load_Data!B196</f>
        <v>1.9</v>
      </c>
      <c r="C196">
        <f>MAX(0,IF(AND(HOUR(A196)&gt;=6,HOUR(A196)&lt;=18),Assumptions!$B$8*SIN(PI()*(HOUR(A196)+MINUTE(A196)/60-6)/12),0))</f>
        <v>0</v>
      </c>
      <c r="D196">
        <f t="shared" si="3"/>
        <v>1.9</v>
      </c>
      <c r="E196">
        <f>MIN(B196,C196)*Assumptions!$B$2</f>
        <v>0</v>
      </c>
      <c r="F196">
        <f>MAX(C196-B196,0)*Assumptions!$B$2</f>
        <v>0</v>
      </c>
      <c r="G196">
        <f>MAX(B196-C196,0)*Assumptions!$B$2</f>
        <v>0.95</v>
      </c>
    </row>
    <row r="197" spans="1:7" x14ac:dyDescent="0.3">
      <c r="A197" s="5">
        <f>Raw_Load_Data!A197</f>
        <v>46208.062500000473</v>
      </c>
      <c r="B197">
        <f>Raw_Load_Data!B197</f>
        <v>2.9</v>
      </c>
      <c r="C197">
        <f>MAX(0,IF(AND(HOUR(A197)&gt;=6,HOUR(A197)&lt;=18),Assumptions!$B$8*SIN(PI()*(HOUR(A197)+MINUTE(A197)/60-6)/12),0))</f>
        <v>0</v>
      </c>
      <c r="D197">
        <f t="shared" si="3"/>
        <v>2.9</v>
      </c>
      <c r="E197">
        <f>MIN(B197,C197)*Assumptions!$B$2</f>
        <v>0</v>
      </c>
      <c r="F197">
        <f>MAX(C197-B197,0)*Assumptions!$B$2</f>
        <v>0</v>
      </c>
      <c r="G197">
        <f>MAX(B197-C197,0)*Assumptions!$B$2</f>
        <v>1.45</v>
      </c>
    </row>
    <row r="198" spans="1:7" x14ac:dyDescent="0.3">
      <c r="A198" s="5">
        <f>Raw_Load_Data!A198</f>
        <v>46208.083333333809</v>
      </c>
      <c r="B198">
        <f>Raw_Load_Data!B198</f>
        <v>2</v>
      </c>
      <c r="C198">
        <f>MAX(0,IF(AND(HOUR(A198)&gt;=6,HOUR(A198)&lt;=18),Assumptions!$B$8*SIN(PI()*(HOUR(A198)+MINUTE(A198)/60-6)/12),0))</f>
        <v>0</v>
      </c>
      <c r="D198">
        <f t="shared" si="3"/>
        <v>2</v>
      </c>
      <c r="E198">
        <f>MIN(B198,C198)*Assumptions!$B$2</f>
        <v>0</v>
      </c>
      <c r="F198">
        <f>MAX(C198-B198,0)*Assumptions!$B$2</f>
        <v>0</v>
      </c>
      <c r="G198">
        <f>MAX(B198-C198,0)*Assumptions!$B$2</f>
        <v>1</v>
      </c>
    </row>
    <row r="199" spans="1:7" x14ac:dyDescent="0.3">
      <c r="A199" s="5">
        <f>Raw_Load_Data!A199</f>
        <v>46208.104166667144</v>
      </c>
      <c r="B199">
        <f>Raw_Load_Data!B199</f>
        <v>2.7</v>
      </c>
      <c r="C199">
        <f>MAX(0,IF(AND(HOUR(A199)&gt;=6,HOUR(A199)&lt;=18),Assumptions!$B$8*SIN(PI()*(HOUR(A199)+MINUTE(A199)/60-6)/12),0))</f>
        <v>0</v>
      </c>
      <c r="D199">
        <f t="shared" si="3"/>
        <v>2.7</v>
      </c>
      <c r="E199">
        <f>MIN(B199,C199)*Assumptions!$B$2</f>
        <v>0</v>
      </c>
      <c r="F199">
        <f>MAX(C199-B199,0)*Assumptions!$B$2</f>
        <v>0</v>
      </c>
      <c r="G199">
        <f>MAX(B199-C199,0)*Assumptions!$B$2</f>
        <v>1.35</v>
      </c>
    </row>
    <row r="200" spans="1:7" x14ac:dyDescent="0.3">
      <c r="A200" s="5">
        <f>Raw_Load_Data!A200</f>
        <v>46208.12500000048</v>
      </c>
      <c r="B200">
        <f>Raw_Load_Data!B200</f>
        <v>2</v>
      </c>
      <c r="C200">
        <f>MAX(0,IF(AND(HOUR(A200)&gt;=6,HOUR(A200)&lt;=18),Assumptions!$B$8*SIN(PI()*(HOUR(A200)+MINUTE(A200)/60-6)/12),0))</f>
        <v>0</v>
      </c>
      <c r="D200">
        <f t="shared" si="3"/>
        <v>2</v>
      </c>
      <c r="E200">
        <f>MIN(B200,C200)*Assumptions!$B$2</f>
        <v>0</v>
      </c>
      <c r="F200">
        <f>MAX(C200-B200,0)*Assumptions!$B$2</f>
        <v>0</v>
      </c>
      <c r="G200">
        <f>MAX(B200-C200,0)*Assumptions!$B$2</f>
        <v>1</v>
      </c>
    </row>
    <row r="201" spans="1:7" x14ac:dyDescent="0.3">
      <c r="A201" s="5">
        <f>Raw_Load_Data!A201</f>
        <v>46208.145833333816</v>
      </c>
      <c r="B201">
        <f>Raw_Load_Data!B201</f>
        <v>2.4</v>
      </c>
      <c r="C201">
        <f>MAX(0,IF(AND(HOUR(A201)&gt;=6,HOUR(A201)&lt;=18),Assumptions!$B$8*SIN(PI()*(HOUR(A201)+MINUTE(A201)/60-6)/12),0))</f>
        <v>0</v>
      </c>
      <c r="D201">
        <f t="shared" si="3"/>
        <v>2.4</v>
      </c>
      <c r="E201">
        <f>MIN(B201,C201)*Assumptions!$B$2</f>
        <v>0</v>
      </c>
      <c r="F201">
        <f>MAX(C201-B201,0)*Assumptions!$B$2</f>
        <v>0</v>
      </c>
      <c r="G201">
        <f>MAX(B201-C201,0)*Assumptions!$B$2</f>
        <v>1.2</v>
      </c>
    </row>
    <row r="202" spans="1:7" x14ac:dyDescent="0.3">
      <c r="A202" s="5">
        <f>Raw_Load_Data!A202</f>
        <v>46208.166666667152</v>
      </c>
      <c r="B202">
        <f>Raw_Load_Data!B202</f>
        <v>1.9</v>
      </c>
      <c r="C202">
        <f>MAX(0,IF(AND(HOUR(A202)&gt;=6,HOUR(A202)&lt;=18),Assumptions!$B$8*SIN(PI()*(HOUR(A202)+MINUTE(A202)/60-6)/12),0))</f>
        <v>0</v>
      </c>
      <c r="D202">
        <f t="shared" si="3"/>
        <v>1.9</v>
      </c>
      <c r="E202">
        <f>MIN(B202,C202)*Assumptions!$B$2</f>
        <v>0</v>
      </c>
      <c r="F202">
        <f>MAX(C202-B202,0)*Assumptions!$B$2</f>
        <v>0</v>
      </c>
      <c r="G202">
        <f>MAX(B202-C202,0)*Assumptions!$B$2</f>
        <v>0.95</v>
      </c>
    </row>
    <row r="203" spans="1:7" x14ac:dyDescent="0.3">
      <c r="A203" s="5">
        <f>Raw_Load_Data!A203</f>
        <v>46208.187500000487</v>
      </c>
      <c r="B203">
        <f>Raw_Load_Data!B203</f>
        <v>2.7</v>
      </c>
      <c r="C203">
        <f>MAX(0,IF(AND(HOUR(A203)&gt;=6,HOUR(A203)&lt;=18),Assumptions!$B$8*SIN(PI()*(HOUR(A203)+MINUTE(A203)/60-6)/12),0))</f>
        <v>0</v>
      </c>
      <c r="D203">
        <f t="shared" si="3"/>
        <v>2.7</v>
      </c>
      <c r="E203">
        <f>MIN(B203,C203)*Assumptions!$B$2</f>
        <v>0</v>
      </c>
      <c r="F203">
        <f>MAX(C203-B203,0)*Assumptions!$B$2</f>
        <v>0</v>
      </c>
      <c r="G203">
        <f>MAX(B203-C203,0)*Assumptions!$B$2</f>
        <v>1.35</v>
      </c>
    </row>
    <row r="204" spans="1:7" x14ac:dyDescent="0.3">
      <c r="A204" s="5">
        <f>Raw_Load_Data!A204</f>
        <v>46208.208333333823</v>
      </c>
      <c r="B204">
        <f>Raw_Load_Data!B204</f>
        <v>1.8</v>
      </c>
      <c r="C204">
        <f>MAX(0,IF(AND(HOUR(A204)&gt;=6,HOUR(A204)&lt;=18),Assumptions!$B$8*SIN(PI()*(HOUR(A204)+MINUTE(A204)/60-6)/12),0))</f>
        <v>0</v>
      </c>
      <c r="D204">
        <f t="shared" si="3"/>
        <v>1.8</v>
      </c>
      <c r="E204">
        <f>MIN(B204,C204)*Assumptions!$B$2</f>
        <v>0</v>
      </c>
      <c r="F204">
        <f>MAX(C204-B204,0)*Assumptions!$B$2</f>
        <v>0</v>
      </c>
      <c r="G204">
        <f>MAX(B204-C204,0)*Assumptions!$B$2</f>
        <v>0.9</v>
      </c>
    </row>
    <row r="205" spans="1:7" x14ac:dyDescent="0.3">
      <c r="A205" s="5">
        <f>Raw_Load_Data!A205</f>
        <v>46208.229166667159</v>
      </c>
      <c r="B205">
        <f>Raw_Load_Data!B205</f>
        <v>2.6</v>
      </c>
      <c r="C205">
        <f>MAX(0,IF(AND(HOUR(A205)&gt;=6,HOUR(A205)&lt;=18),Assumptions!$B$8*SIN(PI()*(HOUR(A205)+MINUTE(A205)/60-6)/12),0))</f>
        <v>0</v>
      </c>
      <c r="D205">
        <f t="shared" si="3"/>
        <v>2.6</v>
      </c>
      <c r="E205">
        <f>MIN(B205,C205)*Assumptions!$B$2</f>
        <v>0</v>
      </c>
      <c r="F205">
        <f>MAX(C205-B205,0)*Assumptions!$B$2</f>
        <v>0</v>
      </c>
      <c r="G205">
        <f>MAX(B205-C205,0)*Assumptions!$B$2</f>
        <v>1.3</v>
      </c>
    </row>
    <row r="206" spans="1:7" x14ac:dyDescent="0.3">
      <c r="A206" s="5">
        <f>Raw_Load_Data!A206</f>
        <v>46208.250000000495</v>
      </c>
      <c r="B206">
        <f>Raw_Load_Data!B206</f>
        <v>7.3</v>
      </c>
      <c r="C206">
        <f>MAX(0,IF(AND(HOUR(A206)&gt;=6,HOUR(A206)&lt;=18),Assumptions!$B$8*SIN(PI()*(HOUR(A206)+MINUTE(A206)/60-6)/12),0))</f>
        <v>0</v>
      </c>
      <c r="D206">
        <f t="shared" si="3"/>
        <v>7.3</v>
      </c>
      <c r="E206">
        <f>MIN(B206,C206)*Assumptions!$B$2</f>
        <v>0</v>
      </c>
      <c r="F206">
        <f>MAX(C206-B206,0)*Assumptions!$B$2</f>
        <v>0</v>
      </c>
      <c r="G206">
        <f>MAX(B206-C206,0)*Assumptions!$B$2</f>
        <v>3.65</v>
      </c>
    </row>
    <row r="207" spans="1:7" x14ac:dyDescent="0.3">
      <c r="A207" s="5">
        <f>Raw_Load_Data!A207</f>
        <v>46208.270833333831</v>
      </c>
      <c r="B207">
        <f>Raw_Load_Data!B207</f>
        <v>4</v>
      </c>
      <c r="C207">
        <f>MAX(0,IF(AND(HOUR(A207)&gt;=6,HOUR(A207)&lt;=18),Assumptions!$B$8*SIN(PI()*(HOUR(A207)+MINUTE(A207)/60-6)/12),0))</f>
        <v>3.9157857666015472</v>
      </c>
      <c r="D207">
        <f t="shared" si="3"/>
        <v>8.4214233398452798E-2</v>
      </c>
      <c r="E207">
        <f>MIN(B207,C207)*Assumptions!$B$2</f>
        <v>1.9578928833007736</v>
      </c>
      <c r="F207">
        <f>MAX(C207-B207,0)*Assumptions!$B$2</f>
        <v>0</v>
      </c>
      <c r="G207">
        <f>MAX(B207-C207,0)*Assumptions!$B$2</f>
        <v>4.2107116699226399E-2</v>
      </c>
    </row>
    <row r="208" spans="1:7" x14ac:dyDescent="0.3">
      <c r="A208" s="5">
        <f>Raw_Load_Data!A208</f>
        <v>46208.291666667166</v>
      </c>
      <c r="B208">
        <f>Raw_Load_Data!B208</f>
        <v>4.7</v>
      </c>
      <c r="C208">
        <f>MAX(0,IF(AND(HOUR(A208)&gt;=6,HOUR(A208)&lt;=18),Assumptions!$B$8*SIN(PI()*(HOUR(A208)+MINUTE(A208)/60-6)/12),0))</f>
        <v>7.7645713530756222</v>
      </c>
      <c r="D208">
        <f t="shared" si="3"/>
        <v>-3.064571353075622</v>
      </c>
      <c r="E208">
        <f>MIN(B208,C208)*Assumptions!$B$2</f>
        <v>2.35</v>
      </c>
      <c r="F208">
        <f>MAX(C208-B208,0)*Assumptions!$B$2</f>
        <v>1.532285676537811</v>
      </c>
      <c r="G208">
        <f>MAX(B208-C208,0)*Assumptions!$B$2</f>
        <v>0</v>
      </c>
    </row>
    <row r="209" spans="1:7" x14ac:dyDescent="0.3">
      <c r="A209" s="5">
        <f>Raw_Load_Data!A209</f>
        <v>46208.312500000502</v>
      </c>
      <c r="B209">
        <f>Raw_Load_Data!B209</f>
        <v>5.9</v>
      </c>
      <c r="C209">
        <f>MAX(0,IF(AND(HOUR(A209)&gt;=6,HOUR(A209)&lt;=18),Assumptions!$B$8*SIN(PI()*(HOUR(A209)+MINUTE(A209)/60-6)/12),0))</f>
        <v>11.480502970952694</v>
      </c>
      <c r="D209">
        <f t="shared" si="3"/>
        <v>-5.5805029709526934</v>
      </c>
      <c r="E209">
        <f>MIN(B209,C209)*Assumptions!$B$2</f>
        <v>2.95</v>
      </c>
      <c r="F209">
        <f>MAX(C209-B209,0)*Assumptions!$B$2</f>
        <v>2.7902514854763467</v>
      </c>
      <c r="G209">
        <f>MAX(B209-C209,0)*Assumptions!$B$2</f>
        <v>0</v>
      </c>
    </row>
    <row r="210" spans="1:7" x14ac:dyDescent="0.3">
      <c r="A210" s="5">
        <f>Raw_Load_Data!A210</f>
        <v>46208.333333333838</v>
      </c>
      <c r="B210">
        <f>Raw_Load_Data!B210</f>
        <v>12.6</v>
      </c>
      <c r="C210">
        <f>MAX(0,IF(AND(HOUR(A210)&gt;=6,HOUR(A210)&lt;=18),Assumptions!$B$8*SIN(PI()*(HOUR(A210)+MINUTE(A210)/60-6)/12),0))</f>
        <v>14.999999999999998</v>
      </c>
      <c r="D210">
        <f t="shared" si="3"/>
        <v>-2.3999999999999986</v>
      </c>
      <c r="E210">
        <f>MIN(B210,C210)*Assumptions!$B$2</f>
        <v>6.3</v>
      </c>
      <c r="F210">
        <f>MAX(C210-B210,0)*Assumptions!$B$2</f>
        <v>1.1999999999999993</v>
      </c>
      <c r="G210">
        <f>MAX(B210-C210,0)*Assumptions!$B$2</f>
        <v>0</v>
      </c>
    </row>
    <row r="211" spans="1:7" x14ac:dyDescent="0.3">
      <c r="A211" s="5">
        <f>Raw_Load_Data!A211</f>
        <v>46208.354166667174</v>
      </c>
      <c r="B211">
        <f>Raw_Load_Data!B211</f>
        <v>21.5</v>
      </c>
      <c r="C211">
        <f>MAX(0,IF(AND(HOUR(A211)&gt;=6,HOUR(A211)&lt;=18),Assumptions!$B$8*SIN(PI()*(HOUR(A211)+MINUTE(A211)/60-6)/12),0))</f>
        <v>18.262842870261618</v>
      </c>
      <c r="D211">
        <f t="shared" si="3"/>
        <v>3.2371571297383817</v>
      </c>
      <c r="E211">
        <f>MIN(B211,C211)*Assumptions!$B$2</f>
        <v>9.1314214351308092</v>
      </c>
      <c r="F211">
        <f>MAX(C211-B211,0)*Assumptions!$B$2</f>
        <v>0</v>
      </c>
      <c r="G211">
        <f>MAX(B211-C211,0)*Assumptions!$B$2</f>
        <v>1.6185785648691908</v>
      </c>
    </row>
    <row r="212" spans="1:7" x14ac:dyDescent="0.3">
      <c r="A212" s="5">
        <f>Raw_Load_Data!A212</f>
        <v>46208.375000000509</v>
      </c>
      <c r="B212">
        <f>Raw_Load_Data!B212</f>
        <v>15</v>
      </c>
      <c r="C212">
        <f>MAX(0,IF(AND(HOUR(A212)&gt;=6,HOUR(A212)&lt;=18),Assumptions!$B$8*SIN(PI()*(HOUR(A212)+MINUTE(A212)/60-6)/12),0))</f>
        <v>21.213203435596423</v>
      </c>
      <c r="D212">
        <f t="shared" si="3"/>
        <v>-6.213203435596423</v>
      </c>
      <c r="E212">
        <f>MIN(B212,C212)*Assumptions!$B$2</f>
        <v>7.5</v>
      </c>
      <c r="F212">
        <f>MAX(C212-B212,0)*Assumptions!$B$2</f>
        <v>3.1066017177982115</v>
      </c>
      <c r="G212">
        <f>MAX(B212-C212,0)*Assumptions!$B$2</f>
        <v>0</v>
      </c>
    </row>
    <row r="213" spans="1:7" x14ac:dyDescent="0.3">
      <c r="A213" s="5">
        <f>Raw_Load_Data!A213</f>
        <v>46208.395833333845</v>
      </c>
      <c r="B213">
        <f>Raw_Load_Data!B213</f>
        <v>17.600000000000001</v>
      </c>
      <c r="C213">
        <f>MAX(0,IF(AND(HOUR(A213)&gt;=6,HOUR(A213)&lt;=18),Assumptions!$B$8*SIN(PI()*(HOUR(A213)+MINUTE(A213)/60-6)/12),0))</f>
        <v>23.800600208737055</v>
      </c>
      <c r="D213">
        <f t="shared" si="3"/>
        <v>-6.200600208737054</v>
      </c>
      <c r="E213">
        <f>MIN(B213,C213)*Assumptions!$B$2</f>
        <v>8.8000000000000007</v>
      </c>
      <c r="F213">
        <f>MAX(C213-B213,0)*Assumptions!$B$2</f>
        <v>3.100300104368527</v>
      </c>
      <c r="G213">
        <f>MAX(B213-C213,0)*Assumptions!$B$2</f>
        <v>0</v>
      </c>
    </row>
    <row r="214" spans="1:7" x14ac:dyDescent="0.3">
      <c r="A214" s="5">
        <f>Raw_Load_Data!A214</f>
        <v>46208.416666667181</v>
      </c>
      <c r="B214">
        <f>Raw_Load_Data!B214</f>
        <v>14.5</v>
      </c>
      <c r="C214">
        <f>MAX(0,IF(AND(HOUR(A214)&gt;=6,HOUR(A214)&lt;=18),Assumptions!$B$8*SIN(PI()*(HOUR(A214)+MINUTE(A214)/60-6)/12),0))</f>
        <v>25.980762113533157</v>
      </c>
      <c r="D214">
        <f t="shared" si="3"/>
        <v>-11.480762113533157</v>
      </c>
      <c r="E214">
        <f>MIN(B214,C214)*Assumptions!$B$2</f>
        <v>7.25</v>
      </c>
      <c r="F214">
        <f>MAX(C214-B214,0)*Assumptions!$B$2</f>
        <v>5.7403810567665783</v>
      </c>
      <c r="G214">
        <f>MAX(B214-C214,0)*Assumptions!$B$2</f>
        <v>0</v>
      </c>
    </row>
    <row r="215" spans="1:7" x14ac:dyDescent="0.3">
      <c r="A215" s="5">
        <f>Raw_Load_Data!A215</f>
        <v>46208.437500000517</v>
      </c>
      <c r="B215">
        <f>Raw_Load_Data!B215</f>
        <v>21.5</v>
      </c>
      <c r="C215">
        <f>MAX(0,IF(AND(HOUR(A215)&gt;=6,HOUR(A215)&lt;=18),Assumptions!$B$8*SIN(PI()*(HOUR(A215)+MINUTE(A215)/60-6)/12),0))</f>
        <v>27.716385975338603</v>
      </c>
      <c r="D215">
        <f t="shared" si="3"/>
        <v>-6.2163859753386035</v>
      </c>
      <c r="E215">
        <f>MIN(B215,C215)*Assumptions!$B$2</f>
        <v>10.75</v>
      </c>
      <c r="F215">
        <f>MAX(C215-B215,0)*Assumptions!$B$2</f>
        <v>3.1081929876693017</v>
      </c>
      <c r="G215">
        <f>MAX(B215-C215,0)*Assumptions!$B$2</f>
        <v>0</v>
      </c>
    </row>
    <row r="216" spans="1:7" x14ac:dyDescent="0.3">
      <c r="A216" s="5">
        <f>Raw_Load_Data!A216</f>
        <v>46208.458333333852</v>
      </c>
      <c r="B216">
        <f>Raw_Load_Data!B216</f>
        <v>20.8</v>
      </c>
      <c r="C216">
        <f>MAX(0,IF(AND(HOUR(A216)&gt;=6,HOUR(A216)&lt;=18),Assumptions!$B$8*SIN(PI()*(HOUR(A216)+MINUTE(A216)/60-6)/12),0))</f>
        <v>28.97777478867205</v>
      </c>
      <c r="D216">
        <f t="shared" si="3"/>
        <v>-8.1777747886720498</v>
      </c>
      <c r="E216">
        <f>MIN(B216,C216)*Assumptions!$B$2</f>
        <v>10.4</v>
      </c>
      <c r="F216">
        <f>MAX(C216-B216,0)*Assumptions!$B$2</f>
        <v>4.0888873943360249</v>
      </c>
      <c r="G216">
        <f>MAX(B216-C216,0)*Assumptions!$B$2</f>
        <v>0</v>
      </c>
    </row>
    <row r="217" spans="1:7" x14ac:dyDescent="0.3">
      <c r="A217" s="5">
        <f>Raw_Load_Data!A217</f>
        <v>46208.479166667188</v>
      </c>
      <c r="B217">
        <f>Raw_Load_Data!B217</f>
        <v>20.399999999999999</v>
      </c>
      <c r="C217">
        <f>MAX(0,IF(AND(HOUR(A217)&gt;=6,HOUR(A217)&lt;=18),Assumptions!$B$8*SIN(PI()*(HOUR(A217)+MINUTE(A217)/60-6)/12),0))</f>
        <v>29.74334584121431</v>
      </c>
      <c r="D217">
        <f t="shared" si="3"/>
        <v>-9.3433458412143118</v>
      </c>
      <c r="E217">
        <f>MIN(B217,C217)*Assumptions!$B$2</f>
        <v>10.199999999999999</v>
      </c>
      <c r="F217">
        <f>MAX(C217-B217,0)*Assumptions!$B$2</f>
        <v>4.6716729206071559</v>
      </c>
      <c r="G217">
        <f>MAX(B217-C217,0)*Assumptions!$B$2</f>
        <v>0</v>
      </c>
    </row>
    <row r="218" spans="1:7" x14ac:dyDescent="0.3">
      <c r="A218" s="5">
        <f>Raw_Load_Data!A218</f>
        <v>46208.500000000524</v>
      </c>
      <c r="B218">
        <f>Raw_Load_Data!B218</f>
        <v>22.2</v>
      </c>
      <c r="C218">
        <f>MAX(0,IF(AND(HOUR(A218)&gt;=6,HOUR(A218)&lt;=18),Assumptions!$B$8*SIN(PI()*(HOUR(A218)+MINUTE(A218)/60-6)/12),0))</f>
        <v>30</v>
      </c>
      <c r="D218">
        <f t="shared" si="3"/>
        <v>-7.8000000000000007</v>
      </c>
      <c r="E218">
        <f>MIN(B218,C218)*Assumptions!$B$2</f>
        <v>11.1</v>
      </c>
      <c r="F218">
        <f>MAX(C218-B218,0)*Assumptions!$B$2</f>
        <v>3.9000000000000004</v>
      </c>
      <c r="G218">
        <f>MAX(B218-C218,0)*Assumptions!$B$2</f>
        <v>0</v>
      </c>
    </row>
    <row r="219" spans="1:7" x14ac:dyDescent="0.3">
      <c r="A219" s="5">
        <f>Raw_Load_Data!A219</f>
        <v>46208.52083333386</v>
      </c>
      <c r="B219">
        <f>Raw_Load_Data!B219</f>
        <v>24.5</v>
      </c>
      <c r="C219">
        <f>MAX(0,IF(AND(HOUR(A219)&gt;=6,HOUR(A219)&lt;=18),Assumptions!$B$8*SIN(PI()*(HOUR(A219)+MINUTE(A219)/60-6)/12),0))</f>
        <v>29.74334584121431</v>
      </c>
      <c r="D219">
        <f t="shared" si="3"/>
        <v>-5.2433458412143104</v>
      </c>
      <c r="E219">
        <f>MIN(B219,C219)*Assumptions!$B$2</f>
        <v>12.25</v>
      </c>
      <c r="F219">
        <f>MAX(C219-B219,0)*Assumptions!$B$2</f>
        <v>2.6216729206071552</v>
      </c>
      <c r="G219">
        <f>MAX(B219-C219,0)*Assumptions!$B$2</f>
        <v>0</v>
      </c>
    </row>
    <row r="220" spans="1:7" x14ac:dyDescent="0.3">
      <c r="A220" s="5">
        <f>Raw_Load_Data!A220</f>
        <v>46208.541666667195</v>
      </c>
      <c r="B220">
        <f>Raw_Load_Data!B220</f>
        <v>19.7</v>
      </c>
      <c r="C220">
        <f>MAX(0,IF(AND(HOUR(A220)&gt;=6,HOUR(A220)&lt;=18),Assumptions!$B$8*SIN(PI()*(HOUR(A220)+MINUTE(A220)/60-6)/12),0))</f>
        <v>28.97777478867205</v>
      </c>
      <c r="D220">
        <f t="shared" si="3"/>
        <v>-9.2777747886720512</v>
      </c>
      <c r="E220">
        <f>MIN(B220,C220)*Assumptions!$B$2</f>
        <v>9.85</v>
      </c>
      <c r="F220">
        <f>MAX(C220-B220,0)*Assumptions!$B$2</f>
        <v>4.6388873943360256</v>
      </c>
      <c r="G220">
        <f>MAX(B220-C220,0)*Assumptions!$B$2</f>
        <v>0</v>
      </c>
    </row>
    <row r="221" spans="1:7" x14ac:dyDescent="0.3">
      <c r="A221" s="5">
        <f>Raw_Load_Data!A221</f>
        <v>46208.562500000531</v>
      </c>
      <c r="B221">
        <f>Raw_Load_Data!B221</f>
        <v>31.2</v>
      </c>
      <c r="C221">
        <f>MAX(0,IF(AND(HOUR(A221)&gt;=6,HOUR(A221)&lt;=18),Assumptions!$B$8*SIN(PI()*(HOUR(A221)+MINUTE(A221)/60-6)/12),0))</f>
        <v>27.716385975338607</v>
      </c>
      <c r="D221">
        <f t="shared" si="3"/>
        <v>3.4836140246613922</v>
      </c>
      <c r="E221">
        <f>MIN(B221,C221)*Assumptions!$B$2</f>
        <v>13.858192987669304</v>
      </c>
      <c r="F221">
        <f>MAX(C221-B221,0)*Assumptions!$B$2</f>
        <v>0</v>
      </c>
      <c r="G221">
        <f>MAX(B221-C221,0)*Assumptions!$B$2</f>
        <v>1.7418070123306961</v>
      </c>
    </row>
    <row r="222" spans="1:7" x14ac:dyDescent="0.3">
      <c r="A222" s="5">
        <f>Raw_Load_Data!A222</f>
        <v>46208.583333333867</v>
      </c>
      <c r="B222">
        <f>Raw_Load_Data!B222</f>
        <v>29.3</v>
      </c>
      <c r="C222">
        <f>MAX(0,IF(AND(HOUR(A222)&gt;=6,HOUR(A222)&lt;=18),Assumptions!$B$8*SIN(PI()*(HOUR(A222)+MINUTE(A222)/60-6)/12),0))</f>
        <v>25.98076211353316</v>
      </c>
      <c r="D222">
        <f t="shared" si="3"/>
        <v>3.3192378864668406</v>
      </c>
      <c r="E222">
        <f>MIN(B222,C222)*Assumptions!$B$2</f>
        <v>12.99038105676658</v>
      </c>
      <c r="F222">
        <f>MAX(C222-B222,0)*Assumptions!$B$2</f>
        <v>0</v>
      </c>
      <c r="G222">
        <f>MAX(B222-C222,0)*Assumptions!$B$2</f>
        <v>1.6596189432334203</v>
      </c>
    </row>
    <row r="223" spans="1:7" x14ac:dyDescent="0.3">
      <c r="A223" s="5">
        <f>Raw_Load_Data!A223</f>
        <v>46208.604166667203</v>
      </c>
      <c r="B223">
        <f>Raw_Load_Data!B223</f>
        <v>20.399999999999999</v>
      </c>
      <c r="C223">
        <f>MAX(0,IF(AND(HOUR(A223)&gt;=6,HOUR(A223)&lt;=18),Assumptions!$B$8*SIN(PI()*(HOUR(A223)+MINUTE(A223)/60-6)/12),0))</f>
        <v>23.800600208737055</v>
      </c>
      <c r="D223">
        <f t="shared" si="3"/>
        <v>-3.4006002087370568</v>
      </c>
      <c r="E223">
        <f>MIN(B223,C223)*Assumptions!$B$2</f>
        <v>10.199999999999999</v>
      </c>
      <c r="F223">
        <f>MAX(C223-B223,0)*Assumptions!$B$2</f>
        <v>1.7003001043685284</v>
      </c>
      <c r="G223">
        <f>MAX(B223-C223,0)*Assumptions!$B$2</f>
        <v>0</v>
      </c>
    </row>
    <row r="224" spans="1:7" x14ac:dyDescent="0.3">
      <c r="A224" s="5">
        <f>Raw_Load_Data!A224</f>
        <v>46208.625000000538</v>
      </c>
      <c r="B224">
        <f>Raw_Load_Data!B224</f>
        <v>34.9</v>
      </c>
      <c r="C224">
        <f>MAX(0,IF(AND(HOUR(A224)&gt;=6,HOUR(A224)&lt;=18),Assumptions!$B$8*SIN(PI()*(HOUR(A224)+MINUTE(A224)/60-6)/12),0))</f>
        <v>21.213203435596427</v>
      </c>
      <c r="D224">
        <f t="shared" si="3"/>
        <v>13.686796564403572</v>
      </c>
      <c r="E224">
        <f>MIN(B224,C224)*Assumptions!$B$2</f>
        <v>10.606601717798213</v>
      </c>
      <c r="F224">
        <f>MAX(C224-B224,0)*Assumptions!$B$2</f>
        <v>0</v>
      </c>
      <c r="G224">
        <f>MAX(B224-C224,0)*Assumptions!$B$2</f>
        <v>6.843398282201786</v>
      </c>
    </row>
    <row r="225" spans="1:7" x14ac:dyDescent="0.3">
      <c r="A225" s="5">
        <f>Raw_Load_Data!A225</f>
        <v>46208.645833333874</v>
      </c>
      <c r="B225">
        <f>Raw_Load_Data!B225</f>
        <v>21</v>
      </c>
      <c r="C225">
        <f>MAX(0,IF(AND(HOUR(A225)&gt;=6,HOUR(A225)&lt;=18),Assumptions!$B$8*SIN(PI()*(HOUR(A225)+MINUTE(A225)/60-6)/12),0))</f>
        <v>18.262842870261625</v>
      </c>
      <c r="D225">
        <f t="shared" si="3"/>
        <v>2.7371571297383746</v>
      </c>
      <c r="E225">
        <f>MIN(B225,C225)*Assumptions!$B$2</f>
        <v>9.1314214351308127</v>
      </c>
      <c r="F225">
        <f>MAX(C225-B225,0)*Assumptions!$B$2</f>
        <v>0</v>
      </c>
      <c r="G225">
        <f>MAX(B225-C225,0)*Assumptions!$B$2</f>
        <v>1.3685785648691873</v>
      </c>
    </row>
    <row r="226" spans="1:7" x14ac:dyDescent="0.3">
      <c r="A226" s="5">
        <f>Raw_Load_Data!A226</f>
        <v>46208.66666666721</v>
      </c>
      <c r="B226">
        <f>Raw_Load_Data!B226</f>
        <v>14.3</v>
      </c>
      <c r="C226">
        <f>MAX(0,IF(AND(HOUR(A226)&gt;=6,HOUR(A226)&lt;=18),Assumptions!$B$8*SIN(PI()*(HOUR(A226)+MINUTE(A226)/60-6)/12),0))</f>
        <v>14.999999999999998</v>
      </c>
      <c r="D226">
        <f t="shared" si="3"/>
        <v>-0.69999999999999751</v>
      </c>
      <c r="E226">
        <f>MIN(B226,C226)*Assumptions!$B$2</f>
        <v>7.15</v>
      </c>
      <c r="F226">
        <f>MAX(C226-B226,0)*Assumptions!$B$2</f>
        <v>0.34999999999999876</v>
      </c>
      <c r="G226">
        <f>MAX(B226-C226,0)*Assumptions!$B$2</f>
        <v>0</v>
      </c>
    </row>
    <row r="227" spans="1:7" x14ac:dyDescent="0.3">
      <c r="A227" s="5">
        <f>Raw_Load_Data!A227</f>
        <v>46208.687500000546</v>
      </c>
      <c r="B227">
        <f>Raw_Load_Data!B227</f>
        <v>13.5</v>
      </c>
      <c r="C227">
        <f>MAX(0,IF(AND(HOUR(A227)&gt;=6,HOUR(A227)&lt;=18),Assumptions!$B$8*SIN(PI()*(HOUR(A227)+MINUTE(A227)/60-6)/12),0))</f>
        <v>11.480502970952697</v>
      </c>
      <c r="D227">
        <f t="shared" si="3"/>
        <v>2.0194970290473027</v>
      </c>
      <c r="E227">
        <f>MIN(B227,C227)*Assumptions!$B$2</f>
        <v>5.7402514854763487</v>
      </c>
      <c r="F227">
        <f>MAX(C227-B227,0)*Assumptions!$B$2</f>
        <v>0</v>
      </c>
      <c r="G227">
        <f>MAX(B227-C227,0)*Assumptions!$B$2</f>
        <v>1.0097485145236513</v>
      </c>
    </row>
    <row r="228" spans="1:7" x14ac:dyDescent="0.3">
      <c r="A228" s="5">
        <f>Raw_Load_Data!A228</f>
        <v>46208.708333333881</v>
      </c>
      <c r="B228">
        <f>Raw_Load_Data!B228</f>
        <v>14.6</v>
      </c>
      <c r="C228">
        <f>MAX(0,IF(AND(HOUR(A228)&gt;=6,HOUR(A228)&lt;=18),Assumptions!$B$8*SIN(PI()*(HOUR(A228)+MINUTE(A228)/60-6)/12),0))</f>
        <v>7.7645713530756302</v>
      </c>
      <c r="D228">
        <f t="shared" si="3"/>
        <v>6.8354286469243695</v>
      </c>
      <c r="E228">
        <f>MIN(B228,C228)*Assumptions!$B$2</f>
        <v>3.8822856765378151</v>
      </c>
      <c r="F228">
        <f>MAX(C228-B228,0)*Assumptions!$B$2</f>
        <v>0</v>
      </c>
      <c r="G228">
        <f>MAX(B228-C228,0)*Assumptions!$B$2</f>
        <v>3.4177143234621847</v>
      </c>
    </row>
    <row r="229" spans="1:7" x14ac:dyDescent="0.3">
      <c r="A229" s="5">
        <f>Raw_Load_Data!A229</f>
        <v>46208.729166667217</v>
      </c>
      <c r="B229">
        <f>Raw_Load_Data!B229</f>
        <v>15.6</v>
      </c>
      <c r="C229">
        <f>MAX(0,IF(AND(HOUR(A229)&gt;=6,HOUR(A229)&lt;=18),Assumptions!$B$8*SIN(PI()*(HOUR(A229)+MINUTE(A229)/60-6)/12),0))</f>
        <v>3.9157857666015596</v>
      </c>
      <c r="D229">
        <f t="shared" si="3"/>
        <v>11.684214233398439</v>
      </c>
      <c r="E229">
        <f>MIN(B229,C229)*Assumptions!$B$2</f>
        <v>1.9578928833007798</v>
      </c>
      <c r="F229">
        <f>MAX(C229-B229,0)*Assumptions!$B$2</f>
        <v>0</v>
      </c>
      <c r="G229">
        <f>MAX(B229-C229,0)*Assumptions!$B$2</f>
        <v>5.8421071166992196</v>
      </c>
    </row>
    <row r="230" spans="1:7" x14ac:dyDescent="0.3">
      <c r="A230" s="5">
        <f>Raw_Load_Data!A230</f>
        <v>46208.750000000553</v>
      </c>
      <c r="B230">
        <f>Raw_Load_Data!B230</f>
        <v>16.399999999999999</v>
      </c>
      <c r="C230">
        <f>MAX(0,IF(AND(HOUR(A230)&gt;=6,HOUR(A230)&lt;=18),Assumptions!$B$8*SIN(PI()*(HOUR(A230)+MINUTE(A230)/60-6)/12),0))</f>
        <v>3.67544536472586E-15</v>
      </c>
      <c r="D230">
        <f t="shared" si="3"/>
        <v>16.399999999999995</v>
      </c>
      <c r="E230">
        <f>MIN(B230,C230)*Assumptions!$B$2</f>
        <v>1.83772268236293E-15</v>
      </c>
      <c r="F230">
        <f>MAX(C230-B230,0)*Assumptions!$B$2</f>
        <v>0</v>
      </c>
      <c r="G230">
        <f>MAX(B230-C230,0)*Assumptions!$B$2</f>
        <v>8.1999999999999975</v>
      </c>
    </row>
    <row r="231" spans="1:7" x14ac:dyDescent="0.3">
      <c r="A231" s="5">
        <f>Raw_Load_Data!A231</f>
        <v>46208.770833333889</v>
      </c>
      <c r="B231">
        <f>Raw_Load_Data!B231</f>
        <v>11.1</v>
      </c>
      <c r="C231">
        <f>MAX(0,IF(AND(HOUR(A231)&gt;=6,HOUR(A231)&lt;=18),Assumptions!$B$8*SIN(PI()*(HOUR(A231)+MINUTE(A231)/60-6)/12),0))</f>
        <v>0</v>
      </c>
      <c r="D231">
        <f t="shared" si="3"/>
        <v>11.1</v>
      </c>
      <c r="E231">
        <f>MIN(B231,C231)*Assumptions!$B$2</f>
        <v>0</v>
      </c>
      <c r="F231">
        <f>MAX(C231-B231,0)*Assumptions!$B$2</f>
        <v>0</v>
      </c>
      <c r="G231">
        <f>MAX(B231-C231,0)*Assumptions!$B$2</f>
        <v>5.55</v>
      </c>
    </row>
    <row r="232" spans="1:7" x14ac:dyDescent="0.3">
      <c r="A232" s="5">
        <f>Raw_Load_Data!A232</f>
        <v>46208.791666667224</v>
      </c>
      <c r="B232">
        <f>Raw_Load_Data!B232</f>
        <v>3.5</v>
      </c>
      <c r="C232">
        <f>MAX(0,IF(AND(HOUR(A232)&gt;=6,HOUR(A232)&lt;=18),Assumptions!$B$8*SIN(PI()*(HOUR(A232)+MINUTE(A232)/60-6)/12),0))</f>
        <v>0</v>
      </c>
      <c r="D232">
        <f t="shared" si="3"/>
        <v>3.5</v>
      </c>
      <c r="E232">
        <f>MIN(B232,C232)*Assumptions!$B$2</f>
        <v>0</v>
      </c>
      <c r="F232">
        <f>MAX(C232-B232,0)*Assumptions!$B$2</f>
        <v>0</v>
      </c>
      <c r="G232">
        <f>MAX(B232-C232,0)*Assumptions!$B$2</f>
        <v>1.75</v>
      </c>
    </row>
    <row r="233" spans="1:7" x14ac:dyDescent="0.3">
      <c r="A233" s="5">
        <f>Raw_Load_Data!A233</f>
        <v>46208.81250000056</v>
      </c>
      <c r="B233">
        <f>Raw_Load_Data!B233</f>
        <v>5.7</v>
      </c>
      <c r="C233">
        <f>MAX(0,IF(AND(HOUR(A233)&gt;=6,HOUR(A233)&lt;=18),Assumptions!$B$8*SIN(PI()*(HOUR(A233)+MINUTE(A233)/60-6)/12),0))</f>
        <v>0</v>
      </c>
      <c r="D233">
        <f t="shared" si="3"/>
        <v>5.7</v>
      </c>
      <c r="E233">
        <f>MIN(B233,C233)*Assumptions!$B$2</f>
        <v>0</v>
      </c>
      <c r="F233">
        <f>MAX(C233-B233,0)*Assumptions!$B$2</f>
        <v>0</v>
      </c>
      <c r="G233">
        <f>MAX(B233-C233,0)*Assumptions!$B$2</f>
        <v>2.85</v>
      </c>
    </row>
    <row r="234" spans="1:7" x14ac:dyDescent="0.3">
      <c r="A234" s="5">
        <f>Raw_Load_Data!A234</f>
        <v>46208.833333333896</v>
      </c>
      <c r="B234">
        <f>Raw_Load_Data!B234</f>
        <v>8</v>
      </c>
      <c r="C234">
        <f>MAX(0,IF(AND(HOUR(A234)&gt;=6,HOUR(A234)&lt;=18),Assumptions!$B$8*SIN(PI()*(HOUR(A234)+MINUTE(A234)/60-6)/12),0))</f>
        <v>0</v>
      </c>
      <c r="D234">
        <f t="shared" si="3"/>
        <v>8</v>
      </c>
      <c r="E234">
        <f>MIN(B234,C234)*Assumptions!$B$2</f>
        <v>0</v>
      </c>
      <c r="F234">
        <f>MAX(C234-B234,0)*Assumptions!$B$2</f>
        <v>0</v>
      </c>
      <c r="G234">
        <f>MAX(B234-C234,0)*Assumptions!$B$2</f>
        <v>4</v>
      </c>
    </row>
    <row r="235" spans="1:7" x14ac:dyDescent="0.3">
      <c r="A235" s="5">
        <f>Raw_Load_Data!A235</f>
        <v>46208.854166667232</v>
      </c>
      <c r="B235">
        <f>Raw_Load_Data!B235</f>
        <v>8</v>
      </c>
      <c r="C235">
        <f>MAX(0,IF(AND(HOUR(A235)&gt;=6,HOUR(A235)&lt;=18),Assumptions!$B$8*SIN(PI()*(HOUR(A235)+MINUTE(A235)/60-6)/12),0))</f>
        <v>0</v>
      </c>
      <c r="D235">
        <f t="shared" si="3"/>
        <v>8</v>
      </c>
      <c r="E235">
        <f>MIN(B235,C235)*Assumptions!$B$2</f>
        <v>0</v>
      </c>
      <c r="F235">
        <f>MAX(C235-B235,0)*Assumptions!$B$2</f>
        <v>0</v>
      </c>
      <c r="G235">
        <f>MAX(B235-C235,0)*Assumptions!$B$2</f>
        <v>4</v>
      </c>
    </row>
    <row r="236" spans="1:7" x14ac:dyDescent="0.3">
      <c r="A236" s="5">
        <f>Raw_Load_Data!A236</f>
        <v>46208.875000000568</v>
      </c>
      <c r="B236">
        <f>Raw_Load_Data!B236</f>
        <v>6.1</v>
      </c>
      <c r="C236">
        <f>MAX(0,IF(AND(HOUR(A236)&gt;=6,HOUR(A236)&lt;=18),Assumptions!$B$8*SIN(PI()*(HOUR(A236)+MINUTE(A236)/60-6)/12),0))</f>
        <v>0</v>
      </c>
      <c r="D236">
        <f t="shared" si="3"/>
        <v>6.1</v>
      </c>
      <c r="E236">
        <f>MIN(B236,C236)*Assumptions!$B$2</f>
        <v>0</v>
      </c>
      <c r="F236">
        <f>MAX(C236-B236,0)*Assumptions!$B$2</f>
        <v>0</v>
      </c>
      <c r="G236">
        <f>MAX(B236-C236,0)*Assumptions!$B$2</f>
        <v>3.05</v>
      </c>
    </row>
    <row r="237" spans="1:7" x14ac:dyDescent="0.3">
      <c r="A237" s="5">
        <f>Raw_Load_Data!A237</f>
        <v>46208.895833333903</v>
      </c>
      <c r="B237">
        <f>Raw_Load_Data!B237</f>
        <v>7.2</v>
      </c>
      <c r="C237">
        <f>MAX(0,IF(AND(HOUR(A237)&gt;=6,HOUR(A237)&lt;=18),Assumptions!$B$8*SIN(PI()*(HOUR(A237)+MINUTE(A237)/60-6)/12),0))</f>
        <v>0</v>
      </c>
      <c r="D237">
        <f t="shared" si="3"/>
        <v>7.2</v>
      </c>
      <c r="E237">
        <f>MIN(B237,C237)*Assumptions!$B$2</f>
        <v>0</v>
      </c>
      <c r="F237">
        <f>MAX(C237-B237,0)*Assumptions!$B$2</f>
        <v>0</v>
      </c>
      <c r="G237">
        <f>MAX(B237-C237,0)*Assumptions!$B$2</f>
        <v>3.6</v>
      </c>
    </row>
    <row r="238" spans="1:7" x14ac:dyDescent="0.3">
      <c r="A238" s="5">
        <f>Raw_Load_Data!A238</f>
        <v>46208.916666667239</v>
      </c>
      <c r="B238">
        <f>Raw_Load_Data!B238</f>
        <v>6.5</v>
      </c>
      <c r="C238">
        <f>MAX(0,IF(AND(HOUR(A238)&gt;=6,HOUR(A238)&lt;=18),Assumptions!$B$8*SIN(PI()*(HOUR(A238)+MINUTE(A238)/60-6)/12),0))</f>
        <v>0</v>
      </c>
      <c r="D238">
        <f t="shared" si="3"/>
        <v>6.5</v>
      </c>
      <c r="E238">
        <f>MIN(B238,C238)*Assumptions!$B$2</f>
        <v>0</v>
      </c>
      <c r="F238">
        <f>MAX(C238-B238,0)*Assumptions!$B$2</f>
        <v>0</v>
      </c>
      <c r="G238">
        <f>MAX(B238-C238,0)*Assumptions!$B$2</f>
        <v>3.25</v>
      </c>
    </row>
    <row r="239" spans="1:7" x14ac:dyDescent="0.3">
      <c r="A239" s="5">
        <f>Raw_Load_Data!A239</f>
        <v>46208.937500000575</v>
      </c>
      <c r="B239">
        <f>Raw_Load_Data!B239</f>
        <v>3.3</v>
      </c>
      <c r="C239">
        <f>MAX(0,IF(AND(HOUR(A239)&gt;=6,HOUR(A239)&lt;=18),Assumptions!$B$8*SIN(PI()*(HOUR(A239)+MINUTE(A239)/60-6)/12),0))</f>
        <v>0</v>
      </c>
      <c r="D239">
        <f t="shared" si="3"/>
        <v>3.3</v>
      </c>
      <c r="E239">
        <f>MIN(B239,C239)*Assumptions!$B$2</f>
        <v>0</v>
      </c>
      <c r="F239">
        <f>MAX(C239-B239,0)*Assumptions!$B$2</f>
        <v>0</v>
      </c>
      <c r="G239">
        <f>MAX(B239-C239,0)*Assumptions!$B$2</f>
        <v>1.65</v>
      </c>
    </row>
    <row r="240" spans="1:7" x14ac:dyDescent="0.3">
      <c r="A240" s="5">
        <f>Raw_Load_Data!A240</f>
        <v>46208.958333333911</v>
      </c>
      <c r="B240">
        <f>Raw_Load_Data!B240</f>
        <v>5.8</v>
      </c>
      <c r="C240">
        <f>MAX(0,IF(AND(HOUR(A240)&gt;=6,HOUR(A240)&lt;=18),Assumptions!$B$8*SIN(PI()*(HOUR(A240)+MINUTE(A240)/60-6)/12),0))</f>
        <v>0</v>
      </c>
      <c r="D240">
        <f t="shared" si="3"/>
        <v>5.8</v>
      </c>
      <c r="E240">
        <f>MIN(B240,C240)*Assumptions!$B$2</f>
        <v>0</v>
      </c>
      <c r="F240">
        <f>MAX(C240-B240,0)*Assumptions!$B$2</f>
        <v>0</v>
      </c>
      <c r="G240">
        <f>MAX(B240-C240,0)*Assumptions!$B$2</f>
        <v>2.9</v>
      </c>
    </row>
    <row r="241" spans="1:7" x14ac:dyDescent="0.3">
      <c r="A241" s="5">
        <f>Raw_Load_Data!A241</f>
        <v>46208.979166667246</v>
      </c>
      <c r="B241">
        <f>Raw_Load_Data!B241</f>
        <v>6.7</v>
      </c>
      <c r="C241">
        <f>MAX(0,IF(AND(HOUR(A241)&gt;=6,HOUR(A241)&lt;=18),Assumptions!$B$8*SIN(PI()*(HOUR(A241)+MINUTE(A241)/60-6)/12),0))</f>
        <v>0</v>
      </c>
      <c r="D241">
        <f t="shared" si="3"/>
        <v>6.7</v>
      </c>
      <c r="E241">
        <f>MIN(B241,C241)*Assumptions!$B$2</f>
        <v>0</v>
      </c>
      <c r="F241">
        <f>MAX(C241-B241,0)*Assumptions!$B$2</f>
        <v>0</v>
      </c>
      <c r="G241">
        <f>MAX(B241-C241,0)*Assumptions!$B$2</f>
        <v>3.35</v>
      </c>
    </row>
    <row r="242" spans="1:7" x14ac:dyDescent="0.3">
      <c r="A242" s="5">
        <f>Raw_Load_Data!A242</f>
        <v>46209.000000000582</v>
      </c>
      <c r="B242">
        <f>Raw_Load_Data!B242</f>
        <v>1.8</v>
      </c>
      <c r="C242">
        <f>MAX(0,IF(AND(HOUR(A242)&gt;=6,HOUR(A242)&lt;=18),Assumptions!$B$8*SIN(PI()*(HOUR(A242)+MINUTE(A242)/60-6)/12),0))</f>
        <v>0</v>
      </c>
      <c r="D242">
        <f t="shared" si="3"/>
        <v>1.8</v>
      </c>
      <c r="E242">
        <f>MIN(B242,C242)*Assumptions!$B$2</f>
        <v>0</v>
      </c>
      <c r="F242">
        <f>MAX(C242-B242,0)*Assumptions!$B$2</f>
        <v>0</v>
      </c>
      <c r="G242">
        <f>MAX(B242-C242,0)*Assumptions!$B$2</f>
        <v>0.9</v>
      </c>
    </row>
    <row r="243" spans="1:7" x14ac:dyDescent="0.3">
      <c r="A243" s="5">
        <f>Raw_Load_Data!A243</f>
        <v>46209.020833333918</v>
      </c>
      <c r="B243">
        <f>Raw_Load_Data!B243</f>
        <v>1.9</v>
      </c>
      <c r="C243">
        <f>MAX(0,IF(AND(HOUR(A243)&gt;=6,HOUR(A243)&lt;=18),Assumptions!$B$8*SIN(PI()*(HOUR(A243)+MINUTE(A243)/60-6)/12),0))</f>
        <v>0</v>
      </c>
      <c r="D243">
        <f t="shared" si="3"/>
        <v>1.9</v>
      </c>
      <c r="E243">
        <f>MIN(B243,C243)*Assumptions!$B$2</f>
        <v>0</v>
      </c>
      <c r="F243">
        <f>MAX(C243-B243,0)*Assumptions!$B$2</f>
        <v>0</v>
      </c>
      <c r="G243">
        <f>MAX(B243-C243,0)*Assumptions!$B$2</f>
        <v>0.95</v>
      </c>
    </row>
    <row r="244" spans="1:7" x14ac:dyDescent="0.3">
      <c r="A244" s="5">
        <f>Raw_Load_Data!A244</f>
        <v>46209.041666667254</v>
      </c>
      <c r="B244">
        <f>Raw_Load_Data!B244</f>
        <v>1.8</v>
      </c>
      <c r="C244">
        <f>MAX(0,IF(AND(HOUR(A244)&gt;=6,HOUR(A244)&lt;=18),Assumptions!$B$8*SIN(PI()*(HOUR(A244)+MINUTE(A244)/60-6)/12),0))</f>
        <v>0</v>
      </c>
      <c r="D244">
        <f t="shared" si="3"/>
        <v>1.8</v>
      </c>
      <c r="E244">
        <f>MIN(B244,C244)*Assumptions!$B$2</f>
        <v>0</v>
      </c>
      <c r="F244">
        <f>MAX(C244-B244,0)*Assumptions!$B$2</f>
        <v>0</v>
      </c>
      <c r="G244">
        <f>MAX(B244-C244,0)*Assumptions!$B$2</f>
        <v>0.9</v>
      </c>
    </row>
    <row r="245" spans="1:7" x14ac:dyDescent="0.3">
      <c r="A245" s="5">
        <f>Raw_Load_Data!A245</f>
        <v>46209.062500000589</v>
      </c>
      <c r="B245">
        <f>Raw_Load_Data!B245</f>
        <v>2.5</v>
      </c>
      <c r="C245">
        <f>MAX(0,IF(AND(HOUR(A245)&gt;=6,HOUR(A245)&lt;=18),Assumptions!$B$8*SIN(PI()*(HOUR(A245)+MINUTE(A245)/60-6)/12),0))</f>
        <v>0</v>
      </c>
      <c r="D245">
        <f t="shared" si="3"/>
        <v>2.5</v>
      </c>
      <c r="E245">
        <f>MIN(B245,C245)*Assumptions!$B$2</f>
        <v>0</v>
      </c>
      <c r="F245">
        <f>MAX(C245-B245,0)*Assumptions!$B$2</f>
        <v>0</v>
      </c>
      <c r="G245">
        <f>MAX(B245-C245,0)*Assumptions!$B$2</f>
        <v>1.25</v>
      </c>
    </row>
    <row r="246" spans="1:7" x14ac:dyDescent="0.3">
      <c r="A246" s="5">
        <f>Raw_Load_Data!A246</f>
        <v>46209.083333333925</v>
      </c>
      <c r="B246">
        <f>Raw_Load_Data!B246</f>
        <v>2.5</v>
      </c>
      <c r="C246">
        <f>MAX(0,IF(AND(HOUR(A246)&gt;=6,HOUR(A246)&lt;=18),Assumptions!$B$8*SIN(PI()*(HOUR(A246)+MINUTE(A246)/60-6)/12),0))</f>
        <v>0</v>
      </c>
      <c r="D246">
        <f t="shared" si="3"/>
        <v>2.5</v>
      </c>
      <c r="E246">
        <f>MIN(B246,C246)*Assumptions!$B$2</f>
        <v>0</v>
      </c>
      <c r="F246">
        <f>MAX(C246-B246,0)*Assumptions!$B$2</f>
        <v>0</v>
      </c>
      <c r="G246">
        <f>MAX(B246-C246,0)*Assumptions!$B$2</f>
        <v>1.25</v>
      </c>
    </row>
    <row r="247" spans="1:7" x14ac:dyDescent="0.3">
      <c r="A247" s="5">
        <f>Raw_Load_Data!A247</f>
        <v>46209.104166667261</v>
      </c>
      <c r="B247">
        <f>Raw_Load_Data!B247</f>
        <v>2.7</v>
      </c>
      <c r="C247">
        <f>MAX(0,IF(AND(HOUR(A247)&gt;=6,HOUR(A247)&lt;=18),Assumptions!$B$8*SIN(PI()*(HOUR(A247)+MINUTE(A247)/60-6)/12),0))</f>
        <v>0</v>
      </c>
      <c r="D247">
        <f t="shared" si="3"/>
        <v>2.7</v>
      </c>
      <c r="E247">
        <f>MIN(B247,C247)*Assumptions!$B$2</f>
        <v>0</v>
      </c>
      <c r="F247">
        <f>MAX(C247-B247,0)*Assumptions!$B$2</f>
        <v>0</v>
      </c>
      <c r="G247">
        <f>MAX(B247-C247,0)*Assumptions!$B$2</f>
        <v>1.35</v>
      </c>
    </row>
    <row r="248" spans="1:7" x14ac:dyDescent="0.3">
      <c r="A248" s="5">
        <f>Raw_Load_Data!A248</f>
        <v>46209.125000000597</v>
      </c>
      <c r="B248">
        <f>Raw_Load_Data!B248</f>
        <v>2.6</v>
      </c>
      <c r="C248">
        <f>MAX(0,IF(AND(HOUR(A248)&gt;=6,HOUR(A248)&lt;=18),Assumptions!$B$8*SIN(PI()*(HOUR(A248)+MINUTE(A248)/60-6)/12),0))</f>
        <v>0</v>
      </c>
      <c r="D248">
        <f t="shared" si="3"/>
        <v>2.6</v>
      </c>
      <c r="E248">
        <f>MIN(B248,C248)*Assumptions!$B$2</f>
        <v>0</v>
      </c>
      <c r="F248">
        <f>MAX(C248-B248,0)*Assumptions!$B$2</f>
        <v>0</v>
      </c>
      <c r="G248">
        <f>MAX(B248-C248,0)*Assumptions!$B$2</f>
        <v>1.3</v>
      </c>
    </row>
    <row r="249" spans="1:7" x14ac:dyDescent="0.3">
      <c r="A249" s="5">
        <f>Raw_Load_Data!A249</f>
        <v>46209.145833333932</v>
      </c>
      <c r="B249">
        <f>Raw_Load_Data!B249</f>
        <v>2.4</v>
      </c>
      <c r="C249">
        <f>MAX(0,IF(AND(HOUR(A249)&gt;=6,HOUR(A249)&lt;=18),Assumptions!$B$8*SIN(PI()*(HOUR(A249)+MINUTE(A249)/60-6)/12),0))</f>
        <v>0</v>
      </c>
      <c r="D249">
        <f t="shared" si="3"/>
        <v>2.4</v>
      </c>
      <c r="E249">
        <f>MIN(B249,C249)*Assumptions!$B$2</f>
        <v>0</v>
      </c>
      <c r="F249">
        <f>MAX(C249-B249,0)*Assumptions!$B$2</f>
        <v>0</v>
      </c>
      <c r="G249">
        <f>MAX(B249-C249,0)*Assumptions!$B$2</f>
        <v>1.2</v>
      </c>
    </row>
    <row r="250" spans="1:7" x14ac:dyDescent="0.3">
      <c r="A250" s="5">
        <f>Raw_Load_Data!A250</f>
        <v>46209.166666667268</v>
      </c>
      <c r="B250">
        <f>Raw_Load_Data!B250</f>
        <v>2</v>
      </c>
      <c r="C250">
        <f>MAX(0,IF(AND(HOUR(A250)&gt;=6,HOUR(A250)&lt;=18),Assumptions!$B$8*SIN(PI()*(HOUR(A250)+MINUTE(A250)/60-6)/12),0))</f>
        <v>0</v>
      </c>
      <c r="D250">
        <f t="shared" si="3"/>
        <v>2</v>
      </c>
      <c r="E250">
        <f>MIN(B250,C250)*Assumptions!$B$2</f>
        <v>0</v>
      </c>
      <c r="F250">
        <f>MAX(C250-B250,0)*Assumptions!$B$2</f>
        <v>0</v>
      </c>
      <c r="G250">
        <f>MAX(B250-C250,0)*Assumptions!$B$2</f>
        <v>1</v>
      </c>
    </row>
    <row r="251" spans="1:7" x14ac:dyDescent="0.3">
      <c r="A251" s="5">
        <f>Raw_Load_Data!A251</f>
        <v>46209.187500000604</v>
      </c>
      <c r="B251">
        <f>Raw_Load_Data!B251</f>
        <v>2.2999999999999998</v>
      </c>
      <c r="C251">
        <f>MAX(0,IF(AND(HOUR(A251)&gt;=6,HOUR(A251)&lt;=18),Assumptions!$B$8*SIN(PI()*(HOUR(A251)+MINUTE(A251)/60-6)/12),0))</f>
        <v>0</v>
      </c>
      <c r="D251">
        <f t="shared" si="3"/>
        <v>2.2999999999999998</v>
      </c>
      <c r="E251">
        <f>MIN(B251,C251)*Assumptions!$B$2</f>
        <v>0</v>
      </c>
      <c r="F251">
        <f>MAX(C251-B251,0)*Assumptions!$B$2</f>
        <v>0</v>
      </c>
      <c r="G251">
        <f>MAX(B251-C251,0)*Assumptions!$B$2</f>
        <v>1.1499999999999999</v>
      </c>
    </row>
    <row r="252" spans="1:7" x14ac:dyDescent="0.3">
      <c r="A252" s="5">
        <f>Raw_Load_Data!A252</f>
        <v>46209.20833333394</v>
      </c>
      <c r="B252">
        <f>Raw_Load_Data!B252</f>
        <v>2.2999999999999998</v>
      </c>
      <c r="C252">
        <f>MAX(0,IF(AND(HOUR(A252)&gt;=6,HOUR(A252)&lt;=18),Assumptions!$B$8*SIN(PI()*(HOUR(A252)+MINUTE(A252)/60-6)/12),0))</f>
        <v>0</v>
      </c>
      <c r="D252">
        <f t="shared" si="3"/>
        <v>2.2999999999999998</v>
      </c>
      <c r="E252">
        <f>MIN(B252,C252)*Assumptions!$B$2</f>
        <v>0</v>
      </c>
      <c r="F252">
        <f>MAX(C252-B252,0)*Assumptions!$B$2</f>
        <v>0</v>
      </c>
      <c r="G252">
        <f>MAX(B252-C252,0)*Assumptions!$B$2</f>
        <v>1.1499999999999999</v>
      </c>
    </row>
    <row r="253" spans="1:7" x14ac:dyDescent="0.3">
      <c r="A253" s="5">
        <f>Raw_Load_Data!A253</f>
        <v>46209.229166667275</v>
      </c>
      <c r="B253">
        <f>Raw_Load_Data!B253</f>
        <v>3</v>
      </c>
      <c r="C253">
        <f>MAX(0,IF(AND(HOUR(A253)&gt;=6,HOUR(A253)&lt;=18),Assumptions!$B$8*SIN(PI()*(HOUR(A253)+MINUTE(A253)/60-6)/12),0))</f>
        <v>0</v>
      </c>
      <c r="D253">
        <f t="shared" si="3"/>
        <v>3</v>
      </c>
      <c r="E253">
        <f>MIN(B253,C253)*Assumptions!$B$2</f>
        <v>0</v>
      </c>
      <c r="F253">
        <f>MAX(C253-B253,0)*Assumptions!$B$2</f>
        <v>0</v>
      </c>
      <c r="G253">
        <f>MAX(B253-C253,0)*Assumptions!$B$2</f>
        <v>1.5</v>
      </c>
    </row>
    <row r="254" spans="1:7" x14ac:dyDescent="0.3">
      <c r="A254" s="5">
        <f>Raw_Load_Data!A254</f>
        <v>46209.250000000611</v>
      </c>
      <c r="B254">
        <f>Raw_Load_Data!B254</f>
        <v>7.1</v>
      </c>
      <c r="C254">
        <f>MAX(0,IF(AND(HOUR(A254)&gt;=6,HOUR(A254)&lt;=18),Assumptions!$B$8*SIN(PI()*(HOUR(A254)+MINUTE(A254)/60-6)/12),0))</f>
        <v>0</v>
      </c>
      <c r="D254">
        <f t="shared" si="3"/>
        <v>7.1</v>
      </c>
      <c r="E254">
        <f>MIN(B254,C254)*Assumptions!$B$2</f>
        <v>0</v>
      </c>
      <c r="F254">
        <f>MAX(C254-B254,0)*Assumptions!$B$2</f>
        <v>0</v>
      </c>
      <c r="G254">
        <f>MAX(B254-C254,0)*Assumptions!$B$2</f>
        <v>3.55</v>
      </c>
    </row>
    <row r="255" spans="1:7" x14ac:dyDescent="0.3">
      <c r="A255" s="5">
        <f>Raw_Load_Data!A255</f>
        <v>46209.270833333947</v>
      </c>
      <c r="B255">
        <f>Raw_Load_Data!B255</f>
        <v>4.5</v>
      </c>
      <c r="C255">
        <f>MAX(0,IF(AND(HOUR(A255)&gt;=6,HOUR(A255)&lt;=18),Assumptions!$B$8*SIN(PI()*(HOUR(A255)+MINUTE(A255)/60-6)/12),0))</f>
        <v>3.9157857666015472</v>
      </c>
      <c r="D255">
        <f t="shared" si="3"/>
        <v>0.5842142333984528</v>
      </c>
      <c r="E255">
        <f>MIN(B255,C255)*Assumptions!$B$2</f>
        <v>1.9578928833007736</v>
      </c>
      <c r="F255">
        <f>MAX(C255-B255,0)*Assumptions!$B$2</f>
        <v>0</v>
      </c>
      <c r="G255">
        <f>MAX(B255-C255,0)*Assumptions!$B$2</f>
        <v>0.2921071166992264</v>
      </c>
    </row>
    <row r="256" spans="1:7" x14ac:dyDescent="0.3">
      <c r="A256" s="5">
        <f>Raw_Load_Data!A256</f>
        <v>46209.291666667283</v>
      </c>
      <c r="B256">
        <f>Raw_Load_Data!B256</f>
        <v>6.8</v>
      </c>
      <c r="C256">
        <f>MAX(0,IF(AND(HOUR(A256)&gt;=6,HOUR(A256)&lt;=18),Assumptions!$B$8*SIN(PI()*(HOUR(A256)+MINUTE(A256)/60-6)/12),0))</f>
        <v>7.7645713530756222</v>
      </c>
      <c r="D256">
        <f t="shared" si="3"/>
        <v>-0.96457135307562236</v>
      </c>
      <c r="E256">
        <f>MIN(B256,C256)*Assumptions!$B$2</f>
        <v>3.4</v>
      </c>
      <c r="F256">
        <f>MAX(C256-B256,0)*Assumptions!$B$2</f>
        <v>0.48228567653781118</v>
      </c>
      <c r="G256">
        <f>MAX(B256-C256,0)*Assumptions!$B$2</f>
        <v>0</v>
      </c>
    </row>
    <row r="257" spans="1:7" x14ac:dyDescent="0.3">
      <c r="A257" s="5">
        <f>Raw_Load_Data!A257</f>
        <v>46209.312500000618</v>
      </c>
      <c r="B257">
        <f>Raw_Load_Data!B257</f>
        <v>5.0999999999999996</v>
      </c>
      <c r="C257">
        <f>MAX(0,IF(AND(HOUR(A257)&gt;=6,HOUR(A257)&lt;=18),Assumptions!$B$8*SIN(PI()*(HOUR(A257)+MINUTE(A257)/60-6)/12),0))</f>
        <v>11.480502970952694</v>
      </c>
      <c r="D257">
        <f t="shared" si="3"/>
        <v>-6.3805029709526941</v>
      </c>
      <c r="E257">
        <f>MIN(B257,C257)*Assumptions!$B$2</f>
        <v>2.5499999999999998</v>
      </c>
      <c r="F257">
        <f>MAX(C257-B257,0)*Assumptions!$B$2</f>
        <v>3.1902514854763471</v>
      </c>
      <c r="G257">
        <f>MAX(B257-C257,0)*Assumptions!$B$2</f>
        <v>0</v>
      </c>
    </row>
    <row r="258" spans="1:7" x14ac:dyDescent="0.3">
      <c r="A258" s="5">
        <f>Raw_Load_Data!A258</f>
        <v>46209.333333333954</v>
      </c>
      <c r="B258">
        <f>Raw_Load_Data!B258</f>
        <v>16.3</v>
      </c>
      <c r="C258">
        <f>MAX(0,IF(AND(HOUR(A258)&gt;=6,HOUR(A258)&lt;=18),Assumptions!$B$8*SIN(PI()*(HOUR(A258)+MINUTE(A258)/60-6)/12),0))</f>
        <v>14.999999999999998</v>
      </c>
      <c r="D258">
        <f t="shared" si="3"/>
        <v>1.3000000000000025</v>
      </c>
      <c r="E258">
        <f>MIN(B258,C258)*Assumptions!$B$2</f>
        <v>7.4999999999999991</v>
      </c>
      <c r="F258">
        <f>MAX(C258-B258,0)*Assumptions!$B$2</f>
        <v>0</v>
      </c>
      <c r="G258">
        <f>MAX(B258-C258,0)*Assumptions!$B$2</f>
        <v>0.65000000000000124</v>
      </c>
    </row>
    <row r="259" spans="1:7" x14ac:dyDescent="0.3">
      <c r="A259" s="5">
        <f>Raw_Load_Data!A259</f>
        <v>46209.35416666729</v>
      </c>
      <c r="B259">
        <f>Raw_Load_Data!B259</f>
        <v>12.1</v>
      </c>
      <c r="C259">
        <f>MAX(0,IF(AND(HOUR(A259)&gt;=6,HOUR(A259)&lt;=18),Assumptions!$B$8*SIN(PI()*(HOUR(A259)+MINUTE(A259)/60-6)/12),0))</f>
        <v>18.262842870261618</v>
      </c>
      <c r="D259">
        <f t="shared" ref="D259:D322" si="4">B259-C259</f>
        <v>-6.1628428702616187</v>
      </c>
      <c r="E259">
        <f>MIN(B259,C259)*Assumptions!$B$2</f>
        <v>6.05</v>
      </c>
      <c r="F259">
        <f>MAX(C259-B259,0)*Assumptions!$B$2</f>
        <v>3.0814214351308093</v>
      </c>
      <c r="G259">
        <f>MAX(B259-C259,0)*Assumptions!$B$2</f>
        <v>0</v>
      </c>
    </row>
    <row r="260" spans="1:7" x14ac:dyDescent="0.3">
      <c r="A260" s="5">
        <f>Raw_Load_Data!A260</f>
        <v>46209.375000000626</v>
      </c>
      <c r="B260">
        <f>Raw_Load_Data!B260</f>
        <v>15</v>
      </c>
      <c r="C260">
        <f>MAX(0,IF(AND(HOUR(A260)&gt;=6,HOUR(A260)&lt;=18),Assumptions!$B$8*SIN(PI()*(HOUR(A260)+MINUTE(A260)/60-6)/12),0))</f>
        <v>21.213203435596423</v>
      </c>
      <c r="D260">
        <f t="shared" si="4"/>
        <v>-6.213203435596423</v>
      </c>
      <c r="E260">
        <f>MIN(B260,C260)*Assumptions!$B$2</f>
        <v>7.5</v>
      </c>
      <c r="F260">
        <f>MAX(C260-B260,0)*Assumptions!$B$2</f>
        <v>3.1066017177982115</v>
      </c>
      <c r="G260">
        <f>MAX(B260-C260,0)*Assumptions!$B$2</f>
        <v>0</v>
      </c>
    </row>
    <row r="261" spans="1:7" x14ac:dyDescent="0.3">
      <c r="A261" s="5">
        <f>Raw_Load_Data!A261</f>
        <v>46209.395833333961</v>
      </c>
      <c r="B261">
        <f>Raw_Load_Data!B261</f>
        <v>17</v>
      </c>
      <c r="C261">
        <f>MAX(0,IF(AND(HOUR(A261)&gt;=6,HOUR(A261)&lt;=18),Assumptions!$B$8*SIN(PI()*(HOUR(A261)+MINUTE(A261)/60-6)/12),0))</f>
        <v>23.800600208737055</v>
      </c>
      <c r="D261">
        <f t="shared" si="4"/>
        <v>-6.8006002087370554</v>
      </c>
      <c r="E261">
        <f>MIN(B261,C261)*Assumptions!$B$2</f>
        <v>8.5</v>
      </c>
      <c r="F261">
        <f>MAX(C261-B261,0)*Assumptions!$B$2</f>
        <v>3.4003001043685277</v>
      </c>
      <c r="G261">
        <f>MAX(B261-C261,0)*Assumptions!$B$2</f>
        <v>0</v>
      </c>
    </row>
    <row r="262" spans="1:7" x14ac:dyDescent="0.3">
      <c r="A262" s="5">
        <f>Raw_Load_Data!A262</f>
        <v>46209.416666667297</v>
      </c>
      <c r="B262">
        <f>Raw_Load_Data!B262</f>
        <v>18.2</v>
      </c>
      <c r="C262">
        <f>MAX(0,IF(AND(HOUR(A262)&gt;=6,HOUR(A262)&lt;=18),Assumptions!$B$8*SIN(PI()*(HOUR(A262)+MINUTE(A262)/60-6)/12),0))</f>
        <v>25.980762113533157</v>
      </c>
      <c r="D262">
        <f t="shared" si="4"/>
        <v>-7.7807621135331573</v>
      </c>
      <c r="E262">
        <f>MIN(B262,C262)*Assumptions!$B$2</f>
        <v>9.1</v>
      </c>
      <c r="F262">
        <f>MAX(C262-B262,0)*Assumptions!$B$2</f>
        <v>3.8903810567665786</v>
      </c>
      <c r="G262">
        <f>MAX(B262-C262,0)*Assumptions!$B$2</f>
        <v>0</v>
      </c>
    </row>
    <row r="263" spans="1:7" x14ac:dyDescent="0.3">
      <c r="A263" s="5">
        <f>Raw_Load_Data!A263</f>
        <v>46209.437500000633</v>
      </c>
      <c r="B263">
        <f>Raw_Load_Data!B263</f>
        <v>19.8</v>
      </c>
      <c r="C263">
        <f>MAX(0,IF(AND(HOUR(A263)&gt;=6,HOUR(A263)&lt;=18),Assumptions!$B$8*SIN(PI()*(HOUR(A263)+MINUTE(A263)/60-6)/12),0))</f>
        <v>27.716385975338603</v>
      </c>
      <c r="D263">
        <f t="shared" si="4"/>
        <v>-7.9163859753386028</v>
      </c>
      <c r="E263">
        <f>MIN(B263,C263)*Assumptions!$B$2</f>
        <v>9.9</v>
      </c>
      <c r="F263">
        <f>MAX(C263-B263,0)*Assumptions!$B$2</f>
        <v>3.9581929876693014</v>
      </c>
      <c r="G263">
        <f>MAX(B263-C263,0)*Assumptions!$B$2</f>
        <v>0</v>
      </c>
    </row>
    <row r="264" spans="1:7" x14ac:dyDescent="0.3">
      <c r="A264" s="5">
        <f>Raw_Load_Data!A264</f>
        <v>46209.458333333969</v>
      </c>
      <c r="B264">
        <f>Raw_Load_Data!B264</f>
        <v>12.6</v>
      </c>
      <c r="C264">
        <f>MAX(0,IF(AND(HOUR(A264)&gt;=6,HOUR(A264)&lt;=18),Assumptions!$B$8*SIN(PI()*(HOUR(A264)+MINUTE(A264)/60-6)/12),0))</f>
        <v>28.97777478867205</v>
      </c>
      <c r="D264">
        <f t="shared" si="4"/>
        <v>-16.377774788672049</v>
      </c>
      <c r="E264">
        <f>MIN(B264,C264)*Assumptions!$B$2</f>
        <v>6.3</v>
      </c>
      <c r="F264">
        <f>MAX(C264-B264,0)*Assumptions!$B$2</f>
        <v>8.1888873943360245</v>
      </c>
      <c r="G264">
        <f>MAX(B264-C264,0)*Assumptions!$B$2</f>
        <v>0</v>
      </c>
    </row>
    <row r="265" spans="1:7" x14ac:dyDescent="0.3">
      <c r="A265" s="5">
        <f>Raw_Load_Data!A265</f>
        <v>46209.479166667305</v>
      </c>
      <c r="B265">
        <f>Raw_Load_Data!B265</f>
        <v>15.8</v>
      </c>
      <c r="C265">
        <f>MAX(0,IF(AND(HOUR(A265)&gt;=6,HOUR(A265)&lt;=18),Assumptions!$B$8*SIN(PI()*(HOUR(A265)+MINUTE(A265)/60-6)/12),0))</f>
        <v>29.74334584121431</v>
      </c>
      <c r="D265">
        <f t="shared" si="4"/>
        <v>-13.94334584121431</v>
      </c>
      <c r="E265">
        <f>MIN(B265,C265)*Assumptions!$B$2</f>
        <v>7.9</v>
      </c>
      <c r="F265">
        <f>MAX(C265-B265,0)*Assumptions!$B$2</f>
        <v>6.9716729206071548</v>
      </c>
      <c r="G265">
        <f>MAX(B265-C265,0)*Assumptions!$B$2</f>
        <v>0</v>
      </c>
    </row>
    <row r="266" spans="1:7" x14ac:dyDescent="0.3">
      <c r="A266" s="5">
        <f>Raw_Load_Data!A266</f>
        <v>46209.50000000064</v>
      </c>
      <c r="B266">
        <f>Raw_Load_Data!B266</f>
        <v>21.4</v>
      </c>
      <c r="C266">
        <f>MAX(0,IF(AND(HOUR(A266)&gt;=6,HOUR(A266)&lt;=18),Assumptions!$B$8*SIN(PI()*(HOUR(A266)+MINUTE(A266)/60-6)/12),0))</f>
        <v>30</v>
      </c>
      <c r="D266">
        <f t="shared" si="4"/>
        <v>-8.6000000000000014</v>
      </c>
      <c r="E266">
        <f>MIN(B266,C266)*Assumptions!$B$2</f>
        <v>10.7</v>
      </c>
      <c r="F266">
        <f>MAX(C266-B266,0)*Assumptions!$B$2</f>
        <v>4.3000000000000007</v>
      </c>
      <c r="G266">
        <f>MAX(B266-C266,0)*Assumptions!$B$2</f>
        <v>0</v>
      </c>
    </row>
    <row r="267" spans="1:7" x14ac:dyDescent="0.3">
      <c r="A267" s="5">
        <f>Raw_Load_Data!A267</f>
        <v>46209.520833333976</v>
      </c>
      <c r="B267">
        <f>Raw_Load_Data!B267</f>
        <v>30.9</v>
      </c>
      <c r="C267">
        <f>MAX(0,IF(AND(HOUR(A267)&gt;=6,HOUR(A267)&lt;=18),Assumptions!$B$8*SIN(PI()*(HOUR(A267)+MINUTE(A267)/60-6)/12),0))</f>
        <v>29.74334584121431</v>
      </c>
      <c r="D267">
        <f t="shared" si="4"/>
        <v>1.1566541587856882</v>
      </c>
      <c r="E267">
        <f>MIN(B267,C267)*Assumptions!$B$2</f>
        <v>14.871672920607155</v>
      </c>
      <c r="F267">
        <f>MAX(C267-B267,0)*Assumptions!$B$2</f>
        <v>0</v>
      </c>
      <c r="G267">
        <f>MAX(B267-C267,0)*Assumptions!$B$2</f>
        <v>0.57832707939284411</v>
      </c>
    </row>
    <row r="268" spans="1:7" x14ac:dyDescent="0.3">
      <c r="A268" s="5">
        <f>Raw_Load_Data!A268</f>
        <v>46209.541666667312</v>
      </c>
      <c r="B268">
        <f>Raw_Load_Data!B268</f>
        <v>34.700000000000003</v>
      </c>
      <c r="C268">
        <f>MAX(0,IF(AND(HOUR(A268)&gt;=6,HOUR(A268)&lt;=18),Assumptions!$B$8*SIN(PI()*(HOUR(A268)+MINUTE(A268)/60-6)/12),0))</f>
        <v>28.97777478867205</v>
      </c>
      <c r="D268">
        <f t="shared" si="4"/>
        <v>5.7222252113279524</v>
      </c>
      <c r="E268">
        <f>MIN(B268,C268)*Assumptions!$B$2</f>
        <v>14.488887394336025</v>
      </c>
      <c r="F268">
        <f>MAX(C268-B268,0)*Assumptions!$B$2</f>
        <v>0</v>
      </c>
      <c r="G268">
        <f>MAX(B268-C268,0)*Assumptions!$B$2</f>
        <v>2.8611126056639762</v>
      </c>
    </row>
    <row r="269" spans="1:7" x14ac:dyDescent="0.3">
      <c r="A269" s="5">
        <f>Raw_Load_Data!A269</f>
        <v>46209.562500000648</v>
      </c>
      <c r="B269">
        <f>Raw_Load_Data!B269</f>
        <v>33.6</v>
      </c>
      <c r="C269">
        <f>MAX(0,IF(AND(HOUR(A269)&gt;=6,HOUR(A269)&lt;=18),Assumptions!$B$8*SIN(PI()*(HOUR(A269)+MINUTE(A269)/60-6)/12),0))</f>
        <v>27.716385975338607</v>
      </c>
      <c r="D269">
        <f t="shared" si="4"/>
        <v>5.8836140246613944</v>
      </c>
      <c r="E269">
        <f>MIN(B269,C269)*Assumptions!$B$2</f>
        <v>13.858192987669304</v>
      </c>
      <c r="F269">
        <f>MAX(C269-B269,0)*Assumptions!$B$2</f>
        <v>0</v>
      </c>
      <c r="G269">
        <f>MAX(B269-C269,0)*Assumptions!$B$2</f>
        <v>2.9418070123306972</v>
      </c>
    </row>
    <row r="270" spans="1:7" x14ac:dyDescent="0.3">
      <c r="A270" s="5">
        <f>Raw_Load_Data!A270</f>
        <v>46209.583333333983</v>
      </c>
      <c r="B270">
        <f>Raw_Load_Data!B270</f>
        <v>22.8</v>
      </c>
      <c r="C270">
        <f>MAX(0,IF(AND(HOUR(A270)&gt;=6,HOUR(A270)&lt;=18),Assumptions!$B$8*SIN(PI()*(HOUR(A270)+MINUTE(A270)/60-6)/12),0))</f>
        <v>25.98076211353316</v>
      </c>
      <c r="D270">
        <f t="shared" si="4"/>
        <v>-3.1807621135331594</v>
      </c>
      <c r="E270">
        <f>MIN(B270,C270)*Assumptions!$B$2</f>
        <v>11.4</v>
      </c>
      <c r="F270">
        <f>MAX(C270-B270,0)*Assumptions!$B$2</f>
        <v>1.5903810567665797</v>
      </c>
      <c r="G270">
        <f>MAX(B270-C270,0)*Assumptions!$B$2</f>
        <v>0</v>
      </c>
    </row>
    <row r="271" spans="1:7" x14ac:dyDescent="0.3">
      <c r="A271" s="5">
        <f>Raw_Load_Data!A271</f>
        <v>46209.604166667319</v>
      </c>
      <c r="B271">
        <f>Raw_Load_Data!B271</f>
        <v>18.3</v>
      </c>
      <c r="C271">
        <f>MAX(0,IF(AND(HOUR(A271)&gt;=6,HOUR(A271)&lt;=18),Assumptions!$B$8*SIN(PI()*(HOUR(A271)+MINUTE(A271)/60-6)/12),0))</f>
        <v>23.800600208737055</v>
      </c>
      <c r="D271">
        <f t="shared" si="4"/>
        <v>-5.5006002087370547</v>
      </c>
      <c r="E271">
        <f>MIN(B271,C271)*Assumptions!$B$2</f>
        <v>9.15</v>
      </c>
      <c r="F271">
        <f>MAX(C271-B271,0)*Assumptions!$B$2</f>
        <v>2.7503001043685273</v>
      </c>
      <c r="G271">
        <f>MAX(B271-C271,0)*Assumptions!$B$2</f>
        <v>0</v>
      </c>
    </row>
    <row r="272" spans="1:7" x14ac:dyDescent="0.3">
      <c r="A272" s="5">
        <f>Raw_Load_Data!A272</f>
        <v>46209.625000000655</v>
      </c>
      <c r="B272">
        <f>Raw_Load_Data!B272</f>
        <v>25.5</v>
      </c>
      <c r="C272">
        <f>MAX(0,IF(AND(HOUR(A272)&gt;=6,HOUR(A272)&lt;=18),Assumptions!$B$8*SIN(PI()*(HOUR(A272)+MINUTE(A272)/60-6)/12),0))</f>
        <v>21.213203435596427</v>
      </c>
      <c r="D272">
        <f t="shared" si="4"/>
        <v>4.2867965644035735</v>
      </c>
      <c r="E272">
        <f>MIN(B272,C272)*Assumptions!$B$2</f>
        <v>10.606601717798213</v>
      </c>
      <c r="F272">
        <f>MAX(C272-B272,0)*Assumptions!$B$2</f>
        <v>0</v>
      </c>
      <c r="G272">
        <f>MAX(B272-C272,0)*Assumptions!$B$2</f>
        <v>2.1433982822017867</v>
      </c>
    </row>
    <row r="273" spans="1:7" x14ac:dyDescent="0.3">
      <c r="A273" s="5">
        <f>Raw_Load_Data!A273</f>
        <v>46209.645833333991</v>
      </c>
      <c r="B273">
        <f>Raw_Load_Data!B273</f>
        <v>21.8</v>
      </c>
      <c r="C273">
        <f>MAX(0,IF(AND(HOUR(A273)&gt;=6,HOUR(A273)&lt;=18),Assumptions!$B$8*SIN(PI()*(HOUR(A273)+MINUTE(A273)/60-6)/12),0))</f>
        <v>18.262842870261625</v>
      </c>
      <c r="D273">
        <f t="shared" si="4"/>
        <v>3.5371571297383753</v>
      </c>
      <c r="E273">
        <f>MIN(B273,C273)*Assumptions!$B$2</f>
        <v>9.1314214351308127</v>
      </c>
      <c r="F273">
        <f>MAX(C273-B273,0)*Assumptions!$B$2</f>
        <v>0</v>
      </c>
      <c r="G273">
        <f>MAX(B273-C273,0)*Assumptions!$B$2</f>
        <v>1.7685785648691876</v>
      </c>
    </row>
    <row r="274" spans="1:7" x14ac:dyDescent="0.3">
      <c r="A274" s="5">
        <f>Raw_Load_Data!A274</f>
        <v>46209.666666667326</v>
      </c>
      <c r="B274">
        <f>Raw_Load_Data!B274</f>
        <v>12.7</v>
      </c>
      <c r="C274">
        <f>MAX(0,IF(AND(HOUR(A274)&gt;=6,HOUR(A274)&lt;=18),Assumptions!$B$8*SIN(PI()*(HOUR(A274)+MINUTE(A274)/60-6)/12),0))</f>
        <v>14.999999999999998</v>
      </c>
      <c r="D274">
        <f t="shared" si="4"/>
        <v>-2.2999999999999989</v>
      </c>
      <c r="E274">
        <f>MIN(B274,C274)*Assumptions!$B$2</f>
        <v>6.35</v>
      </c>
      <c r="F274">
        <f>MAX(C274-B274,0)*Assumptions!$B$2</f>
        <v>1.1499999999999995</v>
      </c>
      <c r="G274">
        <f>MAX(B274-C274,0)*Assumptions!$B$2</f>
        <v>0</v>
      </c>
    </row>
    <row r="275" spans="1:7" x14ac:dyDescent="0.3">
      <c r="A275" s="5">
        <f>Raw_Load_Data!A275</f>
        <v>46209.687500000662</v>
      </c>
      <c r="B275">
        <f>Raw_Load_Data!B275</f>
        <v>15.1</v>
      </c>
      <c r="C275">
        <f>MAX(0,IF(AND(HOUR(A275)&gt;=6,HOUR(A275)&lt;=18),Assumptions!$B$8*SIN(PI()*(HOUR(A275)+MINUTE(A275)/60-6)/12),0))</f>
        <v>11.480502970952697</v>
      </c>
      <c r="D275">
        <f t="shared" si="4"/>
        <v>3.6194970290473023</v>
      </c>
      <c r="E275">
        <f>MIN(B275,C275)*Assumptions!$B$2</f>
        <v>5.7402514854763487</v>
      </c>
      <c r="F275">
        <f>MAX(C275-B275,0)*Assumptions!$B$2</f>
        <v>0</v>
      </c>
      <c r="G275">
        <f>MAX(B275-C275,0)*Assumptions!$B$2</f>
        <v>1.8097485145236512</v>
      </c>
    </row>
    <row r="276" spans="1:7" x14ac:dyDescent="0.3">
      <c r="A276" s="5">
        <f>Raw_Load_Data!A276</f>
        <v>46209.708333333998</v>
      </c>
      <c r="B276">
        <f>Raw_Load_Data!B276</f>
        <v>13</v>
      </c>
      <c r="C276">
        <f>MAX(0,IF(AND(HOUR(A276)&gt;=6,HOUR(A276)&lt;=18),Assumptions!$B$8*SIN(PI()*(HOUR(A276)+MINUTE(A276)/60-6)/12),0))</f>
        <v>7.7645713530756302</v>
      </c>
      <c r="D276">
        <f t="shared" si="4"/>
        <v>5.2354286469243698</v>
      </c>
      <c r="E276">
        <f>MIN(B276,C276)*Assumptions!$B$2</f>
        <v>3.8822856765378151</v>
      </c>
      <c r="F276">
        <f>MAX(C276-B276,0)*Assumptions!$B$2</f>
        <v>0</v>
      </c>
      <c r="G276">
        <f>MAX(B276-C276,0)*Assumptions!$B$2</f>
        <v>2.6177143234621849</v>
      </c>
    </row>
    <row r="277" spans="1:7" x14ac:dyDescent="0.3">
      <c r="A277" s="5">
        <f>Raw_Load_Data!A277</f>
        <v>46209.729166667334</v>
      </c>
      <c r="B277">
        <f>Raw_Load_Data!B277</f>
        <v>10.1</v>
      </c>
      <c r="C277">
        <f>MAX(0,IF(AND(HOUR(A277)&gt;=6,HOUR(A277)&lt;=18),Assumptions!$B$8*SIN(PI()*(HOUR(A277)+MINUTE(A277)/60-6)/12),0))</f>
        <v>3.9157857666015596</v>
      </c>
      <c r="D277">
        <f t="shared" si="4"/>
        <v>6.18421423339844</v>
      </c>
      <c r="E277">
        <f>MIN(B277,C277)*Assumptions!$B$2</f>
        <v>1.9578928833007798</v>
      </c>
      <c r="F277">
        <f>MAX(C277-B277,0)*Assumptions!$B$2</f>
        <v>0</v>
      </c>
      <c r="G277">
        <f>MAX(B277-C277,0)*Assumptions!$B$2</f>
        <v>3.09210711669922</v>
      </c>
    </row>
    <row r="278" spans="1:7" x14ac:dyDescent="0.3">
      <c r="A278" s="5">
        <f>Raw_Load_Data!A278</f>
        <v>46209.750000000669</v>
      </c>
      <c r="B278">
        <f>Raw_Load_Data!B278</f>
        <v>13.1</v>
      </c>
      <c r="C278">
        <f>MAX(0,IF(AND(HOUR(A278)&gt;=6,HOUR(A278)&lt;=18),Assumptions!$B$8*SIN(PI()*(HOUR(A278)+MINUTE(A278)/60-6)/12),0))</f>
        <v>3.67544536472586E-15</v>
      </c>
      <c r="D278">
        <f t="shared" si="4"/>
        <v>13.099999999999996</v>
      </c>
      <c r="E278">
        <f>MIN(B278,C278)*Assumptions!$B$2</f>
        <v>1.83772268236293E-15</v>
      </c>
      <c r="F278">
        <f>MAX(C278-B278,0)*Assumptions!$B$2</f>
        <v>0</v>
      </c>
      <c r="G278">
        <f>MAX(B278-C278,0)*Assumptions!$B$2</f>
        <v>6.549999999999998</v>
      </c>
    </row>
    <row r="279" spans="1:7" x14ac:dyDescent="0.3">
      <c r="A279" s="5">
        <f>Raw_Load_Data!A279</f>
        <v>46209.770833334005</v>
      </c>
      <c r="B279">
        <f>Raw_Load_Data!B279</f>
        <v>11.8</v>
      </c>
      <c r="C279">
        <f>MAX(0,IF(AND(HOUR(A279)&gt;=6,HOUR(A279)&lt;=18),Assumptions!$B$8*SIN(PI()*(HOUR(A279)+MINUTE(A279)/60-6)/12),0))</f>
        <v>0</v>
      </c>
      <c r="D279">
        <f t="shared" si="4"/>
        <v>11.8</v>
      </c>
      <c r="E279">
        <f>MIN(B279,C279)*Assumptions!$B$2</f>
        <v>0</v>
      </c>
      <c r="F279">
        <f>MAX(C279-B279,0)*Assumptions!$B$2</f>
        <v>0</v>
      </c>
      <c r="G279">
        <f>MAX(B279-C279,0)*Assumptions!$B$2</f>
        <v>5.9</v>
      </c>
    </row>
    <row r="280" spans="1:7" x14ac:dyDescent="0.3">
      <c r="A280" s="5">
        <f>Raw_Load_Data!A280</f>
        <v>46209.791666667341</v>
      </c>
      <c r="B280">
        <f>Raw_Load_Data!B280</f>
        <v>4.9000000000000004</v>
      </c>
      <c r="C280">
        <f>MAX(0,IF(AND(HOUR(A280)&gt;=6,HOUR(A280)&lt;=18),Assumptions!$B$8*SIN(PI()*(HOUR(A280)+MINUTE(A280)/60-6)/12),0))</f>
        <v>0</v>
      </c>
      <c r="D280">
        <f t="shared" si="4"/>
        <v>4.9000000000000004</v>
      </c>
      <c r="E280">
        <f>MIN(B280,C280)*Assumptions!$B$2</f>
        <v>0</v>
      </c>
      <c r="F280">
        <f>MAX(C280-B280,0)*Assumptions!$B$2</f>
        <v>0</v>
      </c>
      <c r="G280">
        <f>MAX(B280-C280,0)*Assumptions!$B$2</f>
        <v>2.4500000000000002</v>
      </c>
    </row>
    <row r="281" spans="1:7" x14ac:dyDescent="0.3">
      <c r="A281" s="5">
        <f>Raw_Load_Data!A281</f>
        <v>46209.812500000677</v>
      </c>
      <c r="B281">
        <f>Raw_Load_Data!B281</f>
        <v>7.2</v>
      </c>
      <c r="C281">
        <f>MAX(0,IF(AND(HOUR(A281)&gt;=6,HOUR(A281)&lt;=18),Assumptions!$B$8*SIN(PI()*(HOUR(A281)+MINUTE(A281)/60-6)/12),0))</f>
        <v>0</v>
      </c>
      <c r="D281">
        <f t="shared" si="4"/>
        <v>7.2</v>
      </c>
      <c r="E281">
        <f>MIN(B281,C281)*Assumptions!$B$2</f>
        <v>0</v>
      </c>
      <c r="F281">
        <f>MAX(C281-B281,0)*Assumptions!$B$2</f>
        <v>0</v>
      </c>
      <c r="G281">
        <f>MAX(B281-C281,0)*Assumptions!$B$2</f>
        <v>3.6</v>
      </c>
    </row>
    <row r="282" spans="1:7" x14ac:dyDescent="0.3">
      <c r="A282" s="5">
        <f>Raw_Load_Data!A282</f>
        <v>46209.833333334012</v>
      </c>
      <c r="B282">
        <f>Raw_Load_Data!B282</f>
        <v>7.5</v>
      </c>
      <c r="C282">
        <f>MAX(0,IF(AND(HOUR(A282)&gt;=6,HOUR(A282)&lt;=18),Assumptions!$B$8*SIN(PI()*(HOUR(A282)+MINUTE(A282)/60-6)/12),0))</f>
        <v>0</v>
      </c>
      <c r="D282">
        <f t="shared" si="4"/>
        <v>7.5</v>
      </c>
      <c r="E282">
        <f>MIN(B282,C282)*Assumptions!$B$2</f>
        <v>0</v>
      </c>
      <c r="F282">
        <f>MAX(C282-B282,0)*Assumptions!$B$2</f>
        <v>0</v>
      </c>
      <c r="G282">
        <f>MAX(B282-C282,0)*Assumptions!$B$2</f>
        <v>3.75</v>
      </c>
    </row>
    <row r="283" spans="1:7" x14ac:dyDescent="0.3">
      <c r="A283" s="5">
        <f>Raw_Load_Data!A283</f>
        <v>46209.854166667348</v>
      </c>
      <c r="B283">
        <f>Raw_Load_Data!B283</f>
        <v>7.7</v>
      </c>
      <c r="C283">
        <f>MAX(0,IF(AND(HOUR(A283)&gt;=6,HOUR(A283)&lt;=18),Assumptions!$B$8*SIN(PI()*(HOUR(A283)+MINUTE(A283)/60-6)/12),0))</f>
        <v>0</v>
      </c>
      <c r="D283">
        <f t="shared" si="4"/>
        <v>7.7</v>
      </c>
      <c r="E283">
        <f>MIN(B283,C283)*Assumptions!$B$2</f>
        <v>0</v>
      </c>
      <c r="F283">
        <f>MAX(C283-B283,0)*Assumptions!$B$2</f>
        <v>0</v>
      </c>
      <c r="G283">
        <f>MAX(B283-C283,0)*Assumptions!$B$2</f>
        <v>3.85</v>
      </c>
    </row>
    <row r="284" spans="1:7" x14ac:dyDescent="0.3">
      <c r="A284" s="5">
        <f>Raw_Load_Data!A284</f>
        <v>46209.875000000684</v>
      </c>
      <c r="B284">
        <f>Raw_Load_Data!B284</f>
        <v>5</v>
      </c>
      <c r="C284">
        <f>MAX(0,IF(AND(HOUR(A284)&gt;=6,HOUR(A284)&lt;=18),Assumptions!$B$8*SIN(PI()*(HOUR(A284)+MINUTE(A284)/60-6)/12),0))</f>
        <v>0</v>
      </c>
      <c r="D284">
        <f t="shared" si="4"/>
        <v>5</v>
      </c>
      <c r="E284">
        <f>MIN(B284,C284)*Assumptions!$B$2</f>
        <v>0</v>
      </c>
      <c r="F284">
        <f>MAX(C284-B284,0)*Assumptions!$B$2</f>
        <v>0</v>
      </c>
      <c r="G284">
        <f>MAX(B284-C284,0)*Assumptions!$B$2</f>
        <v>2.5</v>
      </c>
    </row>
    <row r="285" spans="1:7" x14ac:dyDescent="0.3">
      <c r="A285" s="5">
        <f>Raw_Load_Data!A285</f>
        <v>46209.89583333402</v>
      </c>
      <c r="B285">
        <f>Raw_Load_Data!B285</f>
        <v>7.9</v>
      </c>
      <c r="C285">
        <f>MAX(0,IF(AND(HOUR(A285)&gt;=6,HOUR(A285)&lt;=18),Assumptions!$B$8*SIN(PI()*(HOUR(A285)+MINUTE(A285)/60-6)/12),0))</f>
        <v>0</v>
      </c>
      <c r="D285">
        <f t="shared" si="4"/>
        <v>7.9</v>
      </c>
      <c r="E285">
        <f>MIN(B285,C285)*Assumptions!$B$2</f>
        <v>0</v>
      </c>
      <c r="F285">
        <f>MAX(C285-B285,0)*Assumptions!$B$2</f>
        <v>0</v>
      </c>
      <c r="G285">
        <f>MAX(B285-C285,0)*Assumptions!$B$2</f>
        <v>3.95</v>
      </c>
    </row>
    <row r="286" spans="1:7" x14ac:dyDescent="0.3">
      <c r="A286" s="5">
        <f>Raw_Load_Data!A286</f>
        <v>46209.916666667355</v>
      </c>
      <c r="B286">
        <f>Raw_Load_Data!B286</f>
        <v>5.5</v>
      </c>
      <c r="C286">
        <f>MAX(0,IF(AND(HOUR(A286)&gt;=6,HOUR(A286)&lt;=18),Assumptions!$B$8*SIN(PI()*(HOUR(A286)+MINUTE(A286)/60-6)/12),0))</f>
        <v>0</v>
      </c>
      <c r="D286">
        <f t="shared" si="4"/>
        <v>5.5</v>
      </c>
      <c r="E286">
        <f>MIN(B286,C286)*Assumptions!$B$2</f>
        <v>0</v>
      </c>
      <c r="F286">
        <f>MAX(C286-B286,0)*Assumptions!$B$2</f>
        <v>0</v>
      </c>
      <c r="G286">
        <f>MAX(B286-C286,0)*Assumptions!$B$2</f>
        <v>2.75</v>
      </c>
    </row>
    <row r="287" spans="1:7" x14ac:dyDescent="0.3">
      <c r="A287" s="5">
        <f>Raw_Load_Data!A287</f>
        <v>46209.937500000691</v>
      </c>
      <c r="B287">
        <f>Raw_Load_Data!B287</f>
        <v>4.8</v>
      </c>
      <c r="C287">
        <f>MAX(0,IF(AND(HOUR(A287)&gt;=6,HOUR(A287)&lt;=18),Assumptions!$B$8*SIN(PI()*(HOUR(A287)+MINUTE(A287)/60-6)/12),0))</f>
        <v>0</v>
      </c>
      <c r="D287">
        <f t="shared" si="4"/>
        <v>4.8</v>
      </c>
      <c r="E287">
        <f>MIN(B287,C287)*Assumptions!$B$2</f>
        <v>0</v>
      </c>
      <c r="F287">
        <f>MAX(C287-B287,0)*Assumptions!$B$2</f>
        <v>0</v>
      </c>
      <c r="G287">
        <f>MAX(B287-C287,0)*Assumptions!$B$2</f>
        <v>2.4</v>
      </c>
    </row>
    <row r="288" spans="1:7" x14ac:dyDescent="0.3">
      <c r="A288" s="5">
        <f>Raw_Load_Data!A288</f>
        <v>46209.958333334027</v>
      </c>
      <c r="B288">
        <f>Raw_Load_Data!B288</f>
        <v>6.5</v>
      </c>
      <c r="C288">
        <f>MAX(0,IF(AND(HOUR(A288)&gt;=6,HOUR(A288)&lt;=18),Assumptions!$B$8*SIN(PI()*(HOUR(A288)+MINUTE(A288)/60-6)/12),0))</f>
        <v>0</v>
      </c>
      <c r="D288">
        <f t="shared" si="4"/>
        <v>6.5</v>
      </c>
      <c r="E288">
        <f>MIN(B288,C288)*Assumptions!$B$2</f>
        <v>0</v>
      </c>
      <c r="F288">
        <f>MAX(C288-B288,0)*Assumptions!$B$2</f>
        <v>0</v>
      </c>
      <c r="G288">
        <f>MAX(B288-C288,0)*Assumptions!$B$2</f>
        <v>3.25</v>
      </c>
    </row>
    <row r="289" spans="1:7" x14ac:dyDescent="0.3">
      <c r="A289" s="5">
        <f>Raw_Load_Data!A289</f>
        <v>46209.979166667363</v>
      </c>
      <c r="B289">
        <f>Raw_Load_Data!B289</f>
        <v>3.4</v>
      </c>
      <c r="C289">
        <f>MAX(0,IF(AND(HOUR(A289)&gt;=6,HOUR(A289)&lt;=18),Assumptions!$B$8*SIN(PI()*(HOUR(A289)+MINUTE(A289)/60-6)/12),0))</f>
        <v>0</v>
      </c>
      <c r="D289">
        <f t="shared" si="4"/>
        <v>3.4</v>
      </c>
      <c r="E289">
        <f>MIN(B289,C289)*Assumptions!$B$2</f>
        <v>0</v>
      </c>
      <c r="F289">
        <f>MAX(C289-B289,0)*Assumptions!$B$2</f>
        <v>0</v>
      </c>
      <c r="G289">
        <f>MAX(B289-C289,0)*Assumptions!$B$2</f>
        <v>1.7</v>
      </c>
    </row>
    <row r="290" spans="1:7" x14ac:dyDescent="0.3">
      <c r="A290" s="5">
        <f>Raw_Load_Data!A290</f>
        <v>46210.000000000698</v>
      </c>
      <c r="B290">
        <f>Raw_Load_Data!B290</f>
        <v>2</v>
      </c>
      <c r="C290">
        <f>MAX(0,IF(AND(HOUR(A290)&gt;=6,HOUR(A290)&lt;=18),Assumptions!$B$8*SIN(PI()*(HOUR(A290)+MINUTE(A290)/60-6)/12),0))</f>
        <v>0</v>
      </c>
      <c r="D290">
        <f t="shared" si="4"/>
        <v>2</v>
      </c>
      <c r="E290">
        <f>MIN(B290,C290)*Assumptions!$B$2</f>
        <v>0</v>
      </c>
      <c r="F290">
        <f>MAX(C290-B290,0)*Assumptions!$B$2</f>
        <v>0</v>
      </c>
      <c r="G290">
        <f>MAX(B290-C290,0)*Assumptions!$B$2</f>
        <v>1</v>
      </c>
    </row>
    <row r="291" spans="1:7" x14ac:dyDescent="0.3">
      <c r="A291" s="5">
        <f>Raw_Load_Data!A291</f>
        <v>46210.020833334034</v>
      </c>
      <c r="B291">
        <f>Raw_Load_Data!B291</f>
        <v>3</v>
      </c>
      <c r="C291">
        <f>MAX(0,IF(AND(HOUR(A291)&gt;=6,HOUR(A291)&lt;=18),Assumptions!$B$8*SIN(PI()*(HOUR(A291)+MINUTE(A291)/60-6)/12),0))</f>
        <v>0</v>
      </c>
      <c r="D291">
        <f t="shared" si="4"/>
        <v>3</v>
      </c>
      <c r="E291">
        <f>MIN(B291,C291)*Assumptions!$B$2</f>
        <v>0</v>
      </c>
      <c r="F291">
        <f>MAX(C291-B291,0)*Assumptions!$B$2</f>
        <v>0</v>
      </c>
      <c r="G291">
        <f>MAX(B291-C291,0)*Assumptions!$B$2</f>
        <v>1.5</v>
      </c>
    </row>
    <row r="292" spans="1:7" x14ac:dyDescent="0.3">
      <c r="A292" s="5">
        <f>Raw_Load_Data!A292</f>
        <v>46210.04166666737</v>
      </c>
      <c r="B292">
        <f>Raw_Load_Data!B292</f>
        <v>2.6</v>
      </c>
      <c r="C292">
        <f>MAX(0,IF(AND(HOUR(A292)&gt;=6,HOUR(A292)&lt;=18),Assumptions!$B$8*SIN(PI()*(HOUR(A292)+MINUTE(A292)/60-6)/12),0))</f>
        <v>0</v>
      </c>
      <c r="D292">
        <f t="shared" si="4"/>
        <v>2.6</v>
      </c>
      <c r="E292">
        <f>MIN(B292,C292)*Assumptions!$B$2</f>
        <v>0</v>
      </c>
      <c r="F292">
        <f>MAX(C292-B292,0)*Assumptions!$B$2</f>
        <v>0</v>
      </c>
      <c r="G292">
        <f>MAX(B292-C292,0)*Assumptions!$B$2</f>
        <v>1.3</v>
      </c>
    </row>
    <row r="293" spans="1:7" x14ac:dyDescent="0.3">
      <c r="A293" s="5">
        <f>Raw_Load_Data!A293</f>
        <v>46210.062500000706</v>
      </c>
      <c r="B293">
        <f>Raw_Load_Data!B293</f>
        <v>1.8</v>
      </c>
      <c r="C293">
        <f>MAX(0,IF(AND(HOUR(A293)&gt;=6,HOUR(A293)&lt;=18),Assumptions!$B$8*SIN(PI()*(HOUR(A293)+MINUTE(A293)/60-6)/12),0))</f>
        <v>0</v>
      </c>
      <c r="D293">
        <f t="shared" si="4"/>
        <v>1.8</v>
      </c>
      <c r="E293">
        <f>MIN(B293,C293)*Assumptions!$B$2</f>
        <v>0</v>
      </c>
      <c r="F293">
        <f>MAX(C293-B293,0)*Assumptions!$B$2</f>
        <v>0</v>
      </c>
      <c r="G293">
        <f>MAX(B293-C293,0)*Assumptions!$B$2</f>
        <v>0.9</v>
      </c>
    </row>
    <row r="294" spans="1:7" x14ac:dyDescent="0.3">
      <c r="A294" s="5">
        <f>Raw_Load_Data!A294</f>
        <v>46210.083333334042</v>
      </c>
      <c r="B294">
        <f>Raw_Load_Data!B294</f>
        <v>2.4</v>
      </c>
      <c r="C294">
        <f>MAX(0,IF(AND(HOUR(A294)&gt;=6,HOUR(A294)&lt;=18),Assumptions!$B$8*SIN(PI()*(HOUR(A294)+MINUTE(A294)/60-6)/12),0))</f>
        <v>0</v>
      </c>
      <c r="D294">
        <f t="shared" si="4"/>
        <v>2.4</v>
      </c>
      <c r="E294">
        <f>MIN(B294,C294)*Assumptions!$B$2</f>
        <v>0</v>
      </c>
      <c r="F294">
        <f>MAX(C294-B294,0)*Assumptions!$B$2</f>
        <v>0</v>
      </c>
      <c r="G294">
        <f>MAX(B294-C294,0)*Assumptions!$B$2</f>
        <v>1.2</v>
      </c>
    </row>
    <row r="295" spans="1:7" x14ac:dyDescent="0.3">
      <c r="A295" s="5">
        <f>Raw_Load_Data!A295</f>
        <v>46210.104166667377</v>
      </c>
      <c r="B295">
        <f>Raw_Load_Data!B295</f>
        <v>2.9</v>
      </c>
      <c r="C295">
        <f>MAX(0,IF(AND(HOUR(A295)&gt;=6,HOUR(A295)&lt;=18),Assumptions!$B$8*SIN(PI()*(HOUR(A295)+MINUTE(A295)/60-6)/12),0))</f>
        <v>0</v>
      </c>
      <c r="D295">
        <f t="shared" si="4"/>
        <v>2.9</v>
      </c>
      <c r="E295">
        <f>MIN(B295,C295)*Assumptions!$B$2</f>
        <v>0</v>
      </c>
      <c r="F295">
        <f>MAX(C295-B295,0)*Assumptions!$B$2</f>
        <v>0</v>
      </c>
      <c r="G295">
        <f>MAX(B295-C295,0)*Assumptions!$B$2</f>
        <v>1.45</v>
      </c>
    </row>
    <row r="296" spans="1:7" x14ac:dyDescent="0.3">
      <c r="A296" s="5">
        <f>Raw_Load_Data!A296</f>
        <v>46210.125000000713</v>
      </c>
      <c r="B296">
        <f>Raw_Load_Data!B296</f>
        <v>2.5</v>
      </c>
      <c r="C296">
        <f>MAX(0,IF(AND(HOUR(A296)&gt;=6,HOUR(A296)&lt;=18),Assumptions!$B$8*SIN(PI()*(HOUR(A296)+MINUTE(A296)/60-6)/12),0))</f>
        <v>0</v>
      </c>
      <c r="D296">
        <f t="shared" si="4"/>
        <v>2.5</v>
      </c>
      <c r="E296">
        <f>MIN(B296,C296)*Assumptions!$B$2</f>
        <v>0</v>
      </c>
      <c r="F296">
        <f>MAX(C296-B296,0)*Assumptions!$B$2</f>
        <v>0</v>
      </c>
      <c r="G296">
        <f>MAX(B296-C296,0)*Assumptions!$B$2</f>
        <v>1.25</v>
      </c>
    </row>
    <row r="297" spans="1:7" x14ac:dyDescent="0.3">
      <c r="A297" s="5">
        <f>Raw_Load_Data!A297</f>
        <v>46210.145833334049</v>
      </c>
      <c r="B297">
        <f>Raw_Load_Data!B297</f>
        <v>2.6</v>
      </c>
      <c r="C297">
        <f>MAX(0,IF(AND(HOUR(A297)&gt;=6,HOUR(A297)&lt;=18),Assumptions!$B$8*SIN(PI()*(HOUR(A297)+MINUTE(A297)/60-6)/12),0))</f>
        <v>0</v>
      </c>
      <c r="D297">
        <f t="shared" si="4"/>
        <v>2.6</v>
      </c>
      <c r="E297">
        <f>MIN(B297,C297)*Assumptions!$B$2</f>
        <v>0</v>
      </c>
      <c r="F297">
        <f>MAX(C297-B297,0)*Assumptions!$B$2</f>
        <v>0</v>
      </c>
      <c r="G297">
        <f>MAX(B297-C297,0)*Assumptions!$B$2</f>
        <v>1.3</v>
      </c>
    </row>
    <row r="298" spans="1:7" x14ac:dyDescent="0.3">
      <c r="A298" s="5">
        <f>Raw_Load_Data!A298</f>
        <v>46210.166666667385</v>
      </c>
      <c r="B298">
        <f>Raw_Load_Data!B298</f>
        <v>2.6</v>
      </c>
      <c r="C298">
        <f>MAX(0,IF(AND(HOUR(A298)&gt;=6,HOUR(A298)&lt;=18),Assumptions!$B$8*SIN(PI()*(HOUR(A298)+MINUTE(A298)/60-6)/12),0))</f>
        <v>0</v>
      </c>
      <c r="D298">
        <f t="shared" si="4"/>
        <v>2.6</v>
      </c>
      <c r="E298">
        <f>MIN(B298,C298)*Assumptions!$B$2</f>
        <v>0</v>
      </c>
      <c r="F298">
        <f>MAX(C298-B298,0)*Assumptions!$B$2</f>
        <v>0</v>
      </c>
      <c r="G298">
        <f>MAX(B298-C298,0)*Assumptions!$B$2</f>
        <v>1.3</v>
      </c>
    </row>
    <row r="299" spans="1:7" x14ac:dyDescent="0.3">
      <c r="A299" s="5">
        <f>Raw_Load_Data!A299</f>
        <v>46210.18750000072</v>
      </c>
      <c r="B299">
        <f>Raw_Load_Data!B299</f>
        <v>2.9</v>
      </c>
      <c r="C299">
        <f>MAX(0,IF(AND(HOUR(A299)&gt;=6,HOUR(A299)&lt;=18),Assumptions!$B$8*SIN(PI()*(HOUR(A299)+MINUTE(A299)/60-6)/12),0))</f>
        <v>0</v>
      </c>
      <c r="D299">
        <f t="shared" si="4"/>
        <v>2.9</v>
      </c>
      <c r="E299">
        <f>MIN(B299,C299)*Assumptions!$B$2</f>
        <v>0</v>
      </c>
      <c r="F299">
        <f>MAX(C299-B299,0)*Assumptions!$B$2</f>
        <v>0</v>
      </c>
      <c r="G299">
        <f>MAX(B299-C299,0)*Assumptions!$B$2</f>
        <v>1.45</v>
      </c>
    </row>
    <row r="300" spans="1:7" x14ac:dyDescent="0.3">
      <c r="A300" s="5">
        <f>Raw_Load_Data!A300</f>
        <v>46210.208333334056</v>
      </c>
      <c r="B300">
        <f>Raw_Load_Data!B300</f>
        <v>2</v>
      </c>
      <c r="C300">
        <f>MAX(0,IF(AND(HOUR(A300)&gt;=6,HOUR(A300)&lt;=18),Assumptions!$B$8*SIN(PI()*(HOUR(A300)+MINUTE(A300)/60-6)/12),0))</f>
        <v>0</v>
      </c>
      <c r="D300">
        <f t="shared" si="4"/>
        <v>2</v>
      </c>
      <c r="E300">
        <f>MIN(B300,C300)*Assumptions!$B$2</f>
        <v>0</v>
      </c>
      <c r="F300">
        <f>MAX(C300-B300,0)*Assumptions!$B$2</f>
        <v>0</v>
      </c>
      <c r="G300">
        <f>MAX(B300-C300,0)*Assumptions!$B$2</f>
        <v>1</v>
      </c>
    </row>
    <row r="301" spans="1:7" x14ac:dyDescent="0.3">
      <c r="A301" s="5">
        <f>Raw_Load_Data!A301</f>
        <v>46210.229166667392</v>
      </c>
      <c r="B301">
        <f>Raw_Load_Data!B301</f>
        <v>2.4</v>
      </c>
      <c r="C301">
        <f>MAX(0,IF(AND(HOUR(A301)&gt;=6,HOUR(A301)&lt;=18),Assumptions!$B$8*SIN(PI()*(HOUR(A301)+MINUTE(A301)/60-6)/12),0))</f>
        <v>0</v>
      </c>
      <c r="D301">
        <f t="shared" si="4"/>
        <v>2.4</v>
      </c>
      <c r="E301">
        <f>MIN(B301,C301)*Assumptions!$B$2</f>
        <v>0</v>
      </c>
      <c r="F301">
        <f>MAX(C301-B301,0)*Assumptions!$B$2</f>
        <v>0</v>
      </c>
      <c r="G301">
        <f>MAX(B301-C301,0)*Assumptions!$B$2</f>
        <v>1.2</v>
      </c>
    </row>
    <row r="302" spans="1:7" x14ac:dyDescent="0.3">
      <c r="A302" s="5">
        <f>Raw_Load_Data!A302</f>
        <v>46210.250000000728</v>
      </c>
      <c r="B302">
        <f>Raw_Load_Data!B302</f>
        <v>7.2</v>
      </c>
      <c r="C302">
        <f>MAX(0,IF(AND(HOUR(A302)&gt;=6,HOUR(A302)&lt;=18),Assumptions!$B$8*SIN(PI()*(HOUR(A302)+MINUTE(A302)/60-6)/12),0))</f>
        <v>0</v>
      </c>
      <c r="D302">
        <f t="shared" si="4"/>
        <v>7.2</v>
      </c>
      <c r="E302">
        <f>MIN(B302,C302)*Assumptions!$B$2</f>
        <v>0</v>
      </c>
      <c r="F302">
        <f>MAX(C302-B302,0)*Assumptions!$B$2</f>
        <v>0</v>
      </c>
      <c r="G302">
        <f>MAX(B302-C302,0)*Assumptions!$B$2</f>
        <v>3.6</v>
      </c>
    </row>
    <row r="303" spans="1:7" x14ac:dyDescent="0.3">
      <c r="A303" s="5">
        <f>Raw_Load_Data!A303</f>
        <v>46210.270833334063</v>
      </c>
      <c r="B303">
        <f>Raw_Load_Data!B303</f>
        <v>4.0999999999999996</v>
      </c>
      <c r="C303">
        <f>MAX(0,IF(AND(HOUR(A303)&gt;=6,HOUR(A303)&lt;=18),Assumptions!$B$8*SIN(PI()*(HOUR(A303)+MINUTE(A303)/60-6)/12),0))</f>
        <v>3.9157857666015472</v>
      </c>
      <c r="D303">
        <f t="shared" si="4"/>
        <v>0.18421423339845244</v>
      </c>
      <c r="E303">
        <f>MIN(B303,C303)*Assumptions!$B$2</f>
        <v>1.9578928833007736</v>
      </c>
      <c r="F303">
        <f>MAX(C303-B303,0)*Assumptions!$B$2</f>
        <v>0</v>
      </c>
      <c r="G303">
        <f>MAX(B303-C303,0)*Assumptions!$B$2</f>
        <v>9.2107116699226221E-2</v>
      </c>
    </row>
    <row r="304" spans="1:7" x14ac:dyDescent="0.3">
      <c r="A304" s="5">
        <f>Raw_Load_Data!A304</f>
        <v>46210.291666667399</v>
      </c>
      <c r="B304">
        <f>Raw_Load_Data!B304</f>
        <v>4.5</v>
      </c>
      <c r="C304">
        <f>MAX(0,IF(AND(HOUR(A304)&gt;=6,HOUR(A304)&lt;=18),Assumptions!$B$8*SIN(PI()*(HOUR(A304)+MINUTE(A304)/60-6)/12),0))</f>
        <v>7.7645713530756222</v>
      </c>
      <c r="D304">
        <f t="shared" si="4"/>
        <v>-3.2645713530756222</v>
      </c>
      <c r="E304">
        <f>MIN(B304,C304)*Assumptions!$B$2</f>
        <v>2.25</v>
      </c>
      <c r="F304">
        <f>MAX(C304-B304,0)*Assumptions!$B$2</f>
        <v>1.6322856765378111</v>
      </c>
      <c r="G304">
        <f>MAX(B304-C304,0)*Assumptions!$B$2</f>
        <v>0</v>
      </c>
    </row>
    <row r="305" spans="1:7" x14ac:dyDescent="0.3">
      <c r="A305" s="5">
        <f>Raw_Load_Data!A305</f>
        <v>46210.312500000735</v>
      </c>
      <c r="B305">
        <f>Raw_Load_Data!B305</f>
        <v>4.3</v>
      </c>
      <c r="C305">
        <f>MAX(0,IF(AND(HOUR(A305)&gt;=6,HOUR(A305)&lt;=18),Assumptions!$B$8*SIN(PI()*(HOUR(A305)+MINUTE(A305)/60-6)/12),0))</f>
        <v>11.480502970952694</v>
      </c>
      <c r="D305">
        <f t="shared" si="4"/>
        <v>-7.180502970952694</v>
      </c>
      <c r="E305">
        <f>MIN(B305,C305)*Assumptions!$B$2</f>
        <v>2.15</v>
      </c>
      <c r="F305">
        <f>MAX(C305-B305,0)*Assumptions!$B$2</f>
        <v>3.590251485476347</v>
      </c>
      <c r="G305">
        <f>MAX(B305-C305,0)*Assumptions!$B$2</f>
        <v>0</v>
      </c>
    </row>
    <row r="306" spans="1:7" x14ac:dyDescent="0.3">
      <c r="A306" s="5">
        <f>Raw_Load_Data!A306</f>
        <v>46210.333333334071</v>
      </c>
      <c r="B306">
        <f>Raw_Load_Data!B306</f>
        <v>18.899999999999999</v>
      </c>
      <c r="C306">
        <f>MAX(0,IF(AND(HOUR(A306)&gt;=6,HOUR(A306)&lt;=18),Assumptions!$B$8*SIN(PI()*(HOUR(A306)+MINUTE(A306)/60-6)/12),0))</f>
        <v>14.999999999999998</v>
      </c>
      <c r="D306">
        <f t="shared" si="4"/>
        <v>3.9000000000000004</v>
      </c>
      <c r="E306">
        <f>MIN(B306,C306)*Assumptions!$B$2</f>
        <v>7.4999999999999991</v>
      </c>
      <c r="F306">
        <f>MAX(C306-B306,0)*Assumptions!$B$2</f>
        <v>0</v>
      </c>
      <c r="G306">
        <f>MAX(B306-C306,0)*Assumptions!$B$2</f>
        <v>1.9500000000000002</v>
      </c>
    </row>
    <row r="307" spans="1:7" x14ac:dyDescent="0.3">
      <c r="A307" s="5">
        <f>Raw_Load_Data!A307</f>
        <v>46210.354166667406</v>
      </c>
      <c r="B307">
        <f>Raw_Load_Data!B307</f>
        <v>17</v>
      </c>
      <c r="C307">
        <f>MAX(0,IF(AND(HOUR(A307)&gt;=6,HOUR(A307)&lt;=18),Assumptions!$B$8*SIN(PI()*(HOUR(A307)+MINUTE(A307)/60-6)/12),0))</f>
        <v>18.262842870261618</v>
      </c>
      <c r="D307">
        <f t="shared" si="4"/>
        <v>-1.2628428702616183</v>
      </c>
      <c r="E307">
        <f>MIN(B307,C307)*Assumptions!$B$2</f>
        <v>8.5</v>
      </c>
      <c r="F307">
        <f>MAX(C307-B307,0)*Assumptions!$B$2</f>
        <v>0.63142143513080917</v>
      </c>
      <c r="G307">
        <f>MAX(B307-C307,0)*Assumptions!$B$2</f>
        <v>0</v>
      </c>
    </row>
    <row r="308" spans="1:7" x14ac:dyDescent="0.3">
      <c r="A308" s="5">
        <f>Raw_Load_Data!A308</f>
        <v>46210.375000000742</v>
      </c>
      <c r="B308">
        <f>Raw_Load_Data!B308</f>
        <v>12.2</v>
      </c>
      <c r="C308">
        <f>MAX(0,IF(AND(HOUR(A308)&gt;=6,HOUR(A308)&lt;=18),Assumptions!$B$8*SIN(PI()*(HOUR(A308)+MINUTE(A308)/60-6)/12),0))</f>
        <v>21.213203435596423</v>
      </c>
      <c r="D308">
        <f t="shared" si="4"/>
        <v>-9.0132034355964237</v>
      </c>
      <c r="E308">
        <f>MIN(B308,C308)*Assumptions!$B$2</f>
        <v>6.1</v>
      </c>
      <c r="F308">
        <f>MAX(C308-B308,0)*Assumptions!$B$2</f>
        <v>4.5066017177982118</v>
      </c>
      <c r="G308">
        <f>MAX(B308-C308,0)*Assumptions!$B$2</f>
        <v>0</v>
      </c>
    </row>
    <row r="309" spans="1:7" x14ac:dyDescent="0.3">
      <c r="A309" s="5">
        <f>Raw_Load_Data!A309</f>
        <v>46210.395833334078</v>
      </c>
      <c r="B309">
        <f>Raw_Load_Data!B309</f>
        <v>16.7</v>
      </c>
      <c r="C309">
        <f>MAX(0,IF(AND(HOUR(A309)&gt;=6,HOUR(A309)&lt;=18),Assumptions!$B$8*SIN(PI()*(HOUR(A309)+MINUTE(A309)/60-6)/12),0))</f>
        <v>23.800600208737055</v>
      </c>
      <c r="D309">
        <f t="shared" si="4"/>
        <v>-7.1006002087370561</v>
      </c>
      <c r="E309">
        <f>MIN(B309,C309)*Assumptions!$B$2</f>
        <v>8.35</v>
      </c>
      <c r="F309">
        <f>MAX(C309-B309,0)*Assumptions!$B$2</f>
        <v>3.5503001043685281</v>
      </c>
      <c r="G309">
        <f>MAX(B309-C309,0)*Assumptions!$B$2</f>
        <v>0</v>
      </c>
    </row>
    <row r="310" spans="1:7" x14ac:dyDescent="0.3">
      <c r="A310" s="5">
        <f>Raw_Load_Data!A310</f>
        <v>46210.416666667414</v>
      </c>
      <c r="B310">
        <f>Raw_Load_Data!B310</f>
        <v>12.9</v>
      </c>
      <c r="C310">
        <f>MAX(0,IF(AND(HOUR(A310)&gt;=6,HOUR(A310)&lt;=18),Assumptions!$B$8*SIN(PI()*(HOUR(A310)+MINUTE(A310)/60-6)/12),0))</f>
        <v>25.980762113533157</v>
      </c>
      <c r="D310">
        <f t="shared" si="4"/>
        <v>-13.080762113533156</v>
      </c>
      <c r="E310">
        <f>MIN(B310,C310)*Assumptions!$B$2</f>
        <v>6.45</v>
      </c>
      <c r="F310">
        <f>MAX(C310-B310,0)*Assumptions!$B$2</f>
        <v>6.5403810567665781</v>
      </c>
      <c r="G310">
        <f>MAX(B310-C310,0)*Assumptions!$B$2</f>
        <v>0</v>
      </c>
    </row>
    <row r="311" spans="1:7" x14ac:dyDescent="0.3">
      <c r="A311" s="5">
        <f>Raw_Load_Data!A311</f>
        <v>46210.437500000749</v>
      </c>
      <c r="B311">
        <f>Raw_Load_Data!B311</f>
        <v>16.3</v>
      </c>
      <c r="C311">
        <f>MAX(0,IF(AND(HOUR(A311)&gt;=6,HOUR(A311)&lt;=18),Assumptions!$B$8*SIN(PI()*(HOUR(A311)+MINUTE(A311)/60-6)/12),0))</f>
        <v>27.716385975338603</v>
      </c>
      <c r="D311">
        <f t="shared" si="4"/>
        <v>-11.416385975338603</v>
      </c>
      <c r="E311">
        <f>MIN(B311,C311)*Assumptions!$B$2</f>
        <v>8.15</v>
      </c>
      <c r="F311">
        <f>MAX(C311-B311,0)*Assumptions!$B$2</f>
        <v>5.7081929876693014</v>
      </c>
      <c r="G311">
        <f>MAX(B311-C311,0)*Assumptions!$B$2</f>
        <v>0</v>
      </c>
    </row>
    <row r="312" spans="1:7" x14ac:dyDescent="0.3">
      <c r="A312" s="5">
        <f>Raw_Load_Data!A312</f>
        <v>46210.458333334085</v>
      </c>
      <c r="B312">
        <f>Raw_Load_Data!B312</f>
        <v>15.5</v>
      </c>
      <c r="C312">
        <f>MAX(0,IF(AND(HOUR(A312)&gt;=6,HOUR(A312)&lt;=18),Assumptions!$B$8*SIN(PI()*(HOUR(A312)+MINUTE(A312)/60-6)/12),0))</f>
        <v>28.97777478867205</v>
      </c>
      <c r="D312">
        <f t="shared" si="4"/>
        <v>-13.47777478867205</v>
      </c>
      <c r="E312">
        <f>MIN(B312,C312)*Assumptions!$B$2</f>
        <v>7.75</v>
      </c>
      <c r="F312">
        <f>MAX(C312-B312,0)*Assumptions!$B$2</f>
        <v>6.7388873943360252</v>
      </c>
      <c r="G312">
        <f>MAX(B312-C312,0)*Assumptions!$B$2</f>
        <v>0</v>
      </c>
    </row>
    <row r="313" spans="1:7" x14ac:dyDescent="0.3">
      <c r="A313" s="5">
        <f>Raw_Load_Data!A313</f>
        <v>46210.479166667421</v>
      </c>
      <c r="B313">
        <f>Raw_Load_Data!B313</f>
        <v>19.7</v>
      </c>
      <c r="C313">
        <f>MAX(0,IF(AND(HOUR(A313)&gt;=6,HOUR(A313)&lt;=18),Assumptions!$B$8*SIN(PI()*(HOUR(A313)+MINUTE(A313)/60-6)/12),0))</f>
        <v>29.74334584121431</v>
      </c>
      <c r="D313">
        <f t="shared" si="4"/>
        <v>-10.043345841214311</v>
      </c>
      <c r="E313">
        <f>MIN(B313,C313)*Assumptions!$B$2</f>
        <v>9.85</v>
      </c>
      <c r="F313">
        <f>MAX(C313-B313,0)*Assumptions!$B$2</f>
        <v>5.0216729206071555</v>
      </c>
      <c r="G313">
        <f>MAX(B313-C313,0)*Assumptions!$B$2</f>
        <v>0</v>
      </c>
    </row>
    <row r="314" spans="1:7" x14ac:dyDescent="0.3">
      <c r="A314" s="5">
        <f>Raw_Load_Data!A314</f>
        <v>46210.500000000757</v>
      </c>
      <c r="B314">
        <f>Raw_Load_Data!B314</f>
        <v>29.4</v>
      </c>
      <c r="C314">
        <f>MAX(0,IF(AND(HOUR(A314)&gt;=6,HOUR(A314)&lt;=18),Assumptions!$B$8*SIN(PI()*(HOUR(A314)+MINUTE(A314)/60-6)/12),0))</f>
        <v>30</v>
      </c>
      <c r="D314">
        <f t="shared" si="4"/>
        <v>-0.60000000000000142</v>
      </c>
      <c r="E314">
        <f>MIN(B314,C314)*Assumptions!$B$2</f>
        <v>14.7</v>
      </c>
      <c r="F314">
        <f>MAX(C314-B314,0)*Assumptions!$B$2</f>
        <v>0.30000000000000071</v>
      </c>
      <c r="G314">
        <f>MAX(B314-C314,0)*Assumptions!$B$2</f>
        <v>0</v>
      </c>
    </row>
    <row r="315" spans="1:7" x14ac:dyDescent="0.3">
      <c r="A315" s="5">
        <f>Raw_Load_Data!A315</f>
        <v>46210.520833334092</v>
      </c>
      <c r="B315">
        <f>Raw_Load_Data!B315</f>
        <v>25.6</v>
      </c>
      <c r="C315">
        <f>MAX(0,IF(AND(HOUR(A315)&gt;=6,HOUR(A315)&lt;=18),Assumptions!$B$8*SIN(PI()*(HOUR(A315)+MINUTE(A315)/60-6)/12),0))</f>
        <v>29.74334584121431</v>
      </c>
      <c r="D315">
        <f t="shared" si="4"/>
        <v>-4.1433458412143089</v>
      </c>
      <c r="E315">
        <f>MIN(B315,C315)*Assumptions!$B$2</f>
        <v>12.8</v>
      </c>
      <c r="F315">
        <f>MAX(C315-B315,0)*Assumptions!$B$2</f>
        <v>2.0716729206071545</v>
      </c>
      <c r="G315">
        <f>MAX(B315-C315,0)*Assumptions!$B$2</f>
        <v>0</v>
      </c>
    </row>
    <row r="316" spans="1:7" x14ac:dyDescent="0.3">
      <c r="A316" s="5">
        <f>Raw_Load_Data!A316</f>
        <v>46210.541666667428</v>
      </c>
      <c r="B316">
        <f>Raw_Load_Data!B316</f>
        <v>21</v>
      </c>
      <c r="C316">
        <f>MAX(0,IF(AND(HOUR(A316)&gt;=6,HOUR(A316)&lt;=18),Assumptions!$B$8*SIN(PI()*(HOUR(A316)+MINUTE(A316)/60-6)/12),0))</f>
        <v>28.97777478867205</v>
      </c>
      <c r="D316">
        <f t="shared" si="4"/>
        <v>-7.9777747886720505</v>
      </c>
      <c r="E316">
        <f>MIN(B316,C316)*Assumptions!$B$2</f>
        <v>10.5</v>
      </c>
      <c r="F316">
        <f>MAX(C316-B316,0)*Assumptions!$B$2</f>
        <v>3.9888873943360252</v>
      </c>
      <c r="G316">
        <f>MAX(B316-C316,0)*Assumptions!$B$2</f>
        <v>0</v>
      </c>
    </row>
    <row r="317" spans="1:7" x14ac:dyDescent="0.3">
      <c r="A317" s="5">
        <f>Raw_Load_Data!A317</f>
        <v>46210.562500000764</v>
      </c>
      <c r="B317">
        <f>Raw_Load_Data!B317</f>
        <v>30.3</v>
      </c>
      <c r="C317">
        <f>MAX(0,IF(AND(HOUR(A317)&gt;=6,HOUR(A317)&lt;=18),Assumptions!$B$8*SIN(PI()*(HOUR(A317)+MINUTE(A317)/60-6)/12),0))</f>
        <v>27.716385975338607</v>
      </c>
      <c r="D317">
        <f t="shared" si="4"/>
        <v>2.5836140246613937</v>
      </c>
      <c r="E317">
        <f>MIN(B317,C317)*Assumptions!$B$2</f>
        <v>13.858192987669304</v>
      </c>
      <c r="F317">
        <f>MAX(C317-B317,0)*Assumptions!$B$2</f>
        <v>0</v>
      </c>
      <c r="G317">
        <f>MAX(B317-C317,0)*Assumptions!$B$2</f>
        <v>1.2918070123306968</v>
      </c>
    </row>
    <row r="318" spans="1:7" x14ac:dyDescent="0.3">
      <c r="A318" s="5">
        <f>Raw_Load_Data!A318</f>
        <v>46210.5833333341</v>
      </c>
      <c r="B318">
        <f>Raw_Load_Data!B318</f>
        <v>23.3</v>
      </c>
      <c r="C318">
        <f>MAX(0,IF(AND(HOUR(A318)&gt;=6,HOUR(A318)&lt;=18),Assumptions!$B$8*SIN(PI()*(HOUR(A318)+MINUTE(A318)/60-6)/12),0))</f>
        <v>25.98076211353316</v>
      </c>
      <c r="D318">
        <f t="shared" si="4"/>
        <v>-2.6807621135331594</v>
      </c>
      <c r="E318">
        <f>MIN(B318,C318)*Assumptions!$B$2</f>
        <v>11.65</v>
      </c>
      <c r="F318">
        <f>MAX(C318-B318,0)*Assumptions!$B$2</f>
        <v>1.3403810567665797</v>
      </c>
      <c r="G318">
        <f>MAX(B318-C318,0)*Assumptions!$B$2</f>
        <v>0</v>
      </c>
    </row>
    <row r="319" spans="1:7" x14ac:dyDescent="0.3">
      <c r="A319" s="5">
        <f>Raw_Load_Data!A319</f>
        <v>46210.604166667435</v>
      </c>
      <c r="B319">
        <f>Raw_Load_Data!B319</f>
        <v>23.8</v>
      </c>
      <c r="C319">
        <f>MAX(0,IF(AND(HOUR(A319)&gt;=6,HOUR(A319)&lt;=18),Assumptions!$B$8*SIN(PI()*(HOUR(A319)+MINUTE(A319)/60-6)/12),0))</f>
        <v>23.800600208737055</v>
      </c>
      <c r="D319">
        <f t="shared" si="4"/>
        <v>-6.0020873705468603E-4</v>
      </c>
      <c r="E319">
        <f>MIN(B319,C319)*Assumptions!$B$2</f>
        <v>11.9</v>
      </c>
      <c r="F319">
        <f>MAX(C319-B319,0)*Assumptions!$B$2</f>
        <v>3.0010436852734301E-4</v>
      </c>
      <c r="G319">
        <f>MAX(B319-C319,0)*Assumptions!$B$2</f>
        <v>0</v>
      </c>
    </row>
    <row r="320" spans="1:7" x14ac:dyDescent="0.3">
      <c r="A320" s="5">
        <f>Raw_Load_Data!A320</f>
        <v>46210.625000000771</v>
      </c>
      <c r="B320">
        <f>Raw_Load_Data!B320</f>
        <v>20.6</v>
      </c>
      <c r="C320">
        <f>MAX(0,IF(AND(HOUR(A320)&gt;=6,HOUR(A320)&lt;=18),Assumptions!$B$8*SIN(PI()*(HOUR(A320)+MINUTE(A320)/60-6)/12),0))</f>
        <v>21.213203435596427</v>
      </c>
      <c r="D320">
        <f t="shared" si="4"/>
        <v>-0.61320343559642509</v>
      </c>
      <c r="E320">
        <f>MIN(B320,C320)*Assumptions!$B$2</f>
        <v>10.3</v>
      </c>
      <c r="F320">
        <f>MAX(C320-B320,0)*Assumptions!$B$2</f>
        <v>0.30660171779821255</v>
      </c>
      <c r="G320">
        <f>MAX(B320-C320,0)*Assumptions!$B$2</f>
        <v>0</v>
      </c>
    </row>
    <row r="321" spans="1:7" x14ac:dyDescent="0.3">
      <c r="A321" s="5">
        <f>Raw_Load_Data!A321</f>
        <v>46210.645833334107</v>
      </c>
      <c r="B321">
        <f>Raw_Load_Data!B321</f>
        <v>33.9</v>
      </c>
      <c r="C321">
        <f>MAX(0,IF(AND(HOUR(A321)&gt;=6,HOUR(A321)&lt;=18),Assumptions!$B$8*SIN(PI()*(HOUR(A321)+MINUTE(A321)/60-6)/12),0))</f>
        <v>18.262842870261625</v>
      </c>
      <c r="D321">
        <f t="shared" si="4"/>
        <v>15.637157129738373</v>
      </c>
      <c r="E321">
        <f>MIN(B321,C321)*Assumptions!$B$2</f>
        <v>9.1314214351308127</v>
      </c>
      <c r="F321">
        <f>MAX(C321-B321,0)*Assumptions!$B$2</f>
        <v>0</v>
      </c>
      <c r="G321">
        <f>MAX(B321-C321,0)*Assumptions!$B$2</f>
        <v>7.8185785648691866</v>
      </c>
    </row>
    <row r="322" spans="1:7" x14ac:dyDescent="0.3">
      <c r="A322" s="5">
        <f>Raw_Load_Data!A322</f>
        <v>46210.666666667443</v>
      </c>
      <c r="B322">
        <f>Raw_Load_Data!B322</f>
        <v>11.7</v>
      </c>
      <c r="C322">
        <f>MAX(0,IF(AND(HOUR(A322)&gt;=6,HOUR(A322)&lt;=18),Assumptions!$B$8*SIN(PI()*(HOUR(A322)+MINUTE(A322)/60-6)/12),0))</f>
        <v>14.999999999999998</v>
      </c>
      <c r="D322">
        <f t="shared" si="4"/>
        <v>-3.2999999999999989</v>
      </c>
      <c r="E322">
        <f>MIN(B322,C322)*Assumptions!$B$2</f>
        <v>5.85</v>
      </c>
      <c r="F322">
        <f>MAX(C322-B322,0)*Assumptions!$B$2</f>
        <v>1.6499999999999995</v>
      </c>
      <c r="G322">
        <f>MAX(B322-C322,0)*Assumptions!$B$2</f>
        <v>0</v>
      </c>
    </row>
    <row r="323" spans="1:7" x14ac:dyDescent="0.3">
      <c r="A323" s="5">
        <f>Raw_Load_Data!A323</f>
        <v>46210.687500000779</v>
      </c>
      <c r="B323">
        <f>Raw_Load_Data!B323</f>
        <v>19.600000000000001</v>
      </c>
      <c r="C323">
        <f>MAX(0,IF(AND(HOUR(A323)&gt;=6,HOUR(A323)&lt;=18),Assumptions!$B$8*SIN(PI()*(HOUR(A323)+MINUTE(A323)/60-6)/12),0))</f>
        <v>11.480502970952697</v>
      </c>
      <c r="D323">
        <f t="shared" ref="D323:D386" si="5">B323-C323</f>
        <v>8.1194970290473041</v>
      </c>
      <c r="E323">
        <f>MIN(B323,C323)*Assumptions!$B$2</f>
        <v>5.7402514854763487</v>
      </c>
      <c r="F323">
        <f>MAX(C323-B323,0)*Assumptions!$B$2</f>
        <v>0</v>
      </c>
      <c r="G323">
        <f>MAX(B323-C323,0)*Assumptions!$B$2</f>
        <v>4.059748514523652</v>
      </c>
    </row>
    <row r="324" spans="1:7" x14ac:dyDescent="0.3">
      <c r="A324" s="5">
        <f>Raw_Load_Data!A324</f>
        <v>46210.708333334114</v>
      </c>
      <c r="B324">
        <f>Raw_Load_Data!B324</f>
        <v>18</v>
      </c>
      <c r="C324">
        <f>MAX(0,IF(AND(HOUR(A324)&gt;=6,HOUR(A324)&lt;=18),Assumptions!$B$8*SIN(PI()*(HOUR(A324)+MINUTE(A324)/60-6)/12),0))</f>
        <v>7.7645713530756302</v>
      </c>
      <c r="D324">
        <f t="shared" si="5"/>
        <v>10.235428646924369</v>
      </c>
      <c r="E324">
        <f>MIN(B324,C324)*Assumptions!$B$2</f>
        <v>3.8822856765378151</v>
      </c>
      <c r="F324">
        <f>MAX(C324-B324,0)*Assumptions!$B$2</f>
        <v>0</v>
      </c>
      <c r="G324">
        <f>MAX(B324-C324,0)*Assumptions!$B$2</f>
        <v>5.1177143234621845</v>
      </c>
    </row>
    <row r="325" spans="1:7" x14ac:dyDescent="0.3">
      <c r="A325" s="5">
        <f>Raw_Load_Data!A325</f>
        <v>46210.72916666745</v>
      </c>
      <c r="B325">
        <f>Raw_Load_Data!B325</f>
        <v>17.2</v>
      </c>
      <c r="C325">
        <f>MAX(0,IF(AND(HOUR(A325)&gt;=6,HOUR(A325)&lt;=18),Assumptions!$B$8*SIN(PI()*(HOUR(A325)+MINUTE(A325)/60-6)/12),0))</f>
        <v>3.9157857666015596</v>
      </c>
      <c r="D325">
        <f t="shared" si="5"/>
        <v>13.284214233398441</v>
      </c>
      <c r="E325">
        <f>MIN(B325,C325)*Assumptions!$B$2</f>
        <v>1.9578928833007798</v>
      </c>
      <c r="F325">
        <f>MAX(C325-B325,0)*Assumptions!$B$2</f>
        <v>0</v>
      </c>
      <c r="G325">
        <f>MAX(B325-C325,0)*Assumptions!$B$2</f>
        <v>6.6421071166992203</v>
      </c>
    </row>
    <row r="326" spans="1:7" x14ac:dyDescent="0.3">
      <c r="A326" s="5">
        <f>Raw_Load_Data!A326</f>
        <v>46210.750000000786</v>
      </c>
      <c r="B326">
        <f>Raw_Load_Data!B326</f>
        <v>15.3</v>
      </c>
      <c r="C326">
        <f>MAX(0,IF(AND(HOUR(A326)&gt;=6,HOUR(A326)&lt;=18),Assumptions!$B$8*SIN(PI()*(HOUR(A326)+MINUTE(A326)/60-6)/12),0))</f>
        <v>3.67544536472586E-15</v>
      </c>
      <c r="D326">
        <f t="shared" si="5"/>
        <v>15.299999999999997</v>
      </c>
      <c r="E326">
        <f>MIN(B326,C326)*Assumptions!$B$2</f>
        <v>1.83772268236293E-15</v>
      </c>
      <c r="F326">
        <f>MAX(C326-B326,0)*Assumptions!$B$2</f>
        <v>0</v>
      </c>
      <c r="G326">
        <f>MAX(B326-C326,0)*Assumptions!$B$2</f>
        <v>7.6499999999999986</v>
      </c>
    </row>
    <row r="327" spans="1:7" x14ac:dyDescent="0.3">
      <c r="A327" s="5">
        <f>Raw_Load_Data!A327</f>
        <v>46210.770833334122</v>
      </c>
      <c r="B327">
        <f>Raw_Load_Data!B327</f>
        <v>14.1</v>
      </c>
      <c r="C327">
        <f>MAX(0,IF(AND(HOUR(A327)&gt;=6,HOUR(A327)&lt;=18),Assumptions!$B$8*SIN(PI()*(HOUR(A327)+MINUTE(A327)/60-6)/12),0))</f>
        <v>0</v>
      </c>
      <c r="D327">
        <f t="shared" si="5"/>
        <v>14.1</v>
      </c>
      <c r="E327">
        <f>MIN(B327,C327)*Assumptions!$B$2</f>
        <v>0</v>
      </c>
      <c r="F327">
        <f>MAX(C327-B327,0)*Assumptions!$B$2</f>
        <v>0</v>
      </c>
      <c r="G327">
        <f>MAX(B327-C327,0)*Assumptions!$B$2</f>
        <v>7.05</v>
      </c>
    </row>
    <row r="328" spans="1:7" x14ac:dyDescent="0.3">
      <c r="A328" s="5">
        <f>Raw_Load_Data!A328</f>
        <v>46210.791666667457</v>
      </c>
      <c r="B328">
        <f>Raw_Load_Data!B328</f>
        <v>4.3</v>
      </c>
      <c r="C328">
        <f>MAX(0,IF(AND(HOUR(A328)&gt;=6,HOUR(A328)&lt;=18),Assumptions!$B$8*SIN(PI()*(HOUR(A328)+MINUTE(A328)/60-6)/12),0))</f>
        <v>0</v>
      </c>
      <c r="D328">
        <f t="shared" si="5"/>
        <v>4.3</v>
      </c>
      <c r="E328">
        <f>MIN(B328,C328)*Assumptions!$B$2</f>
        <v>0</v>
      </c>
      <c r="F328">
        <f>MAX(C328-B328,0)*Assumptions!$B$2</f>
        <v>0</v>
      </c>
      <c r="G328">
        <f>MAX(B328-C328,0)*Assumptions!$B$2</f>
        <v>2.15</v>
      </c>
    </row>
    <row r="329" spans="1:7" x14ac:dyDescent="0.3">
      <c r="A329" s="5">
        <f>Raw_Load_Data!A329</f>
        <v>46210.812500000793</v>
      </c>
      <c r="B329">
        <f>Raw_Load_Data!B329</f>
        <v>7.4</v>
      </c>
      <c r="C329">
        <f>MAX(0,IF(AND(HOUR(A329)&gt;=6,HOUR(A329)&lt;=18),Assumptions!$B$8*SIN(PI()*(HOUR(A329)+MINUTE(A329)/60-6)/12),0))</f>
        <v>0</v>
      </c>
      <c r="D329">
        <f t="shared" si="5"/>
        <v>7.4</v>
      </c>
      <c r="E329">
        <f>MIN(B329,C329)*Assumptions!$B$2</f>
        <v>0</v>
      </c>
      <c r="F329">
        <f>MAX(C329-B329,0)*Assumptions!$B$2</f>
        <v>0</v>
      </c>
      <c r="G329">
        <f>MAX(B329-C329,0)*Assumptions!$B$2</f>
        <v>3.7</v>
      </c>
    </row>
    <row r="330" spans="1:7" x14ac:dyDescent="0.3">
      <c r="A330" s="5">
        <f>Raw_Load_Data!A330</f>
        <v>46210.833333334129</v>
      </c>
      <c r="B330">
        <f>Raw_Load_Data!B330</f>
        <v>4.9000000000000004</v>
      </c>
      <c r="C330">
        <f>MAX(0,IF(AND(HOUR(A330)&gt;=6,HOUR(A330)&lt;=18),Assumptions!$B$8*SIN(PI()*(HOUR(A330)+MINUTE(A330)/60-6)/12),0))</f>
        <v>0</v>
      </c>
      <c r="D330">
        <f t="shared" si="5"/>
        <v>4.9000000000000004</v>
      </c>
      <c r="E330">
        <f>MIN(B330,C330)*Assumptions!$B$2</f>
        <v>0</v>
      </c>
      <c r="F330">
        <f>MAX(C330-B330,0)*Assumptions!$B$2</f>
        <v>0</v>
      </c>
      <c r="G330">
        <f>MAX(B330-C330,0)*Assumptions!$B$2</f>
        <v>2.4500000000000002</v>
      </c>
    </row>
    <row r="331" spans="1:7" x14ac:dyDescent="0.3">
      <c r="A331" s="5">
        <f>Raw_Load_Data!A331</f>
        <v>46210.854166667465</v>
      </c>
      <c r="B331">
        <f>Raw_Load_Data!B331</f>
        <v>3.5</v>
      </c>
      <c r="C331">
        <f>MAX(0,IF(AND(HOUR(A331)&gt;=6,HOUR(A331)&lt;=18),Assumptions!$B$8*SIN(PI()*(HOUR(A331)+MINUTE(A331)/60-6)/12),0))</f>
        <v>0</v>
      </c>
      <c r="D331">
        <f t="shared" si="5"/>
        <v>3.5</v>
      </c>
      <c r="E331">
        <f>MIN(B331,C331)*Assumptions!$B$2</f>
        <v>0</v>
      </c>
      <c r="F331">
        <f>MAX(C331-B331,0)*Assumptions!$B$2</f>
        <v>0</v>
      </c>
      <c r="G331">
        <f>MAX(B331-C331,0)*Assumptions!$B$2</f>
        <v>1.75</v>
      </c>
    </row>
    <row r="332" spans="1:7" x14ac:dyDescent="0.3">
      <c r="A332" s="5">
        <f>Raw_Load_Data!A332</f>
        <v>46210.8750000008</v>
      </c>
      <c r="B332">
        <f>Raw_Load_Data!B332</f>
        <v>6.1</v>
      </c>
      <c r="C332">
        <f>MAX(0,IF(AND(HOUR(A332)&gt;=6,HOUR(A332)&lt;=18),Assumptions!$B$8*SIN(PI()*(HOUR(A332)+MINUTE(A332)/60-6)/12),0))</f>
        <v>0</v>
      </c>
      <c r="D332">
        <f t="shared" si="5"/>
        <v>6.1</v>
      </c>
      <c r="E332">
        <f>MIN(B332,C332)*Assumptions!$B$2</f>
        <v>0</v>
      </c>
      <c r="F332">
        <f>MAX(C332-B332,0)*Assumptions!$B$2</f>
        <v>0</v>
      </c>
      <c r="G332">
        <f>MAX(B332-C332,0)*Assumptions!$B$2</f>
        <v>3.05</v>
      </c>
    </row>
    <row r="333" spans="1:7" x14ac:dyDescent="0.3">
      <c r="A333" s="5">
        <f>Raw_Load_Data!A333</f>
        <v>46210.895833334136</v>
      </c>
      <c r="B333">
        <f>Raw_Load_Data!B333</f>
        <v>3.1</v>
      </c>
      <c r="C333">
        <f>MAX(0,IF(AND(HOUR(A333)&gt;=6,HOUR(A333)&lt;=18),Assumptions!$B$8*SIN(PI()*(HOUR(A333)+MINUTE(A333)/60-6)/12),0))</f>
        <v>0</v>
      </c>
      <c r="D333">
        <f t="shared" si="5"/>
        <v>3.1</v>
      </c>
      <c r="E333">
        <f>MIN(B333,C333)*Assumptions!$B$2</f>
        <v>0</v>
      </c>
      <c r="F333">
        <f>MAX(C333-B333,0)*Assumptions!$B$2</f>
        <v>0</v>
      </c>
      <c r="G333">
        <f>MAX(B333-C333,0)*Assumptions!$B$2</f>
        <v>1.55</v>
      </c>
    </row>
    <row r="334" spans="1:7" x14ac:dyDescent="0.3">
      <c r="A334" s="5">
        <f>Raw_Load_Data!A334</f>
        <v>46210.916666667472</v>
      </c>
      <c r="B334">
        <f>Raw_Load_Data!B334</f>
        <v>4.5999999999999996</v>
      </c>
      <c r="C334">
        <f>MAX(0,IF(AND(HOUR(A334)&gt;=6,HOUR(A334)&lt;=18),Assumptions!$B$8*SIN(PI()*(HOUR(A334)+MINUTE(A334)/60-6)/12),0))</f>
        <v>0</v>
      </c>
      <c r="D334">
        <f t="shared" si="5"/>
        <v>4.5999999999999996</v>
      </c>
      <c r="E334">
        <f>MIN(B334,C334)*Assumptions!$B$2</f>
        <v>0</v>
      </c>
      <c r="F334">
        <f>MAX(C334-B334,0)*Assumptions!$B$2</f>
        <v>0</v>
      </c>
      <c r="G334">
        <f>MAX(B334-C334,0)*Assumptions!$B$2</f>
        <v>2.2999999999999998</v>
      </c>
    </row>
    <row r="335" spans="1:7" x14ac:dyDescent="0.3">
      <c r="A335" s="5">
        <f>Raw_Load_Data!A335</f>
        <v>46210.937500000808</v>
      </c>
      <c r="B335">
        <f>Raw_Load_Data!B335</f>
        <v>7.8</v>
      </c>
      <c r="C335">
        <f>MAX(0,IF(AND(HOUR(A335)&gt;=6,HOUR(A335)&lt;=18),Assumptions!$B$8*SIN(PI()*(HOUR(A335)+MINUTE(A335)/60-6)/12),0))</f>
        <v>0</v>
      </c>
      <c r="D335">
        <f t="shared" si="5"/>
        <v>7.8</v>
      </c>
      <c r="E335">
        <f>MIN(B335,C335)*Assumptions!$B$2</f>
        <v>0</v>
      </c>
      <c r="F335">
        <f>MAX(C335-B335,0)*Assumptions!$B$2</f>
        <v>0</v>
      </c>
      <c r="G335">
        <f>MAX(B335-C335,0)*Assumptions!$B$2</f>
        <v>3.9</v>
      </c>
    </row>
    <row r="336" spans="1:7" x14ac:dyDescent="0.3">
      <c r="A336" s="5">
        <f>Raw_Load_Data!A336</f>
        <v>46210.958333334143</v>
      </c>
      <c r="B336">
        <f>Raw_Load_Data!B336</f>
        <v>7.4</v>
      </c>
      <c r="C336">
        <f>MAX(0,IF(AND(HOUR(A336)&gt;=6,HOUR(A336)&lt;=18),Assumptions!$B$8*SIN(PI()*(HOUR(A336)+MINUTE(A336)/60-6)/12),0))</f>
        <v>0</v>
      </c>
      <c r="D336">
        <f t="shared" si="5"/>
        <v>7.4</v>
      </c>
      <c r="E336">
        <f>MIN(B336,C336)*Assumptions!$B$2</f>
        <v>0</v>
      </c>
      <c r="F336">
        <f>MAX(C336-B336,0)*Assumptions!$B$2</f>
        <v>0</v>
      </c>
      <c r="G336">
        <f>MAX(B336-C336,0)*Assumptions!$B$2</f>
        <v>3.7</v>
      </c>
    </row>
    <row r="337" spans="1:7" x14ac:dyDescent="0.3">
      <c r="A337" s="5">
        <f>Raw_Load_Data!A337</f>
        <v>46210.979166667479</v>
      </c>
      <c r="B337">
        <f>Raw_Load_Data!B337</f>
        <v>7.3</v>
      </c>
      <c r="C337">
        <f>MAX(0,IF(AND(HOUR(A337)&gt;=6,HOUR(A337)&lt;=18),Assumptions!$B$8*SIN(PI()*(HOUR(A337)+MINUTE(A337)/60-6)/12),0))</f>
        <v>0</v>
      </c>
      <c r="D337">
        <f t="shared" si="5"/>
        <v>7.3</v>
      </c>
      <c r="E337">
        <f>MIN(B337,C337)*Assumptions!$B$2</f>
        <v>0</v>
      </c>
      <c r="F337">
        <f>MAX(C337-B337,0)*Assumptions!$B$2</f>
        <v>0</v>
      </c>
      <c r="G337">
        <f>MAX(B337-C337,0)*Assumptions!$B$2</f>
        <v>3.65</v>
      </c>
    </row>
    <row r="338" spans="1:7" x14ac:dyDescent="0.3">
      <c r="A338" s="5">
        <f>Raw_Load_Data!A338</f>
        <v>46211.000000000815</v>
      </c>
      <c r="B338">
        <f>Raw_Load_Data!B338</f>
        <v>2.4</v>
      </c>
      <c r="C338">
        <f>MAX(0,IF(AND(HOUR(A338)&gt;=6,HOUR(A338)&lt;=18),Assumptions!$B$8*SIN(PI()*(HOUR(A338)+MINUTE(A338)/60-6)/12),0))</f>
        <v>0</v>
      </c>
      <c r="D338">
        <f t="shared" si="5"/>
        <v>2.4</v>
      </c>
      <c r="E338">
        <f>MIN(B338,C338)*Assumptions!$B$2</f>
        <v>0</v>
      </c>
      <c r="F338">
        <f>MAX(C338-B338,0)*Assumptions!$B$2</f>
        <v>0</v>
      </c>
      <c r="G338">
        <f>MAX(B338-C338,0)*Assumptions!$B$2</f>
        <v>1.2</v>
      </c>
    </row>
    <row r="339" spans="1:7" x14ac:dyDescent="0.3">
      <c r="A339" s="5">
        <f>Raw_Load_Data!A339</f>
        <v>46211.020833334151</v>
      </c>
      <c r="B339">
        <f>Raw_Load_Data!B339</f>
        <v>2.4</v>
      </c>
      <c r="C339">
        <f>MAX(0,IF(AND(HOUR(A339)&gt;=6,HOUR(A339)&lt;=18),Assumptions!$B$8*SIN(PI()*(HOUR(A339)+MINUTE(A339)/60-6)/12),0))</f>
        <v>0</v>
      </c>
      <c r="D339">
        <f t="shared" si="5"/>
        <v>2.4</v>
      </c>
      <c r="E339">
        <f>MIN(B339,C339)*Assumptions!$B$2</f>
        <v>0</v>
      </c>
      <c r="F339">
        <f>MAX(C339-B339,0)*Assumptions!$B$2</f>
        <v>0</v>
      </c>
      <c r="G339">
        <f>MAX(B339-C339,0)*Assumptions!$B$2</f>
        <v>1.2</v>
      </c>
    </row>
    <row r="340" spans="1:7" x14ac:dyDescent="0.3">
      <c r="A340" s="5">
        <f>Raw_Load_Data!A340</f>
        <v>46211.041666667486</v>
      </c>
      <c r="B340">
        <f>Raw_Load_Data!B340</f>
        <v>2.4</v>
      </c>
      <c r="C340">
        <f>MAX(0,IF(AND(HOUR(A340)&gt;=6,HOUR(A340)&lt;=18),Assumptions!$B$8*SIN(PI()*(HOUR(A340)+MINUTE(A340)/60-6)/12),0))</f>
        <v>0</v>
      </c>
      <c r="D340">
        <f t="shared" si="5"/>
        <v>2.4</v>
      </c>
      <c r="E340">
        <f>MIN(B340,C340)*Assumptions!$B$2</f>
        <v>0</v>
      </c>
      <c r="F340">
        <f>MAX(C340-B340,0)*Assumptions!$B$2</f>
        <v>0</v>
      </c>
      <c r="G340">
        <f>MAX(B340-C340,0)*Assumptions!$B$2</f>
        <v>1.2</v>
      </c>
    </row>
    <row r="341" spans="1:7" x14ac:dyDescent="0.3">
      <c r="A341" s="5">
        <f>Raw_Load_Data!A341</f>
        <v>46211.062500000822</v>
      </c>
      <c r="B341">
        <f>Raw_Load_Data!B341</f>
        <v>2.7</v>
      </c>
      <c r="C341">
        <f>MAX(0,IF(AND(HOUR(A341)&gt;=6,HOUR(A341)&lt;=18),Assumptions!$B$8*SIN(PI()*(HOUR(A341)+MINUTE(A341)/60-6)/12),0))</f>
        <v>0</v>
      </c>
      <c r="D341">
        <f t="shared" si="5"/>
        <v>2.7</v>
      </c>
      <c r="E341">
        <f>MIN(B341,C341)*Assumptions!$B$2</f>
        <v>0</v>
      </c>
      <c r="F341">
        <f>MAX(C341-B341,0)*Assumptions!$B$2</f>
        <v>0</v>
      </c>
      <c r="G341">
        <f>MAX(B341-C341,0)*Assumptions!$B$2</f>
        <v>1.35</v>
      </c>
    </row>
    <row r="342" spans="1:7" x14ac:dyDescent="0.3">
      <c r="A342" s="5">
        <f>Raw_Load_Data!A342</f>
        <v>46211.083333334158</v>
      </c>
      <c r="B342">
        <f>Raw_Load_Data!B342</f>
        <v>2</v>
      </c>
      <c r="C342">
        <f>MAX(0,IF(AND(HOUR(A342)&gt;=6,HOUR(A342)&lt;=18),Assumptions!$B$8*SIN(PI()*(HOUR(A342)+MINUTE(A342)/60-6)/12),0))</f>
        <v>0</v>
      </c>
      <c r="D342">
        <f t="shared" si="5"/>
        <v>2</v>
      </c>
      <c r="E342">
        <f>MIN(B342,C342)*Assumptions!$B$2</f>
        <v>0</v>
      </c>
      <c r="F342">
        <f>MAX(C342-B342,0)*Assumptions!$B$2</f>
        <v>0</v>
      </c>
      <c r="G342">
        <f>MAX(B342-C342,0)*Assumptions!$B$2</f>
        <v>1</v>
      </c>
    </row>
    <row r="343" spans="1:7" x14ac:dyDescent="0.3">
      <c r="A343" s="5">
        <f>Raw_Load_Data!A343</f>
        <v>46211.104166667494</v>
      </c>
      <c r="B343">
        <f>Raw_Load_Data!B343</f>
        <v>1.8</v>
      </c>
      <c r="C343">
        <f>MAX(0,IF(AND(HOUR(A343)&gt;=6,HOUR(A343)&lt;=18),Assumptions!$B$8*SIN(PI()*(HOUR(A343)+MINUTE(A343)/60-6)/12),0))</f>
        <v>0</v>
      </c>
      <c r="D343">
        <f t="shared" si="5"/>
        <v>1.8</v>
      </c>
      <c r="E343">
        <f>MIN(B343,C343)*Assumptions!$B$2</f>
        <v>0</v>
      </c>
      <c r="F343">
        <f>MAX(C343-B343,0)*Assumptions!$B$2</f>
        <v>0</v>
      </c>
      <c r="G343">
        <f>MAX(B343-C343,0)*Assumptions!$B$2</f>
        <v>0.9</v>
      </c>
    </row>
    <row r="344" spans="1:7" x14ac:dyDescent="0.3">
      <c r="A344" s="5">
        <f>Raw_Load_Data!A344</f>
        <v>46211.125000000829</v>
      </c>
      <c r="B344">
        <f>Raw_Load_Data!B344</f>
        <v>2.6</v>
      </c>
      <c r="C344">
        <f>MAX(0,IF(AND(HOUR(A344)&gt;=6,HOUR(A344)&lt;=18),Assumptions!$B$8*SIN(PI()*(HOUR(A344)+MINUTE(A344)/60-6)/12),0))</f>
        <v>0</v>
      </c>
      <c r="D344">
        <f t="shared" si="5"/>
        <v>2.6</v>
      </c>
      <c r="E344">
        <f>MIN(B344,C344)*Assumptions!$B$2</f>
        <v>0</v>
      </c>
      <c r="F344">
        <f>MAX(C344-B344,0)*Assumptions!$B$2</f>
        <v>0</v>
      </c>
      <c r="G344">
        <f>MAX(B344-C344,0)*Assumptions!$B$2</f>
        <v>1.3</v>
      </c>
    </row>
    <row r="345" spans="1:7" x14ac:dyDescent="0.3">
      <c r="A345" s="5">
        <f>Raw_Load_Data!A345</f>
        <v>46211.145833334165</v>
      </c>
      <c r="B345">
        <f>Raw_Load_Data!B345</f>
        <v>1.8</v>
      </c>
      <c r="C345">
        <f>MAX(0,IF(AND(HOUR(A345)&gt;=6,HOUR(A345)&lt;=18),Assumptions!$B$8*SIN(PI()*(HOUR(A345)+MINUTE(A345)/60-6)/12),0))</f>
        <v>0</v>
      </c>
      <c r="D345">
        <f t="shared" si="5"/>
        <v>1.8</v>
      </c>
      <c r="E345">
        <f>MIN(B345,C345)*Assumptions!$B$2</f>
        <v>0</v>
      </c>
      <c r="F345">
        <f>MAX(C345-B345,0)*Assumptions!$B$2</f>
        <v>0</v>
      </c>
      <c r="G345">
        <f>MAX(B345-C345,0)*Assumptions!$B$2</f>
        <v>0.9</v>
      </c>
    </row>
    <row r="346" spans="1:7" x14ac:dyDescent="0.3">
      <c r="A346" s="5">
        <f>Raw_Load_Data!A346</f>
        <v>46211.166666667501</v>
      </c>
      <c r="B346">
        <f>Raw_Load_Data!B346</f>
        <v>3</v>
      </c>
      <c r="C346">
        <f>MAX(0,IF(AND(HOUR(A346)&gt;=6,HOUR(A346)&lt;=18),Assumptions!$B$8*SIN(PI()*(HOUR(A346)+MINUTE(A346)/60-6)/12),0))</f>
        <v>0</v>
      </c>
      <c r="D346">
        <f t="shared" si="5"/>
        <v>3</v>
      </c>
      <c r="E346">
        <f>MIN(B346,C346)*Assumptions!$B$2</f>
        <v>0</v>
      </c>
      <c r="F346">
        <f>MAX(C346-B346,0)*Assumptions!$B$2</f>
        <v>0</v>
      </c>
      <c r="G346">
        <f>MAX(B346-C346,0)*Assumptions!$B$2</f>
        <v>1.5</v>
      </c>
    </row>
    <row r="347" spans="1:7" x14ac:dyDescent="0.3">
      <c r="A347" s="5">
        <f>Raw_Load_Data!A347</f>
        <v>46211.187500000837</v>
      </c>
      <c r="B347">
        <f>Raw_Load_Data!B347</f>
        <v>2.7</v>
      </c>
      <c r="C347">
        <f>MAX(0,IF(AND(HOUR(A347)&gt;=6,HOUR(A347)&lt;=18),Assumptions!$B$8*SIN(PI()*(HOUR(A347)+MINUTE(A347)/60-6)/12),0))</f>
        <v>0</v>
      </c>
      <c r="D347">
        <f t="shared" si="5"/>
        <v>2.7</v>
      </c>
      <c r="E347">
        <f>MIN(B347,C347)*Assumptions!$B$2</f>
        <v>0</v>
      </c>
      <c r="F347">
        <f>MAX(C347-B347,0)*Assumptions!$B$2</f>
        <v>0</v>
      </c>
      <c r="G347">
        <f>MAX(B347-C347,0)*Assumptions!$B$2</f>
        <v>1.35</v>
      </c>
    </row>
    <row r="348" spans="1:7" x14ac:dyDescent="0.3">
      <c r="A348" s="5">
        <f>Raw_Load_Data!A348</f>
        <v>46211.208333334172</v>
      </c>
      <c r="B348">
        <f>Raw_Load_Data!B348</f>
        <v>1.9</v>
      </c>
      <c r="C348">
        <f>MAX(0,IF(AND(HOUR(A348)&gt;=6,HOUR(A348)&lt;=18),Assumptions!$B$8*SIN(PI()*(HOUR(A348)+MINUTE(A348)/60-6)/12),0))</f>
        <v>0</v>
      </c>
      <c r="D348">
        <f t="shared" si="5"/>
        <v>1.9</v>
      </c>
      <c r="E348">
        <f>MIN(B348,C348)*Assumptions!$B$2</f>
        <v>0</v>
      </c>
      <c r="F348">
        <f>MAX(C348-B348,0)*Assumptions!$B$2</f>
        <v>0</v>
      </c>
      <c r="G348">
        <f>MAX(B348-C348,0)*Assumptions!$B$2</f>
        <v>0.95</v>
      </c>
    </row>
    <row r="349" spans="1:7" x14ac:dyDescent="0.3">
      <c r="A349" s="5">
        <f>Raw_Load_Data!A349</f>
        <v>46211.229166667508</v>
      </c>
      <c r="B349">
        <f>Raw_Load_Data!B349</f>
        <v>2.2000000000000002</v>
      </c>
      <c r="C349">
        <f>MAX(0,IF(AND(HOUR(A349)&gt;=6,HOUR(A349)&lt;=18),Assumptions!$B$8*SIN(PI()*(HOUR(A349)+MINUTE(A349)/60-6)/12),0))</f>
        <v>0</v>
      </c>
      <c r="D349">
        <f t="shared" si="5"/>
        <v>2.2000000000000002</v>
      </c>
      <c r="E349">
        <f>MIN(B349,C349)*Assumptions!$B$2</f>
        <v>0</v>
      </c>
      <c r="F349">
        <f>MAX(C349-B349,0)*Assumptions!$B$2</f>
        <v>0</v>
      </c>
      <c r="G349">
        <f>MAX(B349-C349,0)*Assumptions!$B$2</f>
        <v>1.1000000000000001</v>
      </c>
    </row>
    <row r="350" spans="1:7" x14ac:dyDescent="0.3">
      <c r="A350" s="5">
        <f>Raw_Load_Data!A350</f>
        <v>46211.250000000844</v>
      </c>
      <c r="B350">
        <f>Raw_Load_Data!B350</f>
        <v>5.7</v>
      </c>
      <c r="C350">
        <f>MAX(0,IF(AND(HOUR(A350)&gt;=6,HOUR(A350)&lt;=18),Assumptions!$B$8*SIN(PI()*(HOUR(A350)+MINUTE(A350)/60-6)/12),0))</f>
        <v>0</v>
      </c>
      <c r="D350">
        <f t="shared" si="5"/>
        <v>5.7</v>
      </c>
      <c r="E350">
        <f>MIN(B350,C350)*Assumptions!$B$2</f>
        <v>0</v>
      </c>
      <c r="F350">
        <f>MAX(C350-B350,0)*Assumptions!$B$2</f>
        <v>0</v>
      </c>
      <c r="G350">
        <f>MAX(B350-C350,0)*Assumptions!$B$2</f>
        <v>2.85</v>
      </c>
    </row>
    <row r="351" spans="1:7" x14ac:dyDescent="0.3">
      <c r="A351" s="5">
        <f>Raw_Load_Data!A351</f>
        <v>46211.27083333418</v>
      </c>
      <c r="B351">
        <f>Raw_Load_Data!B351</f>
        <v>4.5999999999999996</v>
      </c>
      <c r="C351">
        <f>MAX(0,IF(AND(HOUR(A351)&gt;=6,HOUR(A351)&lt;=18),Assumptions!$B$8*SIN(PI()*(HOUR(A351)+MINUTE(A351)/60-6)/12),0))</f>
        <v>3.9157857666015472</v>
      </c>
      <c r="D351">
        <f t="shared" si="5"/>
        <v>0.68421423339845244</v>
      </c>
      <c r="E351">
        <f>MIN(B351,C351)*Assumptions!$B$2</f>
        <v>1.9578928833007736</v>
      </c>
      <c r="F351">
        <f>MAX(C351-B351,0)*Assumptions!$B$2</f>
        <v>0</v>
      </c>
      <c r="G351">
        <f>MAX(B351-C351,0)*Assumptions!$B$2</f>
        <v>0.34210711669922622</v>
      </c>
    </row>
    <row r="352" spans="1:7" x14ac:dyDescent="0.3">
      <c r="A352" s="5">
        <f>Raw_Load_Data!A352</f>
        <v>46211.291666667516</v>
      </c>
      <c r="B352">
        <f>Raw_Load_Data!B352</f>
        <v>7.8</v>
      </c>
      <c r="C352">
        <f>MAX(0,IF(AND(HOUR(A352)&gt;=6,HOUR(A352)&lt;=18),Assumptions!$B$8*SIN(PI()*(HOUR(A352)+MINUTE(A352)/60-6)/12),0))</f>
        <v>7.7645713530756222</v>
      </c>
      <c r="D352">
        <f t="shared" si="5"/>
        <v>3.5428646924377638E-2</v>
      </c>
      <c r="E352">
        <f>MIN(B352,C352)*Assumptions!$B$2</f>
        <v>3.8822856765378111</v>
      </c>
      <c r="F352">
        <f>MAX(C352-B352,0)*Assumptions!$B$2</f>
        <v>0</v>
      </c>
      <c r="G352">
        <f>MAX(B352-C352,0)*Assumptions!$B$2</f>
        <v>1.7714323462188819E-2</v>
      </c>
    </row>
    <row r="353" spans="1:7" x14ac:dyDescent="0.3">
      <c r="A353" s="5">
        <f>Raw_Load_Data!A353</f>
        <v>46211.312500000851</v>
      </c>
      <c r="B353">
        <f>Raw_Load_Data!B353</f>
        <v>4.3</v>
      </c>
      <c r="C353">
        <f>MAX(0,IF(AND(HOUR(A353)&gt;=6,HOUR(A353)&lt;=18),Assumptions!$B$8*SIN(PI()*(HOUR(A353)+MINUTE(A353)/60-6)/12),0))</f>
        <v>11.480502970952694</v>
      </c>
      <c r="D353">
        <f t="shared" si="5"/>
        <v>-7.180502970952694</v>
      </c>
      <c r="E353">
        <f>MIN(B353,C353)*Assumptions!$B$2</f>
        <v>2.15</v>
      </c>
      <c r="F353">
        <f>MAX(C353-B353,0)*Assumptions!$B$2</f>
        <v>3.590251485476347</v>
      </c>
      <c r="G353">
        <f>MAX(B353-C353,0)*Assumptions!$B$2</f>
        <v>0</v>
      </c>
    </row>
    <row r="354" spans="1:7" x14ac:dyDescent="0.3">
      <c r="A354" s="5">
        <f>Raw_Load_Data!A354</f>
        <v>46211.333333334187</v>
      </c>
      <c r="B354">
        <f>Raw_Load_Data!B354</f>
        <v>20.7</v>
      </c>
      <c r="C354">
        <f>MAX(0,IF(AND(HOUR(A354)&gt;=6,HOUR(A354)&lt;=18),Assumptions!$B$8*SIN(PI()*(HOUR(A354)+MINUTE(A354)/60-6)/12),0))</f>
        <v>14.999999999999998</v>
      </c>
      <c r="D354">
        <f t="shared" si="5"/>
        <v>5.7000000000000011</v>
      </c>
      <c r="E354">
        <f>MIN(B354,C354)*Assumptions!$B$2</f>
        <v>7.4999999999999991</v>
      </c>
      <c r="F354">
        <f>MAX(C354-B354,0)*Assumptions!$B$2</f>
        <v>0</v>
      </c>
      <c r="G354">
        <f>MAX(B354-C354,0)*Assumptions!$B$2</f>
        <v>2.8500000000000005</v>
      </c>
    </row>
    <row r="355" spans="1:7" x14ac:dyDescent="0.3">
      <c r="A355" s="5">
        <f>Raw_Load_Data!A355</f>
        <v>46211.354166667523</v>
      </c>
      <c r="B355">
        <f>Raw_Load_Data!B355</f>
        <v>13</v>
      </c>
      <c r="C355">
        <f>MAX(0,IF(AND(HOUR(A355)&gt;=6,HOUR(A355)&lt;=18),Assumptions!$B$8*SIN(PI()*(HOUR(A355)+MINUTE(A355)/60-6)/12),0))</f>
        <v>18.262842870261618</v>
      </c>
      <c r="D355">
        <f t="shared" si="5"/>
        <v>-5.2628428702616183</v>
      </c>
      <c r="E355">
        <f>MIN(B355,C355)*Assumptions!$B$2</f>
        <v>6.5</v>
      </c>
      <c r="F355">
        <f>MAX(C355-B355,0)*Assumptions!$B$2</f>
        <v>2.6314214351308092</v>
      </c>
      <c r="G355">
        <f>MAX(B355-C355,0)*Assumptions!$B$2</f>
        <v>0</v>
      </c>
    </row>
    <row r="356" spans="1:7" x14ac:dyDescent="0.3">
      <c r="A356" s="5">
        <f>Raw_Load_Data!A356</f>
        <v>46211.375000000859</v>
      </c>
      <c r="B356">
        <f>Raw_Load_Data!B356</f>
        <v>14.1</v>
      </c>
      <c r="C356">
        <f>MAX(0,IF(AND(HOUR(A356)&gt;=6,HOUR(A356)&lt;=18),Assumptions!$B$8*SIN(PI()*(HOUR(A356)+MINUTE(A356)/60-6)/12),0))</f>
        <v>21.213203435596423</v>
      </c>
      <c r="D356">
        <f t="shared" si="5"/>
        <v>-7.1132034355964233</v>
      </c>
      <c r="E356">
        <f>MIN(B356,C356)*Assumptions!$B$2</f>
        <v>7.05</v>
      </c>
      <c r="F356">
        <f>MAX(C356-B356,0)*Assumptions!$B$2</f>
        <v>3.5566017177982117</v>
      </c>
      <c r="G356">
        <f>MAX(B356-C356,0)*Assumptions!$B$2</f>
        <v>0</v>
      </c>
    </row>
    <row r="357" spans="1:7" x14ac:dyDescent="0.3">
      <c r="A357" s="5">
        <f>Raw_Load_Data!A357</f>
        <v>46211.395833334194</v>
      </c>
      <c r="B357">
        <f>Raw_Load_Data!B357</f>
        <v>15.2</v>
      </c>
      <c r="C357">
        <f>MAX(0,IF(AND(HOUR(A357)&gt;=6,HOUR(A357)&lt;=18),Assumptions!$B$8*SIN(PI()*(HOUR(A357)+MINUTE(A357)/60-6)/12),0))</f>
        <v>23.800600208737055</v>
      </c>
      <c r="D357">
        <f t="shared" si="5"/>
        <v>-8.6006002087370561</v>
      </c>
      <c r="E357">
        <f>MIN(B357,C357)*Assumptions!$B$2</f>
        <v>7.6</v>
      </c>
      <c r="F357">
        <f>MAX(C357-B357,0)*Assumptions!$B$2</f>
        <v>4.3003001043685281</v>
      </c>
      <c r="G357">
        <f>MAX(B357-C357,0)*Assumptions!$B$2</f>
        <v>0</v>
      </c>
    </row>
    <row r="358" spans="1:7" x14ac:dyDescent="0.3">
      <c r="A358" s="5">
        <f>Raw_Load_Data!A358</f>
        <v>46211.41666666753</v>
      </c>
      <c r="B358">
        <f>Raw_Load_Data!B358</f>
        <v>21.3</v>
      </c>
      <c r="C358">
        <f>MAX(0,IF(AND(HOUR(A358)&gt;=6,HOUR(A358)&lt;=18),Assumptions!$B$8*SIN(PI()*(HOUR(A358)+MINUTE(A358)/60-6)/12),0))</f>
        <v>25.980762113533157</v>
      </c>
      <c r="D358">
        <f t="shared" si="5"/>
        <v>-4.6807621135331559</v>
      </c>
      <c r="E358">
        <f>MIN(B358,C358)*Assumptions!$B$2</f>
        <v>10.65</v>
      </c>
      <c r="F358">
        <f>MAX(C358-B358,0)*Assumptions!$B$2</f>
        <v>2.3403810567665779</v>
      </c>
      <c r="G358">
        <f>MAX(B358-C358,0)*Assumptions!$B$2</f>
        <v>0</v>
      </c>
    </row>
    <row r="359" spans="1:7" x14ac:dyDescent="0.3">
      <c r="A359" s="5">
        <f>Raw_Load_Data!A359</f>
        <v>46211.437500000866</v>
      </c>
      <c r="B359">
        <f>Raw_Load_Data!B359</f>
        <v>19.3</v>
      </c>
      <c r="C359">
        <f>MAX(0,IF(AND(HOUR(A359)&gt;=6,HOUR(A359)&lt;=18),Assumptions!$B$8*SIN(PI()*(HOUR(A359)+MINUTE(A359)/60-6)/12),0))</f>
        <v>27.716385975338603</v>
      </c>
      <c r="D359">
        <f t="shared" si="5"/>
        <v>-8.4163859753386028</v>
      </c>
      <c r="E359">
        <f>MIN(B359,C359)*Assumptions!$B$2</f>
        <v>9.65</v>
      </c>
      <c r="F359">
        <f>MAX(C359-B359,0)*Assumptions!$B$2</f>
        <v>4.2081929876693014</v>
      </c>
      <c r="G359">
        <f>MAX(B359-C359,0)*Assumptions!$B$2</f>
        <v>0</v>
      </c>
    </row>
    <row r="360" spans="1:7" x14ac:dyDescent="0.3">
      <c r="A360" s="5">
        <f>Raw_Load_Data!A360</f>
        <v>46211.458333334202</v>
      </c>
      <c r="B360">
        <f>Raw_Load_Data!B360</f>
        <v>15.3</v>
      </c>
      <c r="C360">
        <f>MAX(0,IF(AND(HOUR(A360)&gt;=6,HOUR(A360)&lt;=18),Assumptions!$B$8*SIN(PI()*(HOUR(A360)+MINUTE(A360)/60-6)/12),0))</f>
        <v>28.97777478867205</v>
      </c>
      <c r="D360">
        <f t="shared" si="5"/>
        <v>-13.67777478867205</v>
      </c>
      <c r="E360">
        <f>MIN(B360,C360)*Assumptions!$B$2</f>
        <v>7.65</v>
      </c>
      <c r="F360">
        <f>MAX(C360-B360,0)*Assumptions!$B$2</f>
        <v>6.8388873943360249</v>
      </c>
      <c r="G360">
        <f>MAX(B360-C360,0)*Assumptions!$B$2</f>
        <v>0</v>
      </c>
    </row>
    <row r="361" spans="1:7" x14ac:dyDescent="0.3">
      <c r="A361" s="5">
        <f>Raw_Load_Data!A361</f>
        <v>46211.479166667537</v>
      </c>
      <c r="B361">
        <f>Raw_Load_Data!B361</f>
        <v>18.899999999999999</v>
      </c>
      <c r="C361">
        <f>MAX(0,IF(AND(HOUR(A361)&gt;=6,HOUR(A361)&lt;=18),Assumptions!$B$8*SIN(PI()*(HOUR(A361)+MINUTE(A361)/60-6)/12),0))</f>
        <v>29.74334584121431</v>
      </c>
      <c r="D361">
        <f t="shared" si="5"/>
        <v>-10.843345841214312</v>
      </c>
      <c r="E361">
        <f>MIN(B361,C361)*Assumptions!$B$2</f>
        <v>9.4499999999999993</v>
      </c>
      <c r="F361">
        <f>MAX(C361-B361,0)*Assumptions!$B$2</f>
        <v>5.4216729206071559</v>
      </c>
      <c r="G361">
        <f>MAX(B361-C361,0)*Assumptions!$B$2</f>
        <v>0</v>
      </c>
    </row>
    <row r="362" spans="1:7" x14ac:dyDescent="0.3">
      <c r="A362" s="5">
        <f>Raw_Load_Data!A362</f>
        <v>46211.500000000873</v>
      </c>
      <c r="B362">
        <f>Raw_Load_Data!B362</f>
        <v>33.1</v>
      </c>
      <c r="C362">
        <f>MAX(0,IF(AND(HOUR(A362)&gt;=6,HOUR(A362)&lt;=18),Assumptions!$B$8*SIN(PI()*(HOUR(A362)+MINUTE(A362)/60-6)/12),0))</f>
        <v>30</v>
      </c>
      <c r="D362">
        <f t="shared" si="5"/>
        <v>3.1000000000000014</v>
      </c>
      <c r="E362">
        <f>MIN(B362,C362)*Assumptions!$B$2</f>
        <v>15</v>
      </c>
      <c r="F362">
        <f>MAX(C362-B362,0)*Assumptions!$B$2</f>
        <v>0</v>
      </c>
      <c r="G362">
        <f>MAX(B362-C362,0)*Assumptions!$B$2</f>
        <v>1.5500000000000007</v>
      </c>
    </row>
    <row r="363" spans="1:7" x14ac:dyDescent="0.3">
      <c r="A363" s="5">
        <f>Raw_Load_Data!A363</f>
        <v>46211.520833334209</v>
      </c>
      <c r="B363">
        <f>Raw_Load_Data!B363</f>
        <v>23.5</v>
      </c>
      <c r="C363">
        <f>MAX(0,IF(AND(HOUR(A363)&gt;=6,HOUR(A363)&lt;=18),Assumptions!$B$8*SIN(PI()*(HOUR(A363)+MINUTE(A363)/60-6)/12),0))</f>
        <v>29.74334584121431</v>
      </c>
      <c r="D363">
        <f t="shared" si="5"/>
        <v>-6.2433458412143104</v>
      </c>
      <c r="E363">
        <f>MIN(B363,C363)*Assumptions!$B$2</f>
        <v>11.75</v>
      </c>
      <c r="F363">
        <f>MAX(C363-B363,0)*Assumptions!$B$2</f>
        <v>3.1216729206071552</v>
      </c>
      <c r="G363">
        <f>MAX(B363-C363,0)*Assumptions!$B$2</f>
        <v>0</v>
      </c>
    </row>
    <row r="364" spans="1:7" x14ac:dyDescent="0.3">
      <c r="A364" s="5">
        <f>Raw_Load_Data!A364</f>
        <v>46211.541666667545</v>
      </c>
      <c r="B364">
        <f>Raw_Load_Data!B364</f>
        <v>27.6</v>
      </c>
      <c r="C364">
        <f>MAX(0,IF(AND(HOUR(A364)&gt;=6,HOUR(A364)&lt;=18),Assumptions!$B$8*SIN(PI()*(HOUR(A364)+MINUTE(A364)/60-6)/12),0))</f>
        <v>28.97777478867205</v>
      </c>
      <c r="D364">
        <f t="shared" si="5"/>
        <v>-1.3777747886720491</v>
      </c>
      <c r="E364">
        <f>MIN(B364,C364)*Assumptions!$B$2</f>
        <v>13.8</v>
      </c>
      <c r="F364">
        <f>MAX(C364-B364,0)*Assumptions!$B$2</f>
        <v>0.68888739433602453</v>
      </c>
      <c r="G364">
        <f>MAX(B364-C364,0)*Assumptions!$B$2</f>
        <v>0</v>
      </c>
    </row>
    <row r="365" spans="1:7" x14ac:dyDescent="0.3">
      <c r="A365" s="5">
        <f>Raw_Load_Data!A365</f>
        <v>46211.56250000088</v>
      </c>
      <c r="B365">
        <f>Raw_Load_Data!B365</f>
        <v>30.1</v>
      </c>
      <c r="C365">
        <f>MAX(0,IF(AND(HOUR(A365)&gt;=6,HOUR(A365)&lt;=18),Assumptions!$B$8*SIN(PI()*(HOUR(A365)+MINUTE(A365)/60-6)/12),0))</f>
        <v>27.716385975338607</v>
      </c>
      <c r="D365">
        <f t="shared" si="5"/>
        <v>2.3836140246613944</v>
      </c>
      <c r="E365">
        <f>MIN(B365,C365)*Assumptions!$B$2</f>
        <v>13.858192987669304</v>
      </c>
      <c r="F365">
        <f>MAX(C365-B365,0)*Assumptions!$B$2</f>
        <v>0</v>
      </c>
      <c r="G365">
        <f>MAX(B365-C365,0)*Assumptions!$B$2</f>
        <v>1.1918070123306972</v>
      </c>
    </row>
    <row r="366" spans="1:7" x14ac:dyDescent="0.3">
      <c r="A366" s="5">
        <f>Raw_Load_Data!A366</f>
        <v>46211.583333334216</v>
      </c>
      <c r="B366">
        <f>Raw_Load_Data!B366</f>
        <v>18.5</v>
      </c>
      <c r="C366">
        <f>MAX(0,IF(AND(HOUR(A366)&gt;=6,HOUR(A366)&lt;=18),Assumptions!$B$8*SIN(PI()*(HOUR(A366)+MINUTE(A366)/60-6)/12),0))</f>
        <v>25.98076211353316</v>
      </c>
      <c r="D366">
        <f t="shared" si="5"/>
        <v>-7.4807621135331601</v>
      </c>
      <c r="E366">
        <f>MIN(B366,C366)*Assumptions!$B$2</f>
        <v>9.25</v>
      </c>
      <c r="F366">
        <f>MAX(C366-B366,0)*Assumptions!$B$2</f>
        <v>3.7403810567665801</v>
      </c>
      <c r="G366">
        <f>MAX(B366-C366,0)*Assumptions!$B$2</f>
        <v>0</v>
      </c>
    </row>
    <row r="367" spans="1:7" x14ac:dyDescent="0.3">
      <c r="A367" s="5">
        <f>Raw_Load_Data!A367</f>
        <v>46211.604166667552</v>
      </c>
      <c r="B367">
        <f>Raw_Load_Data!B367</f>
        <v>34.1</v>
      </c>
      <c r="C367">
        <f>MAX(0,IF(AND(HOUR(A367)&gt;=6,HOUR(A367)&lt;=18),Assumptions!$B$8*SIN(PI()*(HOUR(A367)+MINUTE(A367)/60-6)/12),0))</f>
        <v>23.800600208737055</v>
      </c>
      <c r="D367">
        <f t="shared" si="5"/>
        <v>10.299399791262946</v>
      </c>
      <c r="E367">
        <f>MIN(B367,C367)*Assumptions!$B$2</f>
        <v>11.900300104368528</v>
      </c>
      <c r="F367">
        <f>MAX(C367-B367,0)*Assumptions!$B$2</f>
        <v>0</v>
      </c>
      <c r="G367">
        <f>MAX(B367-C367,0)*Assumptions!$B$2</f>
        <v>5.149699895631473</v>
      </c>
    </row>
    <row r="368" spans="1:7" x14ac:dyDescent="0.3">
      <c r="A368" s="5">
        <f>Raw_Load_Data!A368</f>
        <v>46211.625000000888</v>
      </c>
      <c r="B368">
        <f>Raw_Load_Data!B368</f>
        <v>31.2</v>
      </c>
      <c r="C368">
        <f>MAX(0,IF(AND(HOUR(A368)&gt;=6,HOUR(A368)&lt;=18),Assumptions!$B$8*SIN(PI()*(HOUR(A368)+MINUTE(A368)/60-6)/12),0))</f>
        <v>21.213203435596427</v>
      </c>
      <c r="D368">
        <f t="shared" si="5"/>
        <v>9.9867965644035728</v>
      </c>
      <c r="E368">
        <f>MIN(B368,C368)*Assumptions!$B$2</f>
        <v>10.606601717798213</v>
      </c>
      <c r="F368">
        <f>MAX(C368-B368,0)*Assumptions!$B$2</f>
        <v>0</v>
      </c>
      <c r="G368">
        <f>MAX(B368-C368,0)*Assumptions!$B$2</f>
        <v>4.9933982822017864</v>
      </c>
    </row>
    <row r="369" spans="1:7" x14ac:dyDescent="0.3">
      <c r="A369" s="5">
        <f>Raw_Load_Data!A369</f>
        <v>46211.645833334223</v>
      </c>
      <c r="B369">
        <f>Raw_Load_Data!B369</f>
        <v>23.3</v>
      </c>
      <c r="C369">
        <f>MAX(0,IF(AND(HOUR(A369)&gt;=6,HOUR(A369)&lt;=18),Assumptions!$B$8*SIN(PI()*(HOUR(A369)+MINUTE(A369)/60-6)/12),0))</f>
        <v>18.262842870261625</v>
      </c>
      <c r="D369">
        <f t="shared" si="5"/>
        <v>5.0371571297383753</v>
      </c>
      <c r="E369">
        <f>MIN(B369,C369)*Assumptions!$B$2</f>
        <v>9.1314214351308127</v>
      </c>
      <c r="F369">
        <f>MAX(C369-B369,0)*Assumptions!$B$2</f>
        <v>0</v>
      </c>
      <c r="G369">
        <f>MAX(B369-C369,0)*Assumptions!$B$2</f>
        <v>2.5185785648691876</v>
      </c>
    </row>
    <row r="370" spans="1:7" x14ac:dyDescent="0.3">
      <c r="A370" s="5">
        <f>Raw_Load_Data!A370</f>
        <v>46211.666666667559</v>
      </c>
      <c r="B370">
        <f>Raw_Load_Data!B370</f>
        <v>19.3</v>
      </c>
      <c r="C370">
        <f>MAX(0,IF(AND(HOUR(A370)&gt;=6,HOUR(A370)&lt;=18),Assumptions!$B$8*SIN(PI()*(HOUR(A370)+MINUTE(A370)/60-6)/12),0))</f>
        <v>14.999999999999998</v>
      </c>
      <c r="D370">
        <f t="shared" si="5"/>
        <v>4.3000000000000025</v>
      </c>
      <c r="E370">
        <f>MIN(B370,C370)*Assumptions!$B$2</f>
        <v>7.4999999999999991</v>
      </c>
      <c r="F370">
        <f>MAX(C370-B370,0)*Assumptions!$B$2</f>
        <v>0</v>
      </c>
      <c r="G370">
        <f>MAX(B370-C370,0)*Assumptions!$B$2</f>
        <v>2.1500000000000012</v>
      </c>
    </row>
    <row r="371" spans="1:7" x14ac:dyDescent="0.3">
      <c r="A371" s="5">
        <f>Raw_Load_Data!A371</f>
        <v>46211.687500000895</v>
      </c>
      <c r="B371">
        <f>Raw_Load_Data!B371</f>
        <v>17.399999999999999</v>
      </c>
      <c r="C371">
        <f>MAX(0,IF(AND(HOUR(A371)&gt;=6,HOUR(A371)&lt;=18),Assumptions!$B$8*SIN(PI()*(HOUR(A371)+MINUTE(A371)/60-6)/12),0))</f>
        <v>11.480502970952697</v>
      </c>
      <c r="D371">
        <f t="shared" si="5"/>
        <v>5.9194970290473012</v>
      </c>
      <c r="E371">
        <f>MIN(B371,C371)*Assumptions!$B$2</f>
        <v>5.7402514854763487</v>
      </c>
      <c r="F371">
        <f>MAX(C371-B371,0)*Assumptions!$B$2</f>
        <v>0</v>
      </c>
      <c r="G371">
        <f>MAX(B371-C371,0)*Assumptions!$B$2</f>
        <v>2.9597485145236506</v>
      </c>
    </row>
    <row r="372" spans="1:7" x14ac:dyDescent="0.3">
      <c r="A372" s="5">
        <f>Raw_Load_Data!A372</f>
        <v>46211.708333334231</v>
      </c>
      <c r="B372">
        <f>Raw_Load_Data!B372</f>
        <v>15.1</v>
      </c>
      <c r="C372">
        <f>MAX(0,IF(AND(HOUR(A372)&gt;=6,HOUR(A372)&lt;=18),Assumptions!$B$8*SIN(PI()*(HOUR(A372)+MINUTE(A372)/60-6)/12),0))</f>
        <v>7.7645713530756302</v>
      </c>
      <c r="D372">
        <f t="shared" si="5"/>
        <v>7.3354286469243695</v>
      </c>
      <c r="E372">
        <f>MIN(B372,C372)*Assumptions!$B$2</f>
        <v>3.8822856765378151</v>
      </c>
      <c r="F372">
        <f>MAX(C372-B372,0)*Assumptions!$B$2</f>
        <v>0</v>
      </c>
      <c r="G372">
        <f>MAX(B372-C372,0)*Assumptions!$B$2</f>
        <v>3.6677143234621847</v>
      </c>
    </row>
    <row r="373" spans="1:7" x14ac:dyDescent="0.3">
      <c r="A373" s="5">
        <f>Raw_Load_Data!A373</f>
        <v>46211.729166667566</v>
      </c>
      <c r="B373">
        <f>Raw_Load_Data!B373</f>
        <v>17.8</v>
      </c>
      <c r="C373">
        <f>MAX(0,IF(AND(HOUR(A373)&gt;=6,HOUR(A373)&lt;=18),Assumptions!$B$8*SIN(PI()*(HOUR(A373)+MINUTE(A373)/60-6)/12),0))</f>
        <v>3.9157857666015596</v>
      </c>
      <c r="D373">
        <f t="shared" si="5"/>
        <v>13.884214233398442</v>
      </c>
      <c r="E373">
        <f>MIN(B373,C373)*Assumptions!$B$2</f>
        <v>1.9578928833007798</v>
      </c>
      <c r="F373">
        <f>MAX(C373-B373,0)*Assumptions!$B$2</f>
        <v>0</v>
      </c>
      <c r="G373">
        <f>MAX(B373-C373,0)*Assumptions!$B$2</f>
        <v>6.942107116699221</v>
      </c>
    </row>
    <row r="374" spans="1:7" x14ac:dyDescent="0.3">
      <c r="A374" s="5">
        <f>Raw_Load_Data!A374</f>
        <v>46211.750000000902</v>
      </c>
      <c r="B374">
        <f>Raw_Load_Data!B374</f>
        <v>13.9</v>
      </c>
      <c r="C374">
        <f>MAX(0,IF(AND(HOUR(A374)&gt;=6,HOUR(A374)&lt;=18),Assumptions!$B$8*SIN(PI()*(HOUR(A374)+MINUTE(A374)/60-6)/12),0))</f>
        <v>3.67544536472586E-15</v>
      </c>
      <c r="D374">
        <f t="shared" si="5"/>
        <v>13.899999999999997</v>
      </c>
      <c r="E374">
        <f>MIN(B374,C374)*Assumptions!$B$2</f>
        <v>1.83772268236293E-15</v>
      </c>
      <c r="F374">
        <f>MAX(C374-B374,0)*Assumptions!$B$2</f>
        <v>0</v>
      </c>
      <c r="G374">
        <f>MAX(B374-C374,0)*Assumptions!$B$2</f>
        <v>6.9499999999999984</v>
      </c>
    </row>
    <row r="375" spans="1:7" x14ac:dyDescent="0.3">
      <c r="A375" s="5">
        <f>Raw_Load_Data!A375</f>
        <v>46211.770833334238</v>
      </c>
      <c r="B375">
        <f>Raw_Load_Data!B375</f>
        <v>11.9</v>
      </c>
      <c r="C375">
        <f>MAX(0,IF(AND(HOUR(A375)&gt;=6,HOUR(A375)&lt;=18),Assumptions!$B$8*SIN(PI()*(HOUR(A375)+MINUTE(A375)/60-6)/12),0))</f>
        <v>0</v>
      </c>
      <c r="D375">
        <f t="shared" si="5"/>
        <v>11.9</v>
      </c>
      <c r="E375">
        <f>MIN(B375,C375)*Assumptions!$B$2</f>
        <v>0</v>
      </c>
      <c r="F375">
        <f>MAX(C375-B375,0)*Assumptions!$B$2</f>
        <v>0</v>
      </c>
      <c r="G375">
        <f>MAX(B375-C375,0)*Assumptions!$B$2</f>
        <v>5.95</v>
      </c>
    </row>
    <row r="376" spans="1:7" x14ac:dyDescent="0.3">
      <c r="A376" s="5">
        <f>Raw_Load_Data!A376</f>
        <v>46211.791666667574</v>
      </c>
      <c r="B376">
        <f>Raw_Load_Data!B376</f>
        <v>7.9</v>
      </c>
      <c r="C376">
        <f>MAX(0,IF(AND(HOUR(A376)&gt;=6,HOUR(A376)&lt;=18),Assumptions!$B$8*SIN(PI()*(HOUR(A376)+MINUTE(A376)/60-6)/12),0))</f>
        <v>0</v>
      </c>
      <c r="D376">
        <f t="shared" si="5"/>
        <v>7.9</v>
      </c>
      <c r="E376">
        <f>MIN(B376,C376)*Assumptions!$B$2</f>
        <v>0</v>
      </c>
      <c r="F376">
        <f>MAX(C376-B376,0)*Assumptions!$B$2</f>
        <v>0</v>
      </c>
      <c r="G376">
        <f>MAX(B376-C376,0)*Assumptions!$B$2</f>
        <v>3.95</v>
      </c>
    </row>
    <row r="377" spans="1:7" x14ac:dyDescent="0.3">
      <c r="A377" s="5">
        <f>Raw_Load_Data!A377</f>
        <v>46211.812500000909</v>
      </c>
      <c r="B377">
        <f>Raw_Load_Data!B377</f>
        <v>6.8</v>
      </c>
      <c r="C377">
        <f>MAX(0,IF(AND(HOUR(A377)&gt;=6,HOUR(A377)&lt;=18),Assumptions!$B$8*SIN(PI()*(HOUR(A377)+MINUTE(A377)/60-6)/12),0))</f>
        <v>0</v>
      </c>
      <c r="D377">
        <f t="shared" si="5"/>
        <v>6.8</v>
      </c>
      <c r="E377">
        <f>MIN(B377,C377)*Assumptions!$B$2</f>
        <v>0</v>
      </c>
      <c r="F377">
        <f>MAX(C377-B377,0)*Assumptions!$B$2</f>
        <v>0</v>
      </c>
      <c r="G377">
        <f>MAX(B377-C377,0)*Assumptions!$B$2</f>
        <v>3.4</v>
      </c>
    </row>
    <row r="378" spans="1:7" x14ac:dyDescent="0.3">
      <c r="A378" s="5">
        <f>Raw_Load_Data!A378</f>
        <v>46211.833333334245</v>
      </c>
      <c r="B378">
        <f>Raw_Load_Data!B378</f>
        <v>7.4</v>
      </c>
      <c r="C378">
        <f>MAX(0,IF(AND(HOUR(A378)&gt;=6,HOUR(A378)&lt;=18),Assumptions!$B$8*SIN(PI()*(HOUR(A378)+MINUTE(A378)/60-6)/12),0))</f>
        <v>0</v>
      </c>
      <c r="D378">
        <f t="shared" si="5"/>
        <v>7.4</v>
      </c>
      <c r="E378">
        <f>MIN(B378,C378)*Assumptions!$B$2</f>
        <v>0</v>
      </c>
      <c r="F378">
        <f>MAX(C378-B378,0)*Assumptions!$B$2</f>
        <v>0</v>
      </c>
      <c r="G378">
        <f>MAX(B378-C378,0)*Assumptions!$B$2</f>
        <v>3.7</v>
      </c>
    </row>
    <row r="379" spans="1:7" x14ac:dyDescent="0.3">
      <c r="A379" s="5">
        <f>Raw_Load_Data!A379</f>
        <v>46211.854166667581</v>
      </c>
      <c r="B379">
        <f>Raw_Load_Data!B379</f>
        <v>7.6</v>
      </c>
      <c r="C379">
        <f>MAX(0,IF(AND(HOUR(A379)&gt;=6,HOUR(A379)&lt;=18),Assumptions!$B$8*SIN(PI()*(HOUR(A379)+MINUTE(A379)/60-6)/12),0))</f>
        <v>0</v>
      </c>
      <c r="D379">
        <f t="shared" si="5"/>
        <v>7.6</v>
      </c>
      <c r="E379">
        <f>MIN(B379,C379)*Assumptions!$B$2</f>
        <v>0</v>
      </c>
      <c r="F379">
        <f>MAX(C379-B379,0)*Assumptions!$B$2</f>
        <v>0</v>
      </c>
      <c r="G379">
        <f>MAX(B379-C379,0)*Assumptions!$B$2</f>
        <v>3.8</v>
      </c>
    </row>
    <row r="380" spans="1:7" x14ac:dyDescent="0.3">
      <c r="A380" s="5">
        <f>Raw_Load_Data!A380</f>
        <v>46211.875000000917</v>
      </c>
      <c r="B380">
        <f>Raw_Load_Data!B380</f>
        <v>3.2</v>
      </c>
      <c r="C380">
        <f>MAX(0,IF(AND(HOUR(A380)&gt;=6,HOUR(A380)&lt;=18),Assumptions!$B$8*SIN(PI()*(HOUR(A380)+MINUTE(A380)/60-6)/12),0))</f>
        <v>0</v>
      </c>
      <c r="D380">
        <f t="shared" si="5"/>
        <v>3.2</v>
      </c>
      <c r="E380">
        <f>MIN(B380,C380)*Assumptions!$B$2</f>
        <v>0</v>
      </c>
      <c r="F380">
        <f>MAX(C380-B380,0)*Assumptions!$B$2</f>
        <v>0</v>
      </c>
      <c r="G380">
        <f>MAX(B380-C380,0)*Assumptions!$B$2</f>
        <v>1.6</v>
      </c>
    </row>
    <row r="381" spans="1:7" x14ac:dyDescent="0.3">
      <c r="A381" s="5">
        <f>Raw_Load_Data!A381</f>
        <v>46211.895833334253</v>
      </c>
      <c r="B381">
        <f>Raw_Load_Data!B381</f>
        <v>8</v>
      </c>
      <c r="C381">
        <f>MAX(0,IF(AND(HOUR(A381)&gt;=6,HOUR(A381)&lt;=18),Assumptions!$B$8*SIN(PI()*(HOUR(A381)+MINUTE(A381)/60-6)/12),0))</f>
        <v>0</v>
      </c>
      <c r="D381">
        <f t="shared" si="5"/>
        <v>8</v>
      </c>
      <c r="E381">
        <f>MIN(B381,C381)*Assumptions!$B$2</f>
        <v>0</v>
      </c>
      <c r="F381">
        <f>MAX(C381-B381,0)*Assumptions!$B$2</f>
        <v>0</v>
      </c>
      <c r="G381">
        <f>MAX(B381-C381,0)*Assumptions!$B$2</f>
        <v>4</v>
      </c>
    </row>
    <row r="382" spans="1:7" x14ac:dyDescent="0.3">
      <c r="A382" s="5">
        <f>Raw_Load_Data!A382</f>
        <v>46211.916666667588</v>
      </c>
      <c r="B382">
        <f>Raw_Load_Data!B382</f>
        <v>3.5</v>
      </c>
      <c r="C382">
        <f>MAX(0,IF(AND(HOUR(A382)&gt;=6,HOUR(A382)&lt;=18),Assumptions!$B$8*SIN(PI()*(HOUR(A382)+MINUTE(A382)/60-6)/12),0))</f>
        <v>0</v>
      </c>
      <c r="D382">
        <f t="shared" si="5"/>
        <v>3.5</v>
      </c>
      <c r="E382">
        <f>MIN(B382,C382)*Assumptions!$B$2</f>
        <v>0</v>
      </c>
      <c r="F382">
        <f>MAX(C382-B382,0)*Assumptions!$B$2</f>
        <v>0</v>
      </c>
      <c r="G382">
        <f>MAX(B382-C382,0)*Assumptions!$B$2</f>
        <v>1.75</v>
      </c>
    </row>
    <row r="383" spans="1:7" x14ac:dyDescent="0.3">
      <c r="A383" s="5">
        <f>Raw_Load_Data!A383</f>
        <v>46211.937500000924</v>
      </c>
      <c r="B383">
        <f>Raw_Load_Data!B383</f>
        <v>7.8</v>
      </c>
      <c r="C383">
        <f>MAX(0,IF(AND(HOUR(A383)&gt;=6,HOUR(A383)&lt;=18),Assumptions!$B$8*SIN(PI()*(HOUR(A383)+MINUTE(A383)/60-6)/12),0))</f>
        <v>0</v>
      </c>
      <c r="D383">
        <f t="shared" si="5"/>
        <v>7.8</v>
      </c>
      <c r="E383">
        <f>MIN(B383,C383)*Assumptions!$B$2</f>
        <v>0</v>
      </c>
      <c r="F383">
        <f>MAX(C383-B383,0)*Assumptions!$B$2</f>
        <v>0</v>
      </c>
      <c r="G383">
        <f>MAX(B383-C383,0)*Assumptions!$B$2</f>
        <v>3.9</v>
      </c>
    </row>
    <row r="384" spans="1:7" x14ac:dyDescent="0.3">
      <c r="A384" s="5">
        <f>Raw_Load_Data!A384</f>
        <v>46211.95833333426</v>
      </c>
      <c r="B384">
        <f>Raw_Load_Data!B384</f>
        <v>3.6</v>
      </c>
      <c r="C384">
        <f>MAX(0,IF(AND(HOUR(A384)&gt;=6,HOUR(A384)&lt;=18),Assumptions!$B$8*SIN(PI()*(HOUR(A384)+MINUTE(A384)/60-6)/12),0))</f>
        <v>0</v>
      </c>
      <c r="D384">
        <f t="shared" si="5"/>
        <v>3.6</v>
      </c>
      <c r="E384">
        <f>MIN(B384,C384)*Assumptions!$B$2</f>
        <v>0</v>
      </c>
      <c r="F384">
        <f>MAX(C384-B384,0)*Assumptions!$B$2</f>
        <v>0</v>
      </c>
      <c r="G384">
        <f>MAX(B384-C384,0)*Assumptions!$B$2</f>
        <v>1.8</v>
      </c>
    </row>
    <row r="385" spans="1:7" x14ac:dyDescent="0.3">
      <c r="A385" s="5">
        <f>Raw_Load_Data!A385</f>
        <v>46211.979166667596</v>
      </c>
      <c r="B385">
        <f>Raw_Load_Data!B385</f>
        <v>4.0999999999999996</v>
      </c>
      <c r="C385">
        <f>MAX(0,IF(AND(HOUR(A385)&gt;=6,HOUR(A385)&lt;=18),Assumptions!$B$8*SIN(PI()*(HOUR(A385)+MINUTE(A385)/60-6)/12),0))</f>
        <v>0</v>
      </c>
      <c r="D385">
        <f t="shared" si="5"/>
        <v>4.0999999999999996</v>
      </c>
      <c r="E385">
        <f>MIN(B385,C385)*Assumptions!$B$2</f>
        <v>0</v>
      </c>
      <c r="F385">
        <f>MAX(C385-B385,0)*Assumptions!$B$2</f>
        <v>0</v>
      </c>
      <c r="G385">
        <f>MAX(B385-C385,0)*Assumptions!$B$2</f>
        <v>2.0499999999999998</v>
      </c>
    </row>
    <row r="386" spans="1:7" x14ac:dyDescent="0.3">
      <c r="A386" s="5">
        <f>Raw_Load_Data!A386</f>
        <v>46212.000000000931</v>
      </c>
      <c r="B386">
        <f>Raw_Load_Data!B386</f>
        <v>2.8</v>
      </c>
      <c r="C386">
        <f>MAX(0,IF(AND(HOUR(A386)&gt;=6,HOUR(A386)&lt;=18),Assumptions!$B$8*SIN(PI()*(HOUR(A386)+MINUTE(A386)/60-6)/12),0))</f>
        <v>0</v>
      </c>
      <c r="D386">
        <f t="shared" si="5"/>
        <v>2.8</v>
      </c>
      <c r="E386">
        <f>MIN(B386,C386)*Assumptions!$B$2</f>
        <v>0</v>
      </c>
      <c r="F386">
        <f>MAX(C386-B386,0)*Assumptions!$B$2</f>
        <v>0</v>
      </c>
      <c r="G386">
        <f>MAX(B386-C386,0)*Assumptions!$B$2</f>
        <v>1.4</v>
      </c>
    </row>
    <row r="387" spans="1:7" x14ac:dyDescent="0.3">
      <c r="A387" s="5">
        <f>Raw_Load_Data!A387</f>
        <v>46212.020833334267</v>
      </c>
      <c r="B387">
        <f>Raw_Load_Data!B387</f>
        <v>2.7</v>
      </c>
      <c r="C387">
        <f>MAX(0,IF(AND(HOUR(A387)&gt;=6,HOUR(A387)&lt;=18),Assumptions!$B$8*SIN(PI()*(HOUR(A387)+MINUTE(A387)/60-6)/12),0))</f>
        <v>0</v>
      </c>
      <c r="D387">
        <f t="shared" ref="D387:D450" si="6">B387-C387</f>
        <v>2.7</v>
      </c>
      <c r="E387">
        <f>MIN(B387,C387)*Assumptions!$B$2</f>
        <v>0</v>
      </c>
      <c r="F387">
        <f>MAX(C387-B387,0)*Assumptions!$B$2</f>
        <v>0</v>
      </c>
      <c r="G387">
        <f>MAX(B387-C387,0)*Assumptions!$B$2</f>
        <v>1.35</v>
      </c>
    </row>
    <row r="388" spans="1:7" x14ac:dyDescent="0.3">
      <c r="A388" s="5">
        <f>Raw_Load_Data!A388</f>
        <v>46212.041666667603</v>
      </c>
      <c r="B388">
        <f>Raw_Load_Data!B388</f>
        <v>2.2999999999999998</v>
      </c>
      <c r="C388">
        <f>MAX(0,IF(AND(HOUR(A388)&gt;=6,HOUR(A388)&lt;=18),Assumptions!$B$8*SIN(PI()*(HOUR(A388)+MINUTE(A388)/60-6)/12),0))</f>
        <v>0</v>
      </c>
      <c r="D388">
        <f t="shared" si="6"/>
        <v>2.2999999999999998</v>
      </c>
      <c r="E388">
        <f>MIN(B388,C388)*Assumptions!$B$2</f>
        <v>0</v>
      </c>
      <c r="F388">
        <f>MAX(C388-B388,0)*Assumptions!$B$2</f>
        <v>0</v>
      </c>
      <c r="G388">
        <f>MAX(B388-C388,0)*Assumptions!$B$2</f>
        <v>1.1499999999999999</v>
      </c>
    </row>
    <row r="389" spans="1:7" x14ac:dyDescent="0.3">
      <c r="A389" s="5">
        <f>Raw_Load_Data!A389</f>
        <v>46212.062500000939</v>
      </c>
      <c r="B389">
        <f>Raw_Load_Data!B389</f>
        <v>2.6</v>
      </c>
      <c r="C389">
        <f>MAX(0,IF(AND(HOUR(A389)&gt;=6,HOUR(A389)&lt;=18),Assumptions!$B$8*SIN(PI()*(HOUR(A389)+MINUTE(A389)/60-6)/12),0))</f>
        <v>0</v>
      </c>
      <c r="D389">
        <f t="shared" si="6"/>
        <v>2.6</v>
      </c>
      <c r="E389">
        <f>MIN(B389,C389)*Assumptions!$B$2</f>
        <v>0</v>
      </c>
      <c r="F389">
        <f>MAX(C389-B389,0)*Assumptions!$B$2</f>
        <v>0</v>
      </c>
      <c r="G389">
        <f>MAX(B389-C389,0)*Assumptions!$B$2</f>
        <v>1.3</v>
      </c>
    </row>
    <row r="390" spans="1:7" x14ac:dyDescent="0.3">
      <c r="A390" s="5">
        <f>Raw_Load_Data!A390</f>
        <v>46212.083333334274</v>
      </c>
      <c r="B390">
        <f>Raw_Load_Data!B390</f>
        <v>2.1</v>
      </c>
      <c r="C390">
        <f>MAX(0,IF(AND(HOUR(A390)&gt;=6,HOUR(A390)&lt;=18),Assumptions!$B$8*SIN(PI()*(HOUR(A390)+MINUTE(A390)/60-6)/12),0))</f>
        <v>0</v>
      </c>
      <c r="D390">
        <f t="shared" si="6"/>
        <v>2.1</v>
      </c>
      <c r="E390">
        <f>MIN(B390,C390)*Assumptions!$B$2</f>
        <v>0</v>
      </c>
      <c r="F390">
        <f>MAX(C390-B390,0)*Assumptions!$B$2</f>
        <v>0</v>
      </c>
      <c r="G390">
        <f>MAX(B390-C390,0)*Assumptions!$B$2</f>
        <v>1.05</v>
      </c>
    </row>
    <row r="391" spans="1:7" x14ac:dyDescent="0.3">
      <c r="A391" s="5">
        <f>Raw_Load_Data!A391</f>
        <v>46212.10416666761</v>
      </c>
      <c r="B391">
        <f>Raw_Load_Data!B391</f>
        <v>2.6</v>
      </c>
      <c r="C391">
        <f>MAX(0,IF(AND(HOUR(A391)&gt;=6,HOUR(A391)&lt;=18),Assumptions!$B$8*SIN(PI()*(HOUR(A391)+MINUTE(A391)/60-6)/12),0))</f>
        <v>0</v>
      </c>
      <c r="D391">
        <f t="shared" si="6"/>
        <v>2.6</v>
      </c>
      <c r="E391">
        <f>MIN(B391,C391)*Assumptions!$B$2</f>
        <v>0</v>
      </c>
      <c r="F391">
        <f>MAX(C391-B391,0)*Assumptions!$B$2</f>
        <v>0</v>
      </c>
      <c r="G391">
        <f>MAX(B391-C391,0)*Assumptions!$B$2</f>
        <v>1.3</v>
      </c>
    </row>
    <row r="392" spans="1:7" x14ac:dyDescent="0.3">
      <c r="A392" s="5">
        <f>Raw_Load_Data!A392</f>
        <v>46212.125000000946</v>
      </c>
      <c r="B392">
        <f>Raw_Load_Data!B392</f>
        <v>2.1</v>
      </c>
      <c r="C392">
        <f>MAX(0,IF(AND(HOUR(A392)&gt;=6,HOUR(A392)&lt;=18),Assumptions!$B$8*SIN(PI()*(HOUR(A392)+MINUTE(A392)/60-6)/12),0))</f>
        <v>0</v>
      </c>
      <c r="D392">
        <f t="shared" si="6"/>
        <v>2.1</v>
      </c>
      <c r="E392">
        <f>MIN(B392,C392)*Assumptions!$B$2</f>
        <v>0</v>
      </c>
      <c r="F392">
        <f>MAX(C392-B392,0)*Assumptions!$B$2</f>
        <v>0</v>
      </c>
      <c r="G392">
        <f>MAX(B392-C392,0)*Assumptions!$B$2</f>
        <v>1.05</v>
      </c>
    </row>
    <row r="393" spans="1:7" x14ac:dyDescent="0.3">
      <c r="A393" s="5">
        <f>Raw_Load_Data!A393</f>
        <v>46212.145833334282</v>
      </c>
      <c r="B393">
        <f>Raw_Load_Data!B393</f>
        <v>1.9</v>
      </c>
      <c r="C393">
        <f>MAX(0,IF(AND(HOUR(A393)&gt;=6,HOUR(A393)&lt;=18),Assumptions!$B$8*SIN(PI()*(HOUR(A393)+MINUTE(A393)/60-6)/12),0))</f>
        <v>0</v>
      </c>
      <c r="D393">
        <f t="shared" si="6"/>
        <v>1.9</v>
      </c>
      <c r="E393">
        <f>MIN(B393,C393)*Assumptions!$B$2</f>
        <v>0</v>
      </c>
      <c r="F393">
        <f>MAX(C393-B393,0)*Assumptions!$B$2</f>
        <v>0</v>
      </c>
      <c r="G393">
        <f>MAX(B393-C393,0)*Assumptions!$B$2</f>
        <v>0.95</v>
      </c>
    </row>
    <row r="394" spans="1:7" x14ac:dyDescent="0.3">
      <c r="A394" s="5">
        <f>Raw_Load_Data!A394</f>
        <v>46212.166666667617</v>
      </c>
      <c r="B394">
        <f>Raw_Load_Data!B394</f>
        <v>2.9</v>
      </c>
      <c r="C394">
        <f>MAX(0,IF(AND(HOUR(A394)&gt;=6,HOUR(A394)&lt;=18),Assumptions!$B$8*SIN(PI()*(HOUR(A394)+MINUTE(A394)/60-6)/12),0))</f>
        <v>0</v>
      </c>
      <c r="D394">
        <f t="shared" si="6"/>
        <v>2.9</v>
      </c>
      <c r="E394">
        <f>MIN(B394,C394)*Assumptions!$B$2</f>
        <v>0</v>
      </c>
      <c r="F394">
        <f>MAX(C394-B394,0)*Assumptions!$B$2</f>
        <v>0</v>
      </c>
      <c r="G394">
        <f>MAX(B394-C394,0)*Assumptions!$B$2</f>
        <v>1.45</v>
      </c>
    </row>
    <row r="395" spans="1:7" x14ac:dyDescent="0.3">
      <c r="A395" s="5">
        <f>Raw_Load_Data!A395</f>
        <v>46212.187500000953</v>
      </c>
      <c r="B395">
        <f>Raw_Load_Data!B395</f>
        <v>2.2000000000000002</v>
      </c>
      <c r="C395">
        <f>MAX(0,IF(AND(HOUR(A395)&gt;=6,HOUR(A395)&lt;=18),Assumptions!$B$8*SIN(PI()*(HOUR(A395)+MINUTE(A395)/60-6)/12),0))</f>
        <v>0</v>
      </c>
      <c r="D395">
        <f t="shared" si="6"/>
        <v>2.2000000000000002</v>
      </c>
      <c r="E395">
        <f>MIN(B395,C395)*Assumptions!$B$2</f>
        <v>0</v>
      </c>
      <c r="F395">
        <f>MAX(C395-B395,0)*Assumptions!$B$2</f>
        <v>0</v>
      </c>
      <c r="G395">
        <f>MAX(B395-C395,0)*Assumptions!$B$2</f>
        <v>1.1000000000000001</v>
      </c>
    </row>
    <row r="396" spans="1:7" x14ac:dyDescent="0.3">
      <c r="A396" s="5">
        <f>Raw_Load_Data!A396</f>
        <v>46212.208333334289</v>
      </c>
      <c r="B396">
        <f>Raw_Load_Data!B396</f>
        <v>2.6</v>
      </c>
      <c r="C396">
        <f>MAX(0,IF(AND(HOUR(A396)&gt;=6,HOUR(A396)&lt;=18),Assumptions!$B$8*SIN(PI()*(HOUR(A396)+MINUTE(A396)/60-6)/12),0))</f>
        <v>0</v>
      </c>
      <c r="D396">
        <f t="shared" si="6"/>
        <v>2.6</v>
      </c>
      <c r="E396">
        <f>MIN(B396,C396)*Assumptions!$B$2</f>
        <v>0</v>
      </c>
      <c r="F396">
        <f>MAX(C396-B396,0)*Assumptions!$B$2</f>
        <v>0</v>
      </c>
      <c r="G396">
        <f>MAX(B396-C396,0)*Assumptions!$B$2</f>
        <v>1.3</v>
      </c>
    </row>
    <row r="397" spans="1:7" x14ac:dyDescent="0.3">
      <c r="A397" s="5">
        <f>Raw_Load_Data!A397</f>
        <v>46212.229166667625</v>
      </c>
      <c r="B397">
        <f>Raw_Load_Data!B397</f>
        <v>3</v>
      </c>
      <c r="C397">
        <f>MAX(0,IF(AND(HOUR(A397)&gt;=6,HOUR(A397)&lt;=18),Assumptions!$B$8*SIN(PI()*(HOUR(A397)+MINUTE(A397)/60-6)/12),0))</f>
        <v>0</v>
      </c>
      <c r="D397">
        <f t="shared" si="6"/>
        <v>3</v>
      </c>
      <c r="E397">
        <f>MIN(B397,C397)*Assumptions!$B$2</f>
        <v>0</v>
      </c>
      <c r="F397">
        <f>MAX(C397-B397,0)*Assumptions!$B$2</f>
        <v>0</v>
      </c>
      <c r="G397">
        <f>MAX(B397-C397,0)*Assumptions!$B$2</f>
        <v>1.5</v>
      </c>
    </row>
    <row r="398" spans="1:7" x14ac:dyDescent="0.3">
      <c r="A398" s="5">
        <f>Raw_Load_Data!A398</f>
        <v>46212.25000000096</v>
      </c>
      <c r="B398">
        <f>Raw_Load_Data!B398</f>
        <v>4.4000000000000004</v>
      </c>
      <c r="C398">
        <f>MAX(0,IF(AND(HOUR(A398)&gt;=6,HOUR(A398)&lt;=18),Assumptions!$B$8*SIN(PI()*(HOUR(A398)+MINUTE(A398)/60-6)/12),0))</f>
        <v>0</v>
      </c>
      <c r="D398">
        <f t="shared" si="6"/>
        <v>4.4000000000000004</v>
      </c>
      <c r="E398">
        <f>MIN(B398,C398)*Assumptions!$B$2</f>
        <v>0</v>
      </c>
      <c r="F398">
        <f>MAX(C398-B398,0)*Assumptions!$B$2</f>
        <v>0</v>
      </c>
      <c r="G398">
        <f>MAX(B398-C398,0)*Assumptions!$B$2</f>
        <v>2.2000000000000002</v>
      </c>
    </row>
    <row r="399" spans="1:7" x14ac:dyDescent="0.3">
      <c r="A399" s="5">
        <f>Raw_Load_Data!A399</f>
        <v>46212.270833334296</v>
      </c>
      <c r="B399">
        <f>Raw_Load_Data!B399</f>
        <v>5.2</v>
      </c>
      <c r="C399">
        <f>MAX(0,IF(AND(HOUR(A399)&gt;=6,HOUR(A399)&lt;=18),Assumptions!$B$8*SIN(PI()*(HOUR(A399)+MINUTE(A399)/60-6)/12),0))</f>
        <v>3.9157857666015472</v>
      </c>
      <c r="D399">
        <f t="shared" si="6"/>
        <v>1.284214233398453</v>
      </c>
      <c r="E399">
        <f>MIN(B399,C399)*Assumptions!$B$2</f>
        <v>1.9578928833007736</v>
      </c>
      <c r="F399">
        <f>MAX(C399-B399,0)*Assumptions!$B$2</f>
        <v>0</v>
      </c>
      <c r="G399">
        <f>MAX(B399-C399,0)*Assumptions!$B$2</f>
        <v>0.64210711669922649</v>
      </c>
    </row>
    <row r="400" spans="1:7" x14ac:dyDescent="0.3">
      <c r="A400" s="5">
        <f>Raw_Load_Data!A400</f>
        <v>46212.291666667632</v>
      </c>
      <c r="B400">
        <f>Raw_Load_Data!B400</f>
        <v>7.6</v>
      </c>
      <c r="C400">
        <f>MAX(0,IF(AND(HOUR(A400)&gt;=6,HOUR(A400)&lt;=18),Assumptions!$B$8*SIN(PI()*(HOUR(A400)+MINUTE(A400)/60-6)/12),0))</f>
        <v>7.7645713530756222</v>
      </c>
      <c r="D400">
        <f t="shared" si="6"/>
        <v>-0.16457135307562254</v>
      </c>
      <c r="E400">
        <f>MIN(B400,C400)*Assumptions!$B$2</f>
        <v>3.8</v>
      </c>
      <c r="F400">
        <f>MAX(C400-B400,0)*Assumptions!$B$2</f>
        <v>8.228567653781127E-2</v>
      </c>
      <c r="G400">
        <f>MAX(B400-C400,0)*Assumptions!$B$2</f>
        <v>0</v>
      </c>
    </row>
    <row r="401" spans="1:7" x14ac:dyDescent="0.3">
      <c r="A401" s="5">
        <f>Raw_Load_Data!A401</f>
        <v>46212.312500000968</v>
      </c>
      <c r="B401">
        <f>Raw_Load_Data!B401</f>
        <v>4.9000000000000004</v>
      </c>
      <c r="C401">
        <f>MAX(0,IF(AND(HOUR(A401)&gt;=6,HOUR(A401)&lt;=18),Assumptions!$B$8*SIN(PI()*(HOUR(A401)+MINUTE(A401)/60-6)/12),0))</f>
        <v>11.480502970952694</v>
      </c>
      <c r="D401">
        <f t="shared" si="6"/>
        <v>-6.5805029709526934</v>
      </c>
      <c r="E401">
        <f>MIN(B401,C401)*Assumptions!$B$2</f>
        <v>2.4500000000000002</v>
      </c>
      <c r="F401">
        <f>MAX(C401-B401,0)*Assumptions!$B$2</f>
        <v>3.2902514854763467</v>
      </c>
      <c r="G401">
        <f>MAX(B401-C401,0)*Assumptions!$B$2</f>
        <v>0</v>
      </c>
    </row>
    <row r="402" spans="1:7" x14ac:dyDescent="0.3">
      <c r="A402" s="5">
        <f>Raw_Load_Data!A402</f>
        <v>46212.333333334303</v>
      </c>
      <c r="B402">
        <f>Raw_Load_Data!B402</f>
        <v>17.399999999999999</v>
      </c>
      <c r="C402">
        <f>MAX(0,IF(AND(HOUR(A402)&gt;=6,HOUR(A402)&lt;=18),Assumptions!$B$8*SIN(PI()*(HOUR(A402)+MINUTE(A402)/60-6)/12),0))</f>
        <v>14.999999999999998</v>
      </c>
      <c r="D402">
        <f t="shared" si="6"/>
        <v>2.4000000000000004</v>
      </c>
      <c r="E402">
        <f>MIN(B402,C402)*Assumptions!$B$2</f>
        <v>7.4999999999999991</v>
      </c>
      <c r="F402">
        <f>MAX(C402-B402,0)*Assumptions!$B$2</f>
        <v>0</v>
      </c>
      <c r="G402">
        <f>MAX(B402-C402,0)*Assumptions!$B$2</f>
        <v>1.2000000000000002</v>
      </c>
    </row>
    <row r="403" spans="1:7" x14ac:dyDescent="0.3">
      <c r="A403" s="5">
        <f>Raw_Load_Data!A403</f>
        <v>46212.354166667639</v>
      </c>
      <c r="B403">
        <f>Raw_Load_Data!B403</f>
        <v>20.9</v>
      </c>
      <c r="C403">
        <f>MAX(0,IF(AND(HOUR(A403)&gt;=6,HOUR(A403)&lt;=18),Assumptions!$B$8*SIN(PI()*(HOUR(A403)+MINUTE(A403)/60-6)/12),0))</f>
        <v>18.262842870261618</v>
      </c>
      <c r="D403">
        <f t="shared" si="6"/>
        <v>2.6371571297383802</v>
      </c>
      <c r="E403">
        <f>MIN(B403,C403)*Assumptions!$B$2</f>
        <v>9.1314214351308092</v>
      </c>
      <c r="F403">
        <f>MAX(C403-B403,0)*Assumptions!$B$2</f>
        <v>0</v>
      </c>
      <c r="G403">
        <f>MAX(B403-C403,0)*Assumptions!$B$2</f>
        <v>1.3185785648691901</v>
      </c>
    </row>
    <row r="404" spans="1:7" x14ac:dyDescent="0.3">
      <c r="A404" s="5">
        <f>Raw_Load_Data!A404</f>
        <v>46212.375000000975</v>
      </c>
      <c r="B404">
        <f>Raw_Load_Data!B404</f>
        <v>16.899999999999999</v>
      </c>
      <c r="C404">
        <f>MAX(0,IF(AND(HOUR(A404)&gt;=6,HOUR(A404)&lt;=18),Assumptions!$B$8*SIN(PI()*(HOUR(A404)+MINUTE(A404)/60-6)/12),0))</f>
        <v>21.213203435596423</v>
      </c>
      <c r="D404">
        <f t="shared" si="6"/>
        <v>-4.3132034355964244</v>
      </c>
      <c r="E404">
        <f>MIN(B404,C404)*Assumptions!$B$2</f>
        <v>8.4499999999999993</v>
      </c>
      <c r="F404">
        <f>MAX(C404-B404,0)*Assumptions!$B$2</f>
        <v>2.1566017177982122</v>
      </c>
      <c r="G404">
        <f>MAX(B404-C404,0)*Assumptions!$B$2</f>
        <v>0</v>
      </c>
    </row>
    <row r="405" spans="1:7" x14ac:dyDescent="0.3">
      <c r="A405" s="5">
        <f>Raw_Load_Data!A405</f>
        <v>46212.395833334311</v>
      </c>
      <c r="B405">
        <f>Raw_Load_Data!B405</f>
        <v>16.8</v>
      </c>
      <c r="C405">
        <f>MAX(0,IF(AND(HOUR(A405)&gt;=6,HOUR(A405)&lt;=18),Assumptions!$B$8*SIN(PI()*(HOUR(A405)+MINUTE(A405)/60-6)/12),0))</f>
        <v>23.800600208737055</v>
      </c>
      <c r="D405">
        <f t="shared" si="6"/>
        <v>-7.0006002087370547</v>
      </c>
      <c r="E405">
        <f>MIN(B405,C405)*Assumptions!$B$2</f>
        <v>8.4</v>
      </c>
      <c r="F405">
        <f>MAX(C405-B405,0)*Assumptions!$B$2</f>
        <v>3.5003001043685273</v>
      </c>
      <c r="G405">
        <f>MAX(B405-C405,0)*Assumptions!$B$2</f>
        <v>0</v>
      </c>
    </row>
    <row r="406" spans="1:7" x14ac:dyDescent="0.3">
      <c r="A406" s="5">
        <f>Raw_Load_Data!A406</f>
        <v>46212.416666667646</v>
      </c>
      <c r="B406">
        <f>Raw_Load_Data!B406</f>
        <v>21.1</v>
      </c>
      <c r="C406">
        <f>MAX(0,IF(AND(HOUR(A406)&gt;=6,HOUR(A406)&lt;=18),Assumptions!$B$8*SIN(PI()*(HOUR(A406)+MINUTE(A406)/60-6)/12),0))</f>
        <v>25.980762113533157</v>
      </c>
      <c r="D406">
        <f t="shared" si="6"/>
        <v>-4.8807621135331551</v>
      </c>
      <c r="E406">
        <f>MIN(B406,C406)*Assumptions!$B$2</f>
        <v>10.55</v>
      </c>
      <c r="F406">
        <f>MAX(C406-B406,0)*Assumptions!$B$2</f>
        <v>2.4403810567665776</v>
      </c>
      <c r="G406">
        <f>MAX(B406-C406,0)*Assumptions!$B$2</f>
        <v>0</v>
      </c>
    </row>
    <row r="407" spans="1:7" x14ac:dyDescent="0.3">
      <c r="A407" s="5">
        <f>Raw_Load_Data!A407</f>
        <v>46212.437500000982</v>
      </c>
      <c r="B407">
        <f>Raw_Load_Data!B407</f>
        <v>17.5</v>
      </c>
      <c r="C407">
        <f>MAX(0,IF(AND(HOUR(A407)&gt;=6,HOUR(A407)&lt;=18),Assumptions!$B$8*SIN(PI()*(HOUR(A407)+MINUTE(A407)/60-6)/12),0))</f>
        <v>27.716385975338603</v>
      </c>
      <c r="D407">
        <f t="shared" si="6"/>
        <v>-10.216385975338603</v>
      </c>
      <c r="E407">
        <f>MIN(B407,C407)*Assumptions!$B$2</f>
        <v>8.75</v>
      </c>
      <c r="F407">
        <f>MAX(C407-B407,0)*Assumptions!$B$2</f>
        <v>5.1081929876693017</v>
      </c>
      <c r="G407">
        <f>MAX(B407-C407,0)*Assumptions!$B$2</f>
        <v>0</v>
      </c>
    </row>
    <row r="408" spans="1:7" x14ac:dyDescent="0.3">
      <c r="A408" s="5">
        <f>Raw_Load_Data!A408</f>
        <v>46212.458333334318</v>
      </c>
      <c r="B408">
        <f>Raw_Load_Data!B408</f>
        <v>18.8</v>
      </c>
      <c r="C408">
        <f>MAX(0,IF(AND(HOUR(A408)&gt;=6,HOUR(A408)&lt;=18),Assumptions!$B$8*SIN(PI()*(HOUR(A408)+MINUTE(A408)/60-6)/12),0))</f>
        <v>28.97777478867205</v>
      </c>
      <c r="D408">
        <f t="shared" si="6"/>
        <v>-10.17777478867205</v>
      </c>
      <c r="E408">
        <f>MIN(B408,C408)*Assumptions!$B$2</f>
        <v>9.4</v>
      </c>
      <c r="F408">
        <f>MAX(C408-B408,0)*Assumptions!$B$2</f>
        <v>5.0888873943360249</v>
      </c>
      <c r="G408">
        <f>MAX(B408-C408,0)*Assumptions!$B$2</f>
        <v>0</v>
      </c>
    </row>
    <row r="409" spans="1:7" x14ac:dyDescent="0.3">
      <c r="A409" s="5">
        <f>Raw_Load_Data!A409</f>
        <v>46212.479166667654</v>
      </c>
      <c r="B409">
        <f>Raw_Load_Data!B409</f>
        <v>19</v>
      </c>
      <c r="C409">
        <f>MAX(0,IF(AND(HOUR(A409)&gt;=6,HOUR(A409)&lt;=18),Assumptions!$B$8*SIN(PI()*(HOUR(A409)+MINUTE(A409)/60-6)/12),0))</f>
        <v>29.74334584121431</v>
      </c>
      <c r="D409">
        <f t="shared" si="6"/>
        <v>-10.74334584121431</v>
      </c>
      <c r="E409">
        <f>MIN(B409,C409)*Assumptions!$B$2</f>
        <v>9.5</v>
      </c>
      <c r="F409">
        <f>MAX(C409-B409,0)*Assumptions!$B$2</f>
        <v>5.3716729206071552</v>
      </c>
      <c r="G409">
        <f>MAX(B409-C409,0)*Assumptions!$B$2</f>
        <v>0</v>
      </c>
    </row>
    <row r="410" spans="1:7" x14ac:dyDescent="0.3">
      <c r="A410" s="5">
        <f>Raw_Load_Data!A410</f>
        <v>46212.50000000099</v>
      </c>
      <c r="B410">
        <f>Raw_Load_Data!B410</f>
        <v>23.1</v>
      </c>
      <c r="C410">
        <f>MAX(0,IF(AND(HOUR(A410)&gt;=6,HOUR(A410)&lt;=18),Assumptions!$B$8*SIN(PI()*(HOUR(A410)+MINUTE(A410)/60-6)/12),0))</f>
        <v>30</v>
      </c>
      <c r="D410">
        <f t="shared" si="6"/>
        <v>-6.8999999999999986</v>
      </c>
      <c r="E410">
        <f>MIN(B410,C410)*Assumptions!$B$2</f>
        <v>11.55</v>
      </c>
      <c r="F410">
        <f>MAX(C410-B410,0)*Assumptions!$B$2</f>
        <v>3.4499999999999993</v>
      </c>
      <c r="G410">
        <f>MAX(B410-C410,0)*Assumptions!$B$2</f>
        <v>0</v>
      </c>
    </row>
    <row r="411" spans="1:7" x14ac:dyDescent="0.3">
      <c r="A411" s="5">
        <f>Raw_Load_Data!A411</f>
        <v>46212.520833334325</v>
      </c>
      <c r="B411">
        <f>Raw_Load_Data!B411</f>
        <v>29.6</v>
      </c>
      <c r="C411">
        <f>MAX(0,IF(AND(HOUR(A411)&gt;=6,HOUR(A411)&lt;=18),Assumptions!$B$8*SIN(PI()*(HOUR(A411)+MINUTE(A411)/60-6)/12),0))</f>
        <v>29.74334584121431</v>
      </c>
      <c r="D411">
        <f t="shared" si="6"/>
        <v>-0.14334584121430893</v>
      </c>
      <c r="E411">
        <f>MIN(B411,C411)*Assumptions!$B$2</f>
        <v>14.8</v>
      </c>
      <c r="F411">
        <f>MAX(C411-B411,0)*Assumptions!$B$2</f>
        <v>7.1672920607154467E-2</v>
      </c>
      <c r="G411">
        <f>MAX(B411-C411,0)*Assumptions!$B$2</f>
        <v>0</v>
      </c>
    </row>
    <row r="412" spans="1:7" x14ac:dyDescent="0.3">
      <c r="A412" s="5">
        <f>Raw_Load_Data!A412</f>
        <v>46212.541666667661</v>
      </c>
      <c r="B412">
        <f>Raw_Load_Data!B412</f>
        <v>22.7</v>
      </c>
      <c r="C412">
        <f>MAX(0,IF(AND(HOUR(A412)&gt;=6,HOUR(A412)&lt;=18),Assumptions!$B$8*SIN(PI()*(HOUR(A412)+MINUTE(A412)/60-6)/12),0))</f>
        <v>28.97777478867205</v>
      </c>
      <c r="D412">
        <f t="shared" si="6"/>
        <v>-6.2777747886720512</v>
      </c>
      <c r="E412">
        <f>MIN(B412,C412)*Assumptions!$B$2</f>
        <v>11.35</v>
      </c>
      <c r="F412">
        <f>MAX(C412-B412,0)*Assumptions!$B$2</f>
        <v>3.1388873943360256</v>
      </c>
      <c r="G412">
        <f>MAX(B412-C412,0)*Assumptions!$B$2</f>
        <v>0</v>
      </c>
    </row>
    <row r="413" spans="1:7" x14ac:dyDescent="0.3">
      <c r="A413" s="5">
        <f>Raw_Load_Data!A413</f>
        <v>46212.562500000997</v>
      </c>
      <c r="B413">
        <f>Raw_Load_Data!B413</f>
        <v>34.4</v>
      </c>
      <c r="C413">
        <f>MAX(0,IF(AND(HOUR(A413)&gt;=6,HOUR(A413)&lt;=18),Assumptions!$B$8*SIN(PI()*(HOUR(A413)+MINUTE(A413)/60-6)/12),0))</f>
        <v>27.716385975338607</v>
      </c>
      <c r="D413">
        <f t="shared" si="6"/>
        <v>6.6836140246613915</v>
      </c>
      <c r="E413">
        <f>MIN(B413,C413)*Assumptions!$B$2</f>
        <v>13.858192987669304</v>
      </c>
      <c r="F413">
        <f>MAX(C413-B413,0)*Assumptions!$B$2</f>
        <v>0</v>
      </c>
      <c r="G413">
        <f>MAX(B413-C413,0)*Assumptions!$B$2</f>
        <v>3.3418070123306958</v>
      </c>
    </row>
    <row r="414" spans="1:7" x14ac:dyDescent="0.3">
      <c r="A414" s="5">
        <f>Raw_Load_Data!A414</f>
        <v>46212.583333334333</v>
      </c>
      <c r="B414">
        <f>Raw_Load_Data!B414</f>
        <v>31.5</v>
      </c>
      <c r="C414">
        <f>MAX(0,IF(AND(HOUR(A414)&gt;=6,HOUR(A414)&lt;=18),Assumptions!$B$8*SIN(PI()*(HOUR(A414)+MINUTE(A414)/60-6)/12),0))</f>
        <v>25.98076211353316</v>
      </c>
      <c r="D414">
        <f t="shared" si="6"/>
        <v>5.5192378864668399</v>
      </c>
      <c r="E414">
        <f>MIN(B414,C414)*Assumptions!$B$2</f>
        <v>12.99038105676658</v>
      </c>
      <c r="F414">
        <f>MAX(C414-B414,0)*Assumptions!$B$2</f>
        <v>0</v>
      </c>
      <c r="G414">
        <f>MAX(B414-C414,0)*Assumptions!$B$2</f>
        <v>2.7596189432334199</v>
      </c>
    </row>
    <row r="415" spans="1:7" x14ac:dyDescent="0.3">
      <c r="A415" s="5">
        <f>Raw_Load_Data!A415</f>
        <v>46212.604166667668</v>
      </c>
      <c r="B415">
        <f>Raw_Load_Data!B415</f>
        <v>29.4</v>
      </c>
      <c r="C415">
        <f>MAX(0,IF(AND(HOUR(A415)&gt;=6,HOUR(A415)&lt;=18),Assumptions!$B$8*SIN(PI()*(HOUR(A415)+MINUTE(A415)/60-6)/12),0))</f>
        <v>23.800600208737055</v>
      </c>
      <c r="D415">
        <f t="shared" si="6"/>
        <v>5.5993997912629432</v>
      </c>
      <c r="E415">
        <f>MIN(B415,C415)*Assumptions!$B$2</f>
        <v>11.900300104368528</v>
      </c>
      <c r="F415">
        <f>MAX(C415-B415,0)*Assumptions!$B$2</f>
        <v>0</v>
      </c>
      <c r="G415">
        <f>MAX(B415-C415,0)*Assumptions!$B$2</f>
        <v>2.7996998956314716</v>
      </c>
    </row>
    <row r="416" spans="1:7" x14ac:dyDescent="0.3">
      <c r="A416" s="5">
        <f>Raw_Load_Data!A416</f>
        <v>46212.625000001004</v>
      </c>
      <c r="B416">
        <f>Raw_Load_Data!B416</f>
        <v>21.5</v>
      </c>
      <c r="C416">
        <f>MAX(0,IF(AND(HOUR(A416)&gt;=6,HOUR(A416)&lt;=18),Assumptions!$B$8*SIN(PI()*(HOUR(A416)+MINUTE(A416)/60-6)/12),0))</f>
        <v>21.213203435596427</v>
      </c>
      <c r="D416">
        <f t="shared" si="6"/>
        <v>0.28679656440357348</v>
      </c>
      <c r="E416">
        <f>MIN(B416,C416)*Assumptions!$B$2</f>
        <v>10.606601717798213</v>
      </c>
      <c r="F416">
        <f>MAX(C416-B416,0)*Assumptions!$B$2</f>
        <v>0</v>
      </c>
      <c r="G416">
        <f>MAX(B416-C416,0)*Assumptions!$B$2</f>
        <v>0.14339828220178674</v>
      </c>
    </row>
    <row r="417" spans="1:7" x14ac:dyDescent="0.3">
      <c r="A417" s="5">
        <f>Raw_Load_Data!A417</f>
        <v>46212.64583333434</v>
      </c>
      <c r="B417">
        <f>Raw_Load_Data!B417</f>
        <v>30.7</v>
      </c>
      <c r="C417">
        <f>MAX(0,IF(AND(HOUR(A417)&gt;=6,HOUR(A417)&lt;=18),Assumptions!$B$8*SIN(PI()*(HOUR(A417)+MINUTE(A417)/60-6)/12),0))</f>
        <v>18.262842870261625</v>
      </c>
      <c r="D417">
        <f t="shared" si="6"/>
        <v>12.437157129738374</v>
      </c>
      <c r="E417">
        <f>MIN(B417,C417)*Assumptions!$B$2</f>
        <v>9.1314214351308127</v>
      </c>
      <c r="F417">
        <f>MAX(C417-B417,0)*Assumptions!$B$2</f>
        <v>0</v>
      </c>
      <c r="G417">
        <f>MAX(B417-C417,0)*Assumptions!$B$2</f>
        <v>6.2185785648691869</v>
      </c>
    </row>
    <row r="418" spans="1:7" x14ac:dyDescent="0.3">
      <c r="A418" s="5">
        <f>Raw_Load_Data!A418</f>
        <v>46212.666666667676</v>
      </c>
      <c r="B418">
        <f>Raw_Load_Data!B418</f>
        <v>17.8</v>
      </c>
      <c r="C418">
        <f>MAX(0,IF(AND(HOUR(A418)&gt;=6,HOUR(A418)&lt;=18),Assumptions!$B$8*SIN(PI()*(HOUR(A418)+MINUTE(A418)/60-6)/12),0))</f>
        <v>14.999999999999998</v>
      </c>
      <c r="D418">
        <f t="shared" si="6"/>
        <v>2.8000000000000025</v>
      </c>
      <c r="E418">
        <f>MIN(B418,C418)*Assumptions!$B$2</f>
        <v>7.4999999999999991</v>
      </c>
      <c r="F418">
        <f>MAX(C418-B418,0)*Assumptions!$B$2</f>
        <v>0</v>
      </c>
      <c r="G418">
        <f>MAX(B418-C418,0)*Assumptions!$B$2</f>
        <v>1.4000000000000012</v>
      </c>
    </row>
    <row r="419" spans="1:7" x14ac:dyDescent="0.3">
      <c r="A419" s="5">
        <f>Raw_Load_Data!A419</f>
        <v>46212.687500001011</v>
      </c>
      <c r="B419">
        <f>Raw_Load_Data!B419</f>
        <v>18.7</v>
      </c>
      <c r="C419">
        <f>MAX(0,IF(AND(HOUR(A419)&gt;=6,HOUR(A419)&lt;=18),Assumptions!$B$8*SIN(PI()*(HOUR(A419)+MINUTE(A419)/60-6)/12),0))</f>
        <v>11.480502970952697</v>
      </c>
      <c r="D419">
        <f t="shared" si="6"/>
        <v>7.219497029047302</v>
      </c>
      <c r="E419">
        <f>MIN(B419,C419)*Assumptions!$B$2</f>
        <v>5.7402514854763487</v>
      </c>
      <c r="F419">
        <f>MAX(C419-B419,0)*Assumptions!$B$2</f>
        <v>0</v>
      </c>
      <c r="G419">
        <f>MAX(B419-C419,0)*Assumptions!$B$2</f>
        <v>3.609748514523651</v>
      </c>
    </row>
    <row r="420" spans="1:7" x14ac:dyDescent="0.3">
      <c r="A420" s="5">
        <f>Raw_Load_Data!A420</f>
        <v>46212.708333334347</v>
      </c>
      <c r="B420">
        <f>Raw_Load_Data!B420</f>
        <v>12</v>
      </c>
      <c r="C420">
        <f>MAX(0,IF(AND(HOUR(A420)&gt;=6,HOUR(A420)&lt;=18),Assumptions!$B$8*SIN(PI()*(HOUR(A420)+MINUTE(A420)/60-6)/12),0))</f>
        <v>7.7645713530756302</v>
      </c>
      <c r="D420">
        <f t="shared" si="6"/>
        <v>4.2354286469243698</v>
      </c>
      <c r="E420">
        <f>MIN(B420,C420)*Assumptions!$B$2</f>
        <v>3.8822856765378151</v>
      </c>
      <c r="F420">
        <f>MAX(C420-B420,0)*Assumptions!$B$2</f>
        <v>0</v>
      </c>
      <c r="G420">
        <f>MAX(B420-C420,0)*Assumptions!$B$2</f>
        <v>2.1177143234621849</v>
      </c>
    </row>
    <row r="421" spans="1:7" x14ac:dyDescent="0.3">
      <c r="A421" s="5">
        <f>Raw_Load_Data!A421</f>
        <v>46212.729166667683</v>
      </c>
      <c r="B421">
        <f>Raw_Load_Data!B421</f>
        <v>14.9</v>
      </c>
      <c r="C421">
        <f>MAX(0,IF(AND(HOUR(A421)&gt;=6,HOUR(A421)&lt;=18),Assumptions!$B$8*SIN(PI()*(HOUR(A421)+MINUTE(A421)/60-6)/12),0))</f>
        <v>3.9157857666015596</v>
      </c>
      <c r="D421">
        <f t="shared" si="6"/>
        <v>10.98421423339844</v>
      </c>
      <c r="E421">
        <f>MIN(B421,C421)*Assumptions!$B$2</f>
        <v>1.9578928833007798</v>
      </c>
      <c r="F421">
        <f>MAX(C421-B421,0)*Assumptions!$B$2</f>
        <v>0</v>
      </c>
      <c r="G421">
        <f>MAX(B421-C421,0)*Assumptions!$B$2</f>
        <v>5.4921071166992199</v>
      </c>
    </row>
    <row r="422" spans="1:7" x14ac:dyDescent="0.3">
      <c r="A422" s="5">
        <f>Raw_Load_Data!A422</f>
        <v>46212.750000001019</v>
      </c>
      <c r="B422">
        <f>Raw_Load_Data!B422</f>
        <v>19.100000000000001</v>
      </c>
      <c r="C422">
        <f>MAX(0,IF(AND(HOUR(A422)&gt;=6,HOUR(A422)&lt;=18),Assumptions!$B$8*SIN(PI()*(HOUR(A422)+MINUTE(A422)/60-6)/12),0))</f>
        <v>3.67544536472586E-15</v>
      </c>
      <c r="D422">
        <f t="shared" si="6"/>
        <v>19.099999999999998</v>
      </c>
      <c r="E422">
        <f>MIN(B422,C422)*Assumptions!$B$2</f>
        <v>1.83772268236293E-15</v>
      </c>
      <c r="F422">
        <f>MAX(C422-B422,0)*Assumptions!$B$2</f>
        <v>0</v>
      </c>
      <c r="G422">
        <f>MAX(B422-C422,0)*Assumptions!$B$2</f>
        <v>9.5499999999999989</v>
      </c>
    </row>
    <row r="423" spans="1:7" x14ac:dyDescent="0.3">
      <c r="A423" s="5">
        <f>Raw_Load_Data!A423</f>
        <v>46212.770833334354</v>
      </c>
      <c r="B423">
        <f>Raw_Load_Data!B423</f>
        <v>11.6</v>
      </c>
      <c r="C423">
        <f>MAX(0,IF(AND(HOUR(A423)&gt;=6,HOUR(A423)&lt;=18),Assumptions!$B$8*SIN(PI()*(HOUR(A423)+MINUTE(A423)/60-6)/12),0))</f>
        <v>0</v>
      </c>
      <c r="D423">
        <f t="shared" si="6"/>
        <v>11.6</v>
      </c>
      <c r="E423">
        <f>MIN(B423,C423)*Assumptions!$B$2</f>
        <v>0</v>
      </c>
      <c r="F423">
        <f>MAX(C423-B423,0)*Assumptions!$B$2</f>
        <v>0</v>
      </c>
      <c r="G423">
        <f>MAX(B423-C423,0)*Assumptions!$B$2</f>
        <v>5.8</v>
      </c>
    </row>
    <row r="424" spans="1:7" x14ac:dyDescent="0.3">
      <c r="A424" s="5">
        <f>Raw_Load_Data!A424</f>
        <v>46212.79166666769</v>
      </c>
      <c r="B424">
        <f>Raw_Load_Data!B424</f>
        <v>4.4000000000000004</v>
      </c>
      <c r="C424">
        <f>MAX(0,IF(AND(HOUR(A424)&gt;=6,HOUR(A424)&lt;=18),Assumptions!$B$8*SIN(PI()*(HOUR(A424)+MINUTE(A424)/60-6)/12),0))</f>
        <v>0</v>
      </c>
      <c r="D424">
        <f t="shared" si="6"/>
        <v>4.4000000000000004</v>
      </c>
      <c r="E424">
        <f>MIN(B424,C424)*Assumptions!$B$2</f>
        <v>0</v>
      </c>
      <c r="F424">
        <f>MAX(C424-B424,0)*Assumptions!$B$2</f>
        <v>0</v>
      </c>
      <c r="G424">
        <f>MAX(B424-C424,0)*Assumptions!$B$2</f>
        <v>2.2000000000000002</v>
      </c>
    </row>
    <row r="425" spans="1:7" x14ac:dyDescent="0.3">
      <c r="A425" s="5">
        <f>Raw_Load_Data!A425</f>
        <v>46212.812500001026</v>
      </c>
      <c r="B425">
        <f>Raw_Load_Data!B425</f>
        <v>4.4000000000000004</v>
      </c>
      <c r="C425">
        <f>MAX(0,IF(AND(HOUR(A425)&gt;=6,HOUR(A425)&lt;=18),Assumptions!$B$8*SIN(PI()*(HOUR(A425)+MINUTE(A425)/60-6)/12),0))</f>
        <v>0</v>
      </c>
      <c r="D425">
        <f t="shared" si="6"/>
        <v>4.4000000000000004</v>
      </c>
      <c r="E425">
        <f>MIN(B425,C425)*Assumptions!$B$2</f>
        <v>0</v>
      </c>
      <c r="F425">
        <f>MAX(C425-B425,0)*Assumptions!$B$2</f>
        <v>0</v>
      </c>
      <c r="G425">
        <f>MAX(B425-C425,0)*Assumptions!$B$2</f>
        <v>2.2000000000000002</v>
      </c>
    </row>
    <row r="426" spans="1:7" x14ac:dyDescent="0.3">
      <c r="A426" s="5">
        <f>Raw_Load_Data!A426</f>
        <v>46212.833333334362</v>
      </c>
      <c r="B426">
        <f>Raw_Load_Data!B426</f>
        <v>4.2</v>
      </c>
      <c r="C426">
        <f>MAX(0,IF(AND(HOUR(A426)&gt;=6,HOUR(A426)&lt;=18),Assumptions!$B$8*SIN(PI()*(HOUR(A426)+MINUTE(A426)/60-6)/12),0))</f>
        <v>0</v>
      </c>
      <c r="D426">
        <f t="shared" si="6"/>
        <v>4.2</v>
      </c>
      <c r="E426">
        <f>MIN(B426,C426)*Assumptions!$B$2</f>
        <v>0</v>
      </c>
      <c r="F426">
        <f>MAX(C426-B426,0)*Assumptions!$B$2</f>
        <v>0</v>
      </c>
      <c r="G426">
        <f>MAX(B426-C426,0)*Assumptions!$B$2</f>
        <v>2.1</v>
      </c>
    </row>
    <row r="427" spans="1:7" x14ac:dyDescent="0.3">
      <c r="A427" s="5">
        <f>Raw_Load_Data!A427</f>
        <v>46212.854166667697</v>
      </c>
      <c r="B427">
        <f>Raw_Load_Data!B427</f>
        <v>4.5</v>
      </c>
      <c r="C427">
        <f>MAX(0,IF(AND(HOUR(A427)&gt;=6,HOUR(A427)&lt;=18),Assumptions!$B$8*SIN(PI()*(HOUR(A427)+MINUTE(A427)/60-6)/12),0))</f>
        <v>0</v>
      </c>
      <c r="D427">
        <f t="shared" si="6"/>
        <v>4.5</v>
      </c>
      <c r="E427">
        <f>MIN(B427,C427)*Assumptions!$B$2</f>
        <v>0</v>
      </c>
      <c r="F427">
        <f>MAX(C427-B427,0)*Assumptions!$B$2</f>
        <v>0</v>
      </c>
      <c r="G427">
        <f>MAX(B427-C427,0)*Assumptions!$B$2</f>
        <v>2.25</v>
      </c>
    </row>
    <row r="428" spans="1:7" x14ac:dyDescent="0.3">
      <c r="A428" s="5">
        <f>Raw_Load_Data!A428</f>
        <v>46212.875000001033</v>
      </c>
      <c r="B428">
        <f>Raw_Load_Data!B428</f>
        <v>4.0999999999999996</v>
      </c>
      <c r="C428">
        <f>MAX(0,IF(AND(HOUR(A428)&gt;=6,HOUR(A428)&lt;=18),Assumptions!$B$8*SIN(PI()*(HOUR(A428)+MINUTE(A428)/60-6)/12),0))</f>
        <v>0</v>
      </c>
      <c r="D428">
        <f t="shared" si="6"/>
        <v>4.0999999999999996</v>
      </c>
      <c r="E428">
        <f>MIN(B428,C428)*Assumptions!$B$2</f>
        <v>0</v>
      </c>
      <c r="F428">
        <f>MAX(C428-B428,0)*Assumptions!$B$2</f>
        <v>0</v>
      </c>
      <c r="G428">
        <f>MAX(B428-C428,0)*Assumptions!$B$2</f>
        <v>2.0499999999999998</v>
      </c>
    </row>
    <row r="429" spans="1:7" x14ac:dyDescent="0.3">
      <c r="A429" s="5">
        <f>Raw_Load_Data!A429</f>
        <v>46212.895833334369</v>
      </c>
      <c r="B429">
        <f>Raw_Load_Data!B429</f>
        <v>6.6</v>
      </c>
      <c r="C429">
        <f>MAX(0,IF(AND(HOUR(A429)&gt;=6,HOUR(A429)&lt;=18),Assumptions!$B$8*SIN(PI()*(HOUR(A429)+MINUTE(A429)/60-6)/12),0))</f>
        <v>0</v>
      </c>
      <c r="D429">
        <f t="shared" si="6"/>
        <v>6.6</v>
      </c>
      <c r="E429">
        <f>MIN(B429,C429)*Assumptions!$B$2</f>
        <v>0</v>
      </c>
      <c r="F429">
        <f>MAX(C429-B429,0)*Assumptions!$B$2</f>
        <v>0</v>
      </c>
      <c r="G429">
        <f>MAX(B429-C429,0)*Assumptions!$B$2</f>
        <v>3.3</v>
      </c>
    </row>
    <row r="430" spans="1:7" x14ac:dyDescent="0.3">
      <c r="A430" s="5">
        <f>Raw_Load_Data!A430</f>
        <v>46212.916666667705</v>
      </c>
      <c r="B430">
        <f>Raw_Load_Data!B430</f>
        <v>5.3</v>
      </c>
      <c r="C430">
        <f>MAX(0,IF(AND(HOUR(A430)&gt;=6,HOUR(A430)&lt;=18),Assumptions!$B$8*SIN(PI()*(HOUR(A430)+MINUTE(A430)/60-6)/12),0))</f>
        <v>0</v>
      </c>
      <c r="D430">
        <f t="shared" si="6"/>
        <v>5.3</v>
      </c>
      <c r="E430">
        <f>MIN(B430,C430)*Assumptions!$B$2</f>
        <v>0</v>
      </c>
      <c r="F430">
        <f>MAX(C430-B430,0)*Assumptions!$B$2</f>
        <v>0</v>
      </c>
      <c r="G430">
        <f>MAX(B430-C430,0)*Assumptions!$B$2</f>
        <v>2.65</v>
      </c>
    </row>
    <row r="431" spans="1:7" x14ac:dyDescent="0.3">
      <c r="A431" s="5">
        <f>Raw_Load_Data!A431</f>
        <v>46212.93750000104</v>
      </c>
      <c r="B431">
        <f>Raw_Load_Data!B431</f>
        <v>7.2</v>
      </c>
      <c r="C431">
        <f>MAX(0,IF(AND(HOUR(A431)&gt;=6,HOUR(A431)&lt;=18),Assumptions!$B$8*SIN(PI()*(HOUR(A431)+MINUTE(A431)/60-6)/12),0))</f>
        <v>0</v>
      </c>
      <c r="D431">
        <f t="shared" si="6"/>
        <v>7.2</v>
      </c>
      <c r="E431">
        <f>MIN(B431,C431)*Assumptions!$B$2</f>
        <v>0</v>
      </c>
      <c r="F431">
        <f>MAX(C431-B431,0)*Assumptions!$B$2</f>
        <v>0</v>
      </c>
      <c r="G431">
        <f>MAX(B431-C431,0)*Assumptions!$B$2</f>
        <v>3.6</v>
      </c>
    </row>
    <row r="432" spans="1:7" x14ac:dyDescent="0.3">
      <c r="A432" s="5">
        <f>Raw_Load_Data!A432</f>
        <v>46212.958333334376</v>
      </c>
      <c r="B432">
        <f>Raw_Load_Data!B432</f>
        <v>6</v>
      </c>
      <c r="C432">
        <f>MAX(0,IF(AND(HOUR(A432)&gt;=6,HOUR(A432)&lt;=18),Assumptions!$B$8*SIN(PI()*(HOUR(A432)+MINUTE(A432)/60-6)/12),0))</f>
        <v>0</v>
      </c>
      <c r="D432">
        <f t="shared" si="6"/>
        <v>6</v>
      </c>
      <c r="E432">
        <f>MIN(B432,C432)*Assumptions!$B$2</f>
        <v>0</v>
      </c>
      <c r="F432">
        <f>MAX(C432-B432,0)*Assumptions!$B$2</f>
        <v>0</v>
      </c>
      <c r="G432">
        <f>MAX(B432-C432,0)*Assumptions!$B$2</f>
        <v>3</v>
      </c>
    </row>
    <row r="433" spans="1:7" x14ac:dyDescent="0.3">
      <c r="A433" s="5">
        <f>Raw_Load_Data!A433</f>
        <v>46212.979166667712</v>
      </c>
      <c r="B433">
        <f>Raw_Load_Data!B433</f>
        <v>5.0999999999999996</v>
      </c>
      <c r="C433">
        <f>MAX(0,IF(AND(HOUR(A433)&gt;=6,HOUR(A433)&lt;=18),Assumptions!$B$8*SIN(PI()*(HOUR(A433)+MINUTE(A433)/60-6)/12),0))</f>
        <v>0</v>
      </c>
      <c r="D433">
        <f t="shared" si="6"/>
        <v>5.0999999999999996</v>
      </c>
      <c r="E433">
        <f>MIN(B433,C433)*Assumptions!$B$2</f>
        <v>0</v>
      </c>
      <c r="F433">
        <f>MAX(C433-B433,0)*Assumptions!$B$2</f>
        <v>0</v>
      </c>
      <c r="G433">
        <f>MAX(B433-C433,0)*Assumptions!$B$2</f>
        <v>2.5499999999999998</v>
      </c>
    </row>
    <row r="434" spans="1:7" x14ac:dyDescent="0.3">
      <c r="A434" s="5">
        <f>Raw_Load_Data!A434</f>
        <v>46213.000000001048</v>
      </c>
      <c r="B434">
        <f>Raw_Load_Data!B434</f>
        <v>2.4</v>
      </c>
      <c r="C434">
        <f>MAX(0,IF(AND(HOUR(A434)&gt;=6,HOUR(A434)&lt;=18),Assumptions!$B$8*SIN(PI()*(HOUR(A434)+MINUTE(A434)/60-6)/12),0))</f>
        <v>0</v>
      </c>
      <c r="D434">
        <f t="shared" si="6"/>
        <v>2.4</v>
      </c>
      <c r="E434">
        <f>MIN(B434,C434)*Assumptions!$B$2</f>
        <v>0</v>
      </c>
      <c r="F434">
        <f>MAX(C434-B434,0)*Assumptions!$B$2</f>
        <v>0</v>
      </c>
      <c r="G434">
        <f>MAX(B434-C434,0)*Assumptions!$B$2</f>
        <v>1.2</v>
      </c>
    </row>
    <row r="435" spans="1:7" x14ac:dyDescent="0.3">
      <c r="A435" s="5">
        <f>Raw_Load_Data!A435</f>
        <v>46213.020833334383</v>
      </c>
      <c r="B435">
        <f>Raw_Load_Data!B435</f>
        <v>3</v>
      </c>
      <c r="C435">
        <f>MAX(0,IF(AND(HOUR(A435)&gt;=6,HOUR(A435)&lt;=18),Assumptions!$B$8*SIN(PI()*(HOUR(A435)+MINUTE(A435)/60-6)/12),0))</f>
        <v>0</v>
      </c>
      <c r="D435">
        <f t="shared" si="6"/>
        <v>3</v>
      </c>
      <c r="E435">
        <f>MIN(B435,C435)*Assumptions!$B$2</f>
        <v>0</v>
      </c>
      <c r="F435">
        <f>MAX(C435-B435,0)*Assumptions!$B$2</f>
        <v>0</v>
      </c>
      <c r="G435">
        <f>MAX(B435-C435,0)*Assumptions!$B$2</f>
        <v>1.5</v>
      </c>
    </row>
    <row r="436" spans="1:7" x14ac:dyDescent="0.3">
      <c r="A436" s="5">
        <f>Raw_Load_Data!A436</f>
        <v>46213.041666667719</v>
      </c>
      <c r="B436">
        <f>Raw_Load_Data!B436</f>
        <v>2.5</v>
      </c>
      <c r="C436">
        <f>MAX(0,IF(AND(HOUR(A436)&gt;=6,HOUR(A436)&lt;=18),Assumptions!$B$8*SIN(PI()*(HOUR(A436)+MINUTE(A436)/60-6)/12),0))</f>
        <v>0</v>
      </c>
      <c r="D436">
        <f t="shared" si="6"/>
        <v>2.5</v>
      </c>
      <c r="E436">
        <f>MIN(B436,C436)*Assumptions!$B$2</f>
        <v>0</v>
      </c>
      <c r="F436">
        <f>MAX(C436-B436,0)*Assumptions!$B$2</f>
        <v>0</v>
      </c>
      <c r="G436">
        <f>MAX(B436-C436,0)*Assumptions!$B$2</f>
        <v>1.25</v>
      </c>
    </row>
    <row r="437" spans="1:7" x14ac:dyDescent="0.3">
      <c r="A437" s="5">
        <f>Raw_Load_Data!A437</f>
        <v>46213.062500001055</v>
      </c>
      <c r="B437">
        <f>Raw_Load_Data!B437</f>
        <v>1.9</v>
      </c>
      <c r="C437">
        <f>MAX(0,IF(AND(HOUR(A437)&gt;=6,HOUR(A437)&lt;=18),Assumptions!$B$8*SIN(PI()*(HOUR(A437)+MINUTE(A437)/60-6)/12),0))</f>
        <v>0</v>
      </c>
      <c r="D437">
        <f t="shared" si="6"/>
        <v>1.9</v>
      </c>
      <c r="E437">
        <f>MIN(B437,C437)*Assumptions!$B$2</f>
        <v>0</v>
      </c>
      <c r="F437">
        <f>MAX(C437-B437,0)*Assumptions!$B$2</f>
        <v>0</v>
      </c>
      <c r="G437">
        <f>MAX(B437-C437,0)*Assumptions!$B$2</f>
        <v>0.95</v>
      </c>
    </row>
    <row r="438" spans="1:7" x14ac:dyDescent="0.3">
      <c r="A438" s="5">
        <f>Raw_Load_Data!A438</f>
        <v>46213.083333334391</v>
      </c>
      <c r="B438">
        <f>Raw_Load_Data!B438</f>
        <v>1.9</v>
      </c>
      <c r="C438">
        <f>MAX(0,IF(AND(HOUR(A438)&gt;=6,HOUR(A438)&lt;=18),Assumptions!$B$8*SIN(PI()*(HOUR(A438)+MINUTE(A438)/60-6)/12),0))</f>
        <v>0</v>
      </c>
      <c r="D438">
        <f t="shared" si="6"/>
        <v>1.9</v>
      </c>
      <c r="E438">
        <f>MIN(B438,C438)*Assumptions!$B$2</f>
        <v>0</v>
      </c>
      <c r="F438">
        <f>MAX(C438-B438,0)*Assumptions!$B$2</f>
        <v>0</v>
      </c>
      <c r="G438">
        <f>MAX(B438-C438,0)*Assumptions!$B$2</f>
        <v>0.95</v>
      </c>
    </row>
    <row r="439" spans="1:7" x14ac:dyDescent="0.3">
      <c r="A439" s="5">
        <f>Raw_Load_Data!A439</f>
        <v>46213.104166667727</v>
      </c>
      <c r="B439">
        <f>Raw_Load_Data!B439</f>
        <v>2.2000000000000002</v>
      </c>
      <c r="C439">
        <f>MAX(0,IF(AND(HOUR(A439)&gt;=6,HOUR(A439)&lt;=18),Assumptions!$B$8*SIN(PI()*(HOUR(A439)+MINUTE(A439)/60-6)/12),0))</f>
        <v>0</v>
      </c>
      <c r="D439">
        <f t="shared" si="6"/>
        <v>2.2000000000000002</v>
      </c>
      <c r="E439">
        <f>MIN(B439,C439)*Assumptions!$B$2</f>
        <v>0</v>
      </c>
      <c r="F439">
        <f>MAX(C439-B439,0)*Assumptions!$B$2</f>
        <v>0</v>
      </c>
      <c r="G439">
        <f>MAX(B439-C439,0)*Assumptions!$B$2</f>
        <v>1.1000000000000001</v>
      </c>
    </row>
    <row r="440" spans="1:7" x14ac:dyDescent="0.3">
      <c r="A440" s="5">
        <f>Raw_Load_Data!A440</f>
        <v>46213.125000001062</v>
      </c>
      <c r="B440">
        <f>Raw_Load_Data!B440</f>
        <v>1.8</v>
      </c>
      <c r="C440">
        <f>MAX(0,IF(AND(HOUR(A440)&gt;=6,HOUR(A440)&lt;=18),Assumptions!$B$8*SIN(PI()*(HOUR(A440)+MINUTE(A440)/60-6)/12),0))</f>
        <v>0</v>
      </c>
      <c r="D440">
        <f t="shared" si="6"/>
        <v>1.8</v>
      </c>
      <c r="E440">
        <f>MIN(B440,C440)*Assumptions!$B$2</f>
        <v>0</v>
      </c>
      <c r="F440">
        <f>MAX(C440-B440,0)*Assumptions!$B$2</f>
        <v>0</v>
      </c>
      <c r="G440">
        <f>MAX(B440-C440,0)*Assumptions!$B$2</f>
        <v>0.9</v>
      </c>
    </row>
    <row r="441" spans="1:7" x14ac:dyDescent="0.3">
      <c r="A441" s="5">
        <f>Raw_Load_Data!A441</f>
        <v>46213.145833334398</v>
      </c>
      <c r="B441">
        <f>Raw_Load_Data!B441</f>
        <v>2.2000000000000002</v>
      </c>
      <c r="C441">
        <f>MAX(0,IF(AND(HOUR(A441)&gt;=6,HOUR(A441)&lt;=18),Assumptions!$B$8*SIN(PI()*(HOUR(A441)+MINUTE(A441)/60-6)/12),0))</f>
        <v>0</v>
      </c>
      <c r="D441">
        <f t="shared" si="6"/>
        <v>2.2000000000000002</v>
      </c>
      <c r="E441">
        <f>MIN(B441,C441)*Assumptions!$B$2</f>
        <v>0</v>
      </c>
      <c r="F441">
        <f>MAX(C441-B441,0)*Assumptions!$B$2</f>
        <v>0</v>
      </c>
      <c r="G441">
        <f>MAX(B441-C441,0)*Assumptions!$B$2</f>
        <v>1.1000000000000001</v>
      </c>
    </row>
    <row r="442" spans="1:7" x14ac:dyDescent="0.3">
      <c r="A442" s="5">
        <f>Raw_Load_Data!A442</f>
        <v>46213.166666667734</v>
      </c>
      <c r="B442">
        <f>Raw_Load_Data!B442</f>
        <v>2.2000000000000002</v>
      </c>
      <c r="C442">
        <f>MAX(0,IF(AND(HOUR(A442)&gt;=6,HOUR(A442)&lt;=18),Assumptions!$B$8*SIN(PI()*(HOUR(A442)+MINUTE(A442)/60-6)/12),0))</f>
        <v>0</v>
      </c>
      <c r="D442">
        <f t="shared" si="6"/>
        <v>2.2000000000000002</v>
      </c>
      <c r="E442">
        <f>MIN(B442,C442)*Assumptions!$B$2</f>
        <v>0</v>
      </c>
      <c r="F442">
        <f>MAX(C442-B442,0)*Assumptions!$B$2</f>
        <v>0</v>
      </c>
      <c r="G442">
        <f>MAX(B442-C442,0)*Assumptions!$B$2</f>
        <v>1.1000000000000001</v>
      </c>
    </row>
    <row r="443" spans="1:7" x14ac:dyDescent="0.3">
      <c r="A443" s="5">
        <f>Raw_Load_Data!A443</f>
        <v>46213.18750000107</v>
      </c>
      <c r="B443">
        <f>Raw_Load_Data!B443</f>
        <v>2</v>
      </c>
      <c r="C443">
        <f>MAX(0,IF(AND(HOUR(A443)&gt;=6,HOUR(A443)&lt;=18),Assumptions!$B$8*SIN(PI()*(HOUR(A443)+MINUTE(A443)/60-6)/12),0))</f>
        <v>0</v>
      </c>
      <c r="D443">
        <f t="shared" si="6"/>
        <v>2</v>
      </c>
      <c r="E443">
        <f>MIN(B443,C443)*Assumptions!$B$2</f>
        <v>0</v>
      </c>
      <c r="F443">
        <f>MAX(C443-B443,0)*Assumptions!$B$2</f>
        <v>0</v>
      </c>
      <c r="G443">
        <f>MAX(B443-C443,0)*Assumptions!$B$2</f>
        <v>1</v>
      </c>
    </row>
    <row r="444" spans="1:7" x14ac:dyDescent="0.3">
      <c r="A444" s="5">
        <f>Raw_Load_Data!A444</f>
        <v>46213.208333334405</v>
      </c>
      <c r="B444">
        <f>Raw_Load_Data!B444</f>
        <v>2.1</v>
      </c>
      <c r="C444">
        <f>MAX(0,IF(AND(HOUR(A444)&gt;=6,HOUR(A444)&lt;=18),Assumptions!$B$8*SIN(PI()*(HOUR(A444)+MINUTE(A444)/60-6)/12),0))</f>
        <v>0</v>
      </c>
      <c r="D444">
        <f t="shared" si="6"/>
        <v>2.1</v>
      </c>
      <c r="E444">
        <f>MIN(B444,C444)*Assumptions!$B$2</f>
        <v>0</v>
      </c>
      <c r="F444">
        <f>MAX(C444-B444,0)*Assumptions!$B$2</f>
        <v>0</v>
      </c>
      <c r="G444">
        <f>MAX(B444-C444,0)*Assumptions!$B$2</f>
        <v>1.05</v>
      </c>
    </row>
    <row r="445" spans="1:7" x14ac:dyDescent="0.3">
      <c r="A445" s="5">
        <f>Raw_Load_Data!A445</f>
        <v>46213.229166667741</v>
      </c>
      <c r="B445">
        <f>Raw_Load_Data!B445</f>
        <v>2.2999999999999998</v>
      </c>
      <c r="C445">
        <f>MAX(0,IF(AND(HOUR(A445)&gt;=6,HOUR(A445)&lt;=18),Assumptions!$B$8*SIN(PI()*(HOUR(A445)+MINUTE(A445)/60-6)/12),0))</f>
        <v>0</v>
      </c>
      <c r="D445">
        <f t="shared" si="6"/>
        <v>2.2999999999999998</v>
      </c>
      <c r="E445">
        <f>MIN(B445,C445)*Assumptions!$B$2</f>
        <v>0</v>
      </c>
      <c r="F445">
        <f>MAX(C445-B445,0)*Assumptions!$B$2</f>
        <v>0</v>
      </c>
      <c r="G445">
        <f>MAX(B445-C445,0)*Assumptions!$B$2</f>
        <v>1.1499999999999999</v>
      </c>
    </row>
    <row r="446" spans="1:7" x14ac:dyDescent="0.3">
      <c r="A446" s="5">
        <f>Raw_Load_Data!A446</f>
        <v>46213.250000001077</v>
      </c>
      <c r="B446">
        <f>Raw_Load_Data!B446</f>
        <v>7.8</v>
      </c>
      <c r="C446">
        <f>MAX(0,IF(AND(HOUR(A446)&gt;=6,HOUR(A446)&lt;=18),Assumptions!$B$8*SIN(PI()*(HOUR(A446)+MINUTE(A446)/60-6)/12),0))</f>
        <v>0</v>
      </c>
      <c r="D446">
        <f t="shared" si="6"/>
        <v>7.8</v>
      </c>
      <c r="E446">
        <f>MIN(B446,C446)*Assumptions!$B$2</f>
        <v>0</v>
      </c>
      <c r="F446">
        <f>MAX(C446-B446,0)*Assumptions!$B$2</f>
        <v>0</v>
      </c>
      <c r="G446">
        <f>MAX(B446-C446,0)*Assumptions!$B$2</f>
        <v>3.9</v>
      </c>
    </row>
    <row r="447" spans="1:7" x14ac:dyDescent="0.3">
      <c r="A447" s="5">
        <f>Raw_Load_Data!A447</f>
        <v>46213.270833334413</v>
      </c>
      <c r="B447">
        <f>Raw_Load_Data!B447</f>
        <v>5</v>
      </c>
      <c r="C447">
        <f>MAX(0,IF(AND(HOUR(A447)&gt;=6,HOUR(A447)&lt;=18),Assumptions!$B$8*SIN(PI()*(HOUR(A447)+MINUTE(A447)/60-6)/12),0))</f>
        <v>3.9157857666015472</v>
      </c>
      <c r="D447">
        <f t="shared" si="6"/>
        <v>1.0842142333984528</v>
      </c>
      <c r="E447">
        <f>MIN(B447,C447)*Assumptions!$B$2</f>
        <v>1.9578928833007736</v>
      </c>
      <c r="F447">
        <f>MAX(C447-B447,0)*Assumptions!$B$2</f>
        <v>0</v>
      </c>
      <c r="G447">
        <f>MAX(B447-C447,0)*Assumptions!$B$2</f>
        <v>0.5421071166992264</v>
      </c>
    </row>
    <row r="448" spans="1:7" x14ac:dyDescent="0.3">
      <c r="A448" s="5">
        <f>Raw_Load_Data!A448</f>
        <v>46213.291666667748</v>
      </c>
      <c r="B448">
        <f>Raw_Load_Data!B448</f>
        <v>5.9</v>
      </c>
      <c r="C448">
        <f>MAX(0,IF(AND(HOUR(A448)&gt;=6,HOUR(A448)&lt;=18),Assumptions!$B$8*SIN(PI()*(HOUR(A448)+MINUTE(A448)/60-6)/12),0))</f>
        <v>7.7645713530756222</v>
      </c>
      <c r="D448">
        <f t="shared" si="6"/>
        <v>-1.8645713530756218</v>
      </c>
      <c r="E448">
        <f>MIN(B448,C448)*Assumptions!$B$2</f>
        <v>2.95</v>
      </c>
      <c r="F448">
        <f>MAX(C448-B448,0)*Assumptions!$B$2</f>
        <v>0.93228567653781091</v>
      </c>
      <c r="G448">
        <f>MAX(B448-C448,0)*Assumptions!$B$2</f>
        <v>0</v>
      </c>
    </row>
    <row r="449" spans="1:7" x14ac:dyDescent="0.3">
      <c r="A449" s="5">
        <f>Raw_Load_Data!A449</f>
        <v>46213.312500001084</v>
      </c>
      <c r="B449">
        <f>Raw_Load_Data!B449</f>
        <v>7.2</v>
      </c>
      <c r="C449">
        <f>MAX(0,IF(AND(HOUR(A449)&gt;=6,HOUR(A449)&lt;=18),Assumptions!$B$8*SIN(PI()*(HOUR(A449)+MINUTE(A449)/60-6)/12),0))</f>
        <v>11.480502970952694</v>
      </c>
      <c r="D449">
        <f t="shared" si="6"/>
        <v>-4.2805029709526936</v>
      </c>
      <c r="E449">
        <f>MIN(B449,C449)*Assumptions!$B$2</f>
        <v>3.6</v>
      </c>
      <c r="F449">
        <f>MAX(C449-B449,0)*Assumptions!$B$2</f>
        <v>2.1402514854763468</v>
      </c>
      <c r="G449">
        <f>MAX(B449-C449,0)*Assumptions!$B$2</f>
        <v>0</v>
      </c>
    </row>
    <row r="450" spans="1:7" x14ac:dyDescent="0.3">
      <c r="A450" s="5">
        <f>Raw_Load_Data!A450</f>
        <v>46213.33333333442</v>
      </c>
      <c r="B450">
        <f>Raw_Load_Data!B450</f>
        <v>14.8</v>
      </c>
      <c r="C450">
        <f>MAX(0,IF(AND(HOUR(A450)&gt;=6,HOUR(A450)&lt;=18),Assumptions!$B$8*SIN(PI()*(HOUR(A450)+MINUTE(A450)/60-6)/12),0))</f>
        <v>14.999999999999998</v>
      </c>
      <c r="D450">
        <f t="shared" si="6"/>
        <v>-0.19999999999999751</v>
      </c>
      <c r="E450">
        <f>MIN(B450,C450)*Assumptions!$B$2</f>
        <v>7.4</v>
      </c>
      <c r="F450">
        <f>MAX(C450-B450,0)*Assumptions!$B$2</f>
        <v>9.9999999999998757E-2</v>
      </c>
      <c r="G450">
        <f>MAX(B450-C450,0)*Assumptions!$B$2</f>
        <v>0</v>
      </c>
    </row>
    <row r="451" spans="1:7" x14ac:dyDescent="0.3">
      <c r="A451" s="5">
        <f>Raw_Load_Data!A451</f>
        <v>46213.354166667756</v>
      </c>
      <c r="B451">
        <f>Raw_Load_Data!B451</f>
        <v>22</v>
      </c>
      <c r="C451">
        <f>MAX(0,IF(AND(HOUR(A451)&gt;=6,HOUR(A451)&lt;=18),Assumptions!$B$8*SIN(PI()*(HOUR(A451)+MINUTE(A451)/60-6)/12),0))</f>
        <v>18.262842870261618</v>
      </c>
      <c r="D451">
        <f t="shared" ref="D451:D514" si="7">B451-C451</f>
        <v>3.7371571297383817</v>
      </c>
      <c r="E451">
        <f>MIN(B451,C451)*Assumptions!$B$2</f>
        <v>9.1314214351308092</v>
      </c>
      <c r="F451">
        <f>MAX(C451-B451,0)*Assumptions!$B$2</f>
        <v>0</v>
      </c>
      <c r="G451">
        <f>MAX(B451-C451,0)*Assumptions!$B$2</f>
        <v>1.8685785648691908</v>
      </c>
    </row>
    <row r="452" spans="1:7" x14ac:dyDescent="0.3">
      <c r="A452" s="5">
        <f>Raw_Load_Data!A452</f>
        <v>46213.375000001091</v>
      </c>
      <c r="B452">
        <f>Raw_Load_Data!B452</f>
        <v>14.8</v>
      </c>
      <c r="C452">
        <f>MAX(0,IF(AND(HOUR(A452)&gt;=6,HOUR(A452)&lt;=18),Assumptions!$B$8*SIN(PI()*(HOUR(A452)+MINUTE(A452)/60-6)/12),0))</f>
        <v>21.213203435596423</v>
      </c>
      <c r="D452">
        <f t="shared" si="7"/>
        <v>-6.4132034355964223</v>
      </c>
      <c r="E452">
        <f>MIN(B452,C452)*Assumptions!$B$2</f>
        <v>7.4</v>
      </c>
      <c r="F452">
        <f>MAX(C452-B452,0)*Assumptions!$B$2</f>
        <v>3.2066017177982111</v>
      </c>
      <c r="G452">
        <f>MAX(B452-C452,0)*Assumptions!$B$2</f>
        <v>0</v>
      </c>
    </row>
    <row r="453" spans="1:7" x14ac:dyDescent="0.3">
      <c r="A453" s="5">
        <f>Raw_Load_Data!A453</f>
        <v>46213.395833334427</v>
      </c>
      <c r="B453">
        <f>Raw_Load_Data!B453</f>
        <v>15.1</v>
      </c>
      <c r="C453">
        <f>MAX(0,IF(AND(HOUR(A453)&gt;=6,HOUR(A453)&lt;=18),Assumptions!$B$8*SIN(PI()*(HOUR(A453)+MINUTE(A453)/60-6)/12),0))</f>
        <v>23.800600208737055</v>
      </c>
      <c r="D453">
        <f t="shared" si="7"/>
        <v>-8.7006002087370558</v>
      </c>
      <c r="E453">
        <f>MIN(B453,C453)*Assumptions!$B$2</f>
        <v>7.55</v>
      </c>
      <c r="F453">
        <f>MAX(C453-B453,0)*Assumptions!$B$2</f>
        <v>4.3503001043685279</v>
      </c>
      <c r="G453">
        <f>MAX(B453-C453,0)*Assumptions!$B$2</f>
        <v>0</v>
      </c>
    </row>
    <row r="454" spans="1:7" x14ac:dyDescent="0.3">
      <c r="A454" s="5">
        <f>Raw_Load_Data!A454</f>
        <v>46213.416666667763</v>
      </c>
      <c r="B454">
        <f>Raw_Load_Data!B454</f>
        <v>18.600000000000001</v>
      </c>
      <c r="C454">
        <f>MAX(0,IF(AND(HOUR(A454)&gt;=6,HOUR(A454)&lt;=18),Assumptions!$B$8*SIN(PI()*(HOUR(A454)+MINUTE(A454)/60-6)/12),0))</f>
        <v>25.980762113533157</v>
      </c>
      <c r="D454">
        <f t="shared" si="7"/>
        <v>-7.3807621135331551</v>
      </c>
      <c r="E454">
        <f>MIN(B454,C454)*Assumptions!$B$2</f>
        <v>9.3000000000000007</v>
      </c>
      <c r="F454">
        <f>MAX(C454-B454,0)*Assumptions!$B$2</f>
        <v>3.6903810567665776</v>
      </c>
      <c r="G454">
        <f>MAX(B454-C454,0)*Assumptions!$B$2</f>
        <v>0</v>
      </c>
    </row>
    <row r="455" spans="1:7" x14ac:dyDescent="0.3">
      <c r="A455" s="5">
        <f>Raw_Load_Data!A455</f>
        <v>46213.437500001099</v>
      </c>
      <c r="B455">
        <f>Raw_Load_Data!B455</f>
        <v>12.1</v>
      </c>
      <c r="C455">
        <f>MAX(0,IF(AND(HOUR(A455)&gt;=6,HOUR(A455)&lt;=18),Assumptions!$B$8*SIN(PI()*(HOUR(A455)+MINUTE(A455)/60-6)/12),0))</f>
        <v>27.716385975338603</v>
      </c>
      <c r="D455">
        <f t="shared" si="7"/>
        <v>-15.616385975338604</v>
      </c>
      <c r="E455">
        <f>MIN(B455,C455)*Assumptions!$B$2</f>
        <v>6.05</v>
      </c>
      <c r="F455">
        <f>MAX(C455-B455,0)*Assumptions!$B$2</f>
        <v>7.8081929876693019</v>
      </c>
      <c r="G455">
        <f>MAX(B455-C455,0)*Assumptions!$B$2</f>
        <v>0</v>
      </c>
    </row>
    <row r="456" spans="1:7" x14ac:dyDescent="0.3">
      <c r="A456" s="5">
        <f>Raw_Load_Data!A456</f>
        <v>46213.458333334434</v>
      </c>
      <c r="B456">
        <f>Raw_Load_Data!B456</f>
        <v>18.7</v>
      </c>
      <c r="C456">
        <f>MAX(0,IF(AND(HOUR(A456)&gt;=6,HOUR(A456)&lt;=18),Assumptions!$B$8*SIN(PI()*(HOUR(A456)+MINUTE(A456)/60-6)/12),0))</f>
        <v>28.97777478867205</v>
      </c>
      <c r="D456">
        <f t="shared" si="7"/>
        <v>-10.277774788672051</v>
      </c>
      <c r="E456">
        <f>MIN(B456,C456)*Assumptions!$B$2</f>
        <v>9.35</v>
      </c>
      <c r="F456">
        <f>MAX(C456-B456,0)*Assumptions!$B$2</f>
        <v>5.1388873943360256</v>
      </c>
      <c r="G456">
        <f>MAX(B456-C456,0)*Assumptions!$B$2</f>
        <v>0</v>
      </c>
    </row>
    <row r="457" spans="1:7" x14ac:dyDescent="0.3">
      <c r="A457" s="5">
        <f>Raw_Load_Data!A457</f>
        <v>46213.47916666777</v>
      </c>
      <c r="B457">
        <f>Raw_Load_Data!B457</f>
        <v>14.7</v>
      </c>
      <c r="C457">
        <f>MAX(0,IF(AND(HOUR(A457)&gt;=6,HOUR(A457)&lt;=18),Assumptions!$B$8*SIN(PI()*(HOUR(A457)+MINUTE(A457)/60-6)/12),0))</f>
        <v>29.74334584121431</v>
      </c>
      <c r="D457">
        <f t="shared" si="7"/>
        <v>-15.043345841214311</v>
      </c>
      <c r="E457">
        <f>MIN(B457,C457)*Assumptions!$B$2</f>
        <v>7.35</v>
      </c>
      <c r="F457">
        <f>MAX(C457-B457,0)*Assumptions!$B$2</f>
        <v>7.5216729206071555</v>
      </c>
      <c r="G457">
        <f>MAX(B457-C457,0)*Assumptions!$B$2</f>
        <v>0</v>
      </c>
    </row>
    <row r="458" spans="1:7" x14ac:dyDescent="0.3">
      <c r="A458" s="5">
        <f>Raw_Load_Data!A458</f>
        <v>46213.500000001106</v>
      </c>
      <c r="B458">
        <f>Raw_Load_Data!B458</f>
        <v>33</v>
      </c>
      <c r="C458">
        <f>MAX(0,IF(AND(HOUR(A458)&gt;=6,HOUR(A458)&lt;=18),Assumptions!$B$8*SIN(PI()*(HOUR(A458)+MINUTE(A458)/60-6)/12),0))</f>
        <v>30</v>
      </c>
      <c r="D458">
        <f t="shared" si="7"/>
        <v>3</v>
      </c>
      <c r="E458">
        <f>MIN(B458,C458)*Assumptions!$B$2</f>
        <v>15</v>
      </c>
      <c r="F458">
        <f>MAX(C458-B458,0)*Assumptions!$B$2</f>
        <v>0</v>
      </c>
      <c r="G458">
        <f>MAX(B458-C458,0)*Assumptions!$B$2</f>
        <v>1.5</v>
      </c>
    </row>
    <row r="459" spans="1:7" x14ac:dyDescent="0.3">
      <c r="A459" s="5">
        <f>Raw_Load_Data!A459</f>
        <v>46213.520833334442</v>
      </c>
      <c r="B459">
        <f>Raw_Load_Data!B459</f>
        <v>34.1</v>
      </c>
      <c r="C459">
        <f>MAX(0,IF(AND(HOUR(A459)&gt;=6,HOUR(A459)&lt;=18),Assumptions!$B$8*SIN(PI()*(HOUR(A459)+MINUTE(A459)/60-6)/12),0))</f>
        <v>29.74334584121431</v>
      </c>
      <c r="D459">
        <f t="shared" si="7"/>
        <v>4.3566541587856911</v>
      </c>
      <c r="E459">
        <f>MIN(B459,C459)*Assumptions!$B$2</f>
        <v>14.871672920607155</v>
      </c>
      <c r="F459">
        <f>MAX(C459-B459,0)*Assumptions!$B$2</f>
        <v>0</v>
      </c>
      <c r="G459">
        <f>MAX(B459-C459,0)*Assumptions!$B$2</f>
        <v>2.1783270793928455</v>
      </c>
    </row>
    <row r="460" spans="1:7" x14ac:dyDescent="0.3">
      <c r="A460" s="5">
        <f>Raw_Load_Data!A460</f>
        <v>46213.541666667777</v>
      </c>
      <c r="B460">
        <f>Raw_Load_Data!B460</f>
        <v>26.1</v>
      </c>
      <c r="C460">
        <f>MAX(0,IF(AND(HOUR(A460)&gt;=6,HOUR(A460)&lt;=18),Assumptions!$B$8*SIN(PI()*(HOUR(A460)+MINUTE(A460)/60-6)/12),0))</f>
        <v>28.97777478867205</v>
      </c>
      <c r="D460">
        <f t="shared" si="7"/>
        <v>-2.8777747886720491</v>
      </c>
      <c r="E460">
        <f>MIN(B460,C460)*Assumptions!$B$2</f>
        <v>13.05</v>
      </c>
      <c r="F460">
        <f>MAX(C460-B460,0)*Assumptions!$B$2</f>
        <v>1.4388873943360245</v>
      </c>
      <c r="G460">
        <f>MAX(B460-C460,0)*Assumptions!$B$2</f>
        <v>0</v>
      </c>
    </row>
    <row r="461" spans="1:7" x14ac:dyDescent="0.3">
      <c r="A461" s="5">
        <f>Raw_Load_Data!A461</f>
        <v>46213.562500001113</v>
      </c>
      <c r="B461">
        <f>Raw_Load_Data!B461</f>
        <v>29.6</v>
      </c>
      <c r="C461">
        <f>MAX(0,IF(AND(HOUR(A461)&gt;=6,HOUR(A461)&lt;=18),Assumptions!$B$8*SIN(PI()*(HOUR(A461)+MINUTE(A461)/60-6)/12),0))</f>
        <v>27.716385975338607</v>
      </c>
      <c r="D461">
        <f t="shared" si="7"/>
        <v>1.8836140246613944</v>
      </c>
      <c r="E461">
        <f>MIN(B461,C461)*Assumptions!$B$2</f>
        <v>13.858192987669304</v>
      </c>
      <c r="F461">
        <f>MAX(C461-B461,0)*Assumptions!$B$2</f>
        <v>0</v>
      </c>
      <c r="G461">
        <f>MAX(B461-C461,0)*Assumptions!$B$2</f>
        <v>0.94180701233069719</v>
      </c>
    </row>
    <row r="462" spans="1:7" x14ac:dyDescent="0.3">
      <c r="A462" s="5">
        <f>Raw_Load_Data!A462</f>
        <v>46213.583333334449</v>
      </c>
      <c r="B462">
        <f>Raw_Load_Data!B462</f>
        <v>33.1</v>
      </c>
      <c r="C462">
        <f>MAX(0,IF(AND(HOUR(A462)&gt;=6,HOUR(A462)&lt;=18),Assumptions!$B$8*SIN(PI()*(HOUR(A462)+MINUTE(A462)/60-6)/12),0))</f>
        <v>25.98076211353316</v>
      </c>
      <c r="D462">
        <f t="shared" si="7"/>
        <v>7.1192378864668413</v>
      </c>
      <c r="E462">
        <f>MIN(B462,C462)*Assumptions!$B$2</f>
        <v>12.99038105676658</v>
      </c>
      <c r="F462">
        <f>MAX(C462-B462,0)*Assumptions!$B$2</f>
        <v>0</v>
      </c>
      <c r="G462">
        <f>MAX(B462-C462,0)*Assumptions!$B$2</f>
        <v>3.5596189432334207</v>
      </c>
    </row>
    <row r="463" spans="1:7" x14ac:dyDescent="0.3">
      <c r="A463" s="5">
        <f>Raw_Load_Data!A463</f>
        <v>46213.604166667785</v>
      </c>
      <c r="B463">
        <f>Raw_Load_Data!B463</f>
        <v>19.2</v>
      </c>
      <c r="C463">
        <f>MAX(0,IF(AND(HOUR(A463)&gt;=6,HOUR(A463)&lt;=18),Assumptions!$B$8*SIN(PI()*(HOUR(A463)+MINUTE(A463)/60-6)/12),0))</f>
        <v>23.800600208737055</v>
      </c>
      <c r="D463">
        <f t="shared" si="7"/>
        <v>-4.6006002087370561</v>
      </c>
      <c r="E463">
        <f>MIN(B463,C463)*Assumptions!$B$2</f>
        <v>9.6</v>
      </c>
      <c r="F463">
        <f>MAX(C463-B463,0)*Assumptions!$B$2</f>
        <v>2.3003001043685281</v>
      </c>
      <c r="G463">
        <f>MAX(B463-C463,0)*Assumptions!$B$2</f>
        <v>0</v>
      </c>
    </row>
    <row r="464" spans="1:7" x14ac:dyDescent="0.3">
      <c r="A464" s="5">
        <f>Raw_Load_Data!A464</f>
        <v>46213.62500000112</v>
      </c>
      <c r="B464">
        <f>Raw_Load_Data!B464</f>
        <v>19.2</v>
      </c>
      <c r="C464">
        <f>MAX(0,IF(AND(HOUR(A464)&gt;=6,HOUR(A464)&lt;=18),Assumptions!$B$8*SIN(PI()*(HOUR(A464)+MINUTE(A464)/60-6)/12),0))</f>
        <v>21.213203435596427</v>
      </c>
      <c r="D464">
        <f t="shared" si="7"/>
        <v>-2.0132034355964272</v>
      </c>
      <c r="E464">
        <f>MIN(B464,C464)*Assumptions!$B$2</f>
        <v>9.6</v>
      </c>
      <c r="F464">
        <f>MAX(C464-B464,0)*Assumptions!$B$2</f>
        <v>1.0066017177982136</v>
      </c>
      <c r="G464">
        <f>MAX(B464-C464,0)*Assumptions!$B$2</f>
        <v>0</v>
      </c>
    </row>
    <row r="465" spans="1:7" x14ac:dyDescent="0.3">
      <c r="A465" s="5">
        <f>Raw_Load_Data!A465</f>
        <v>46213.645833334456</v>
      </c>
      <c r="B465">
        <f>Raw_Load_Data!B465</f>
        <v>25.4</v>
      </c>
      <c r="C465">
        <f>MAX(0,IF(AND(HOUR(A465)&gt;=6,HOUR(A465)&lt;=18),Assumptions!$B$8*SIN(PI()*(HOUR(A465)+MINUTE(A465)/60-6)/12),0))</f>
        <v>18.262842870261625</v>
      </c>
      <c r="D465">
        <f t="shared" si="7"/>
        <v>7.1371571297383731</v>
      </c>
      <c r="E465">
        <f>MIN(B465,C465)*Assumptions!$B$2</f>
        <v>9.1314214351308127</v>
      </c>
      <c r="F465">
        <f>MAX(C465-B465,0)*Assumptions!$B$2</f>
        <v>0</v>
      </c>
      <c r="G465">
        <f>MAX(B465-C465,0)*Assumptions!$B$2</f>
        <v>3.5685785648691866</v>
      </c>
    </row>
    <row r="466" spans="1:7" x14ac:dyDescent="0.3">
      <c r="A466" s="5">
        <f>Raw_Load_Data!A466</f>
        <v>46213.666666667792</v>
      </c>
      <c r="B466">
        <f>Raw_Load_Data!B466</f>
        <v>13</v>
      </c>
      <c r="C466">
        <f>MAX(0,IF(AND(HOUR(A466)&gt;=6,HOUR(A466)&lt;=18),Assumptions!$B$8*SIN(PI()*(HOUR(A466)+MINUTE(A466)/60-6)/12),0))</f>
        <v>14.999999999999998</v>
      </c>
      <c r="D466">
        <f t="shared" si="7"/>
        <v>-1.9999999999999982</v>
      </c>
      <c r="E466">
        <f>MIN(B466,C466)*Assumptions!$B$2</f>
        <v>6.5</v>
      </c>
      <c r="F466">
        <f>MAX(C466-B466,0)*Assumptions!$B$2</f>
        <v>0.99999999999999911</v>
      </c>
      <c r="G466">
        <f>MAX(B466-C466,0)*Assumptions!$B$2</f>
        <v>0</v>
      </c>
    </row>
    <row r="467" spans="1:7" x14ac:dyDescent="0.3">
      <c r="A467" s="5">
        <f>Raw_Load_Data!A467</f>
        <v>46213.687500001128</v>
      </c>
      <c r="B467">
        <f>Raw_Load_Data!B467</f>
        <v>14.4</v>
      </c>
      <c r="C467">
        <f>MAX(0,IF(AND(HOUR(A467)&gt;=6,HOUR(A467)&lt;=18),Assumptions!$B$8*SIN(PI()*(HOUR(A467)+MINUTE(A467)/60-6)/12),0))</f>
        <v>11.480502970952697</v>
      </c>
      <c r="D467">
        <f t="shared" si="7"/>
        <v>2.919497029047303</v>
      </c>
      <c r="E467">
        <f>MIN(B467,C467)*Assumptions!$B$2</f>
        <v>5.7402514854763487</v>
      </c>
      <c r="F467">
        <f>MAX(C467-B467,0)*Assumptions!$B$2</f>
        <v>0</v>
      </c>
      <c r="G467">
        <f>MAX(B467-C467,0)*Assumptions!$B$2</f>
        <v>1.4597485145236515</v>
      </c>
    </row>
    <row r="468" spans="1:7" x14ac:dyDescent="0.3">
      <c r="A468" s="5">
        <f>Raw_Load_Data!A468</f>
        <v>46213.708333334464</v>
      </c>
      <c r="B468">
        <f>Raw_Load_Data!B468</f>
        <v>14.9</v>
      </c>
      <c r="C468">
        <f>MAX(0,IF(AND(HOUR(A468)&gt;=6,HOUR(A468)&lt;=18),Assumptions!$B$8*SIN(PI()*(HOUR(A468)+MINUTE(A468)/60-6)/12),0))</f>
        <v>7.7645713530756302</v>
      </c>
      <c r="D468">
        <f t="shared" si="7"/>
        <v>7.1354286469243702</v>
      </c>
      <c r="E468">
        <f>MIN(B468,C468)*Assumptions!$B$2</f>
        <v>3.8822856765378151</v>
      </c>
      <c r="F468">
        <f>MAX(C468-B468,0)*Assumptions!$B$2</f>
        <v>0</v>
      </c>
      <c r="G468">
        <f>MAX(B468-C468,0)*Assumptions!$B$2</f>
        <v>3.5677143234621851</v>
      </c>
    </row>
    <row r="469" spans="1:7" x14ac:dyDescent="0.3">
      <c r="A469" s="5">
        <f>Raw_Load_Data!A469</f>
        <v>46213.729166667799</v>
      </c>
      <c r="B469">
        <f>Raw_Load_Data!B469</f>
        <v>18.2</v>
      </c>
      <c r="C469">
        <f>MAX(0,IF(AND(HOUR(A469)&gt;=6,HOUR(A469)&lt;=18),Assumptions!$B$8*SIN(PI()*(HOUR(A469)+MINUTE(A469)/60-6)/12),0))</f>
        <v>3.9157857666015596</v>
      </c>
      <c r="D469">
        <f t="shared" si="7"/>
        <v>14.284214233398441</v>
      </c>
      <c r="E469">
        <f>MIN(B469,C469)*Assumptions!$B$2</f>
        <v>1.9578928833007798</v>
      </c>
      <c r="F469">
        <f>MAX(C469-B469,0)*Assumptions!$B$2</f>
        <v>0</v>
      </c>
      <c r="G469">
        <f>MAX(B469-C469,0)*Assumptions!$B$2</f>
        <v>7.1421071166992203</v>
      </c>
    </row>
    <row r="470" spans="1:7" x14ac:dyDescent="0.3">
      <c r="A470" s="5">
        <f>Raw_Load_Data!A470</f>
        <v>46213.750000001135</v>
      </c>
      <c r="B470">
        <f>Raw_Load_Data!B470</f>
        <v>19.3</v>
      </c>
      <c r="C470">
        <f>MAX(0,IF(AND(HOUR(A470)&gt;=6,HOUR(A470)&lt;=18),Assumptions!$B$8*SIN(PI()*(HOUR(A470)+MINUTE(A470)/60-6)/12),0))</f>
        <v>3.67544536472586E-15</v>
      </c>
      <c r="D470">
        <f t="shared" si="7"/>
        <v>19.299999999999997</v>
      </c>
      <c r="E470">
        <f>MIN(B470,C470)*Assumptions!$B$2</f>
        <v>1.83772268236293E-15</v>
      </c>
      <c r="F470">
        <f>MAX(C470-B470,0)*Assumptions!$B$2</f>
        <v>0</v>
      </c>
      <c r="G470">
        <f>MAX(B470-C470,0)*Assumptions!$B$2</f>
        <v>9.6499999999999986</v>
      </c>
    </row>
    <row r="471" spans="1:7" x14ac:dyDescent="0.3">
      <c r="A471" s="5">
        <f>Raw_Load_Data!A471</f>
        <v>46213.770833334471</v>
      </c>
      <c r="B471">
        <f>Raw_Load_Data!B471</f>
        <v>14.8</v>
      </c>
      <c r="C471">
        <f>MAX(0,IF(AND(HOUR(A471)&gt;=6,HOUR(A471)&lt;=18),Assumptions!$B$8*SIN(PI()*(HOUR(A471)+MINUTE(A471)/60-6)/12),0))</f>
        <v>0</v>
      </c>
      <c r="D471">
        <f t="shared" si="7"/>
        <v>14.8</v>
      </c>
      <c r="E471">
        <f>MIN(B471,C471)*Assumptions!$B$2</f>
        <v>0</v>
      </c>
      <c r="F471">
        <f>MAX(C471-B471,0)*Assumptions!$B$2</f>
        <v>0</v>
      </c>
      <c r="G471">
        <f>MAX(B471-C471,0)*Assumptions!$B$2</f>
        <v>7.4</v>
      </c>
    </row>
    <row r="472" spans="1:7" x14ac:dyDescent="0.3">
      <c r="A472" s="5">
        <f>Raw_Load_Data!A472</f>
        <v>46213.791666667807</v>
      </c>
      <c r="B472">
        <f>Raw_Load_Data!B472</f>
        <v>5.8</v>
      </c>
      <c r="C472">
        <f>MAX(0,IF(AND(HOUR(A472)&gt;=6,HOUR(A472)&lt;=18),Assumptions!$B$8*SIN(PI()*(HOUR(A472)+MINUTE(A472)/60-6)/12),0))</f>
        <v>0</v>
      </c>
      <c r="D472">
        <f t="shared" si="7"/>
        <v>5.8</v>
      </c>
      <c r="E472">
        <f>MIN(B472,C472)*Assumptions!$B$2</f>
        <v>0</v>
      </c>
      <c r="F472">
        <f>MAX(C472-B472,0)*Assumptions!$B$2</f>
        <v>0</v>
      </c>
      <c r="G472">
        <f>MAX(B472-C472,0)*Assumptions!$B$2</f>
        <v>2.9</v>
      </c>
    </row>
    <row r="473" spans="1:7" x14ac:dyDescent="0.3">
      <c r="A473" s="5">
        <f>Raw_Load_Data!A473</f>
        <v>46213.812500001142</v>
      </c>
      <c r="B473">
        <f>Raw_Load_Data!B473</f>
        <v>3.8</v>
      </c>
      <c r="C473">
        <f>MAX(0,IF(AND(HOUR(A473)&gt;=6,HOUR(A473)&lt;=18),Assumptions!$B$8*SIN(PI()*(HOUR(A473)+MINUTE(A473)/60-6)/12),0))</f>
        <v>0</v>
      </c>
      <c r="D473">
        <f t="shared" si="7"/>
        <v>3.8</v>
      </c>
      <c r="E473">
        <f>MIN(B473,C473)*Assumptions!$B$2</f>
        <v>0</v>
      </c>
      <c r="F473">
        <f>MAX(C473-B473,0)*Assumptions!$B$2</f>
        <v>0</v>
      </c>
      <c r="G473">
        <f>MAX(B473-C473,0)*Assumptions!$B$2</f>
        <v>1.9</v>
      </c>
    </row>
    <row r="474" spans="1:7" x14ac:dyDescent="0.3">
      <c r="A474" s="5">
        <f>Raw_Load_Data!A474</f>
        <v>46213.833333334478</v>
      </c>
      <c r="B474">
        <f>Raw_Load_Data!B474</f>
        <v>5.4</v>
      </c>
      <c r="C474">
        <f>MAX(0,IF(AND(HOUR(A474)&gt;=6,HOUR(A474)&lt;=18),Assumptions!$B$8*SIN(PI()*(HOUR(A474)+MINUTE(A474)/60-6)/12),0))</f>
        <v>0</v>
      </c>
      <c r="D474">
        <f t="shared" si="7"/>
        <v>5.4</v>
      </c>
      <c r="E474">
        <f>MIN(B474,C474)*Assumptions!$B$2</f>
        <v>0</v>
      </c>
      <c r="F474">
        <f>MAX(C474-B474,0)*Assumptions!$B$2</f>
        <v>0</v>
      </c>
      <c r="G474">
        <f>MAX(B474-C474,0)*Assumptions!$B$2</f>
        <v>2.7</v>
      </c>
    </row>
    <row r="475" spans="1:7" x14ac:dyDescent="0.3">
      <c r="A475" s="5">
        <f>Raw_Load_Data!A475</f>
        <v>46213.854166667814</v>
      </c>
      <c r="B475">
        <f>Raw_Load_Data!B475</f>
        <v>7.7</v>
      </c>
      <c r="C475">
        <f>MAX(0,IF(AND(HOUR(A475)&gt;=6,HOUR(A475)&lt;=18),Assumptions!$B$8*SIN(PI()*(HOUR(A475)+MINUTE(A475)/60-6)/12),0))</f>
        <v>0</v>
      </c>
      <c r="D475">
        <f t="shared" si="7"/>
        <v>7.7</v>
      </c>
      <c r="E475">
        <f>MIN(B475,C475)*Assumptions!$B$2</f>
        <v>0</v>
      </c>
      <c r="F475">
        <f>MAX(C475-B475,0)*Assumptions!$B$2</f>
        <v>0</v>
      </c>
      <c r="G475">
        <f>MAX(B475-C475,0)*Assumptions!$B$2</f>
        <v>3.85</v>
      </c>
    </row>
    <row r="476" spans="1:7" x14ac:dyDescent="0.3">
      <c r="A476" s="5">
        <f>Raw_Load_Data!A476</f>
        <v>46213.87500000115</v>
      </c>
      <c r="B476">
        <f>Raw_Load_Data!B476</f>
        <v>5</v>
      </c>
      <c r="C476">
        <f>MAX(0,IF(AND(HOUR(A476)&gt;=6,HOUR(A476)&lt;=18),Assumptions!$B$8*SIN(PI()*(HOUR(A476)+MINUTE(A476)/60-6)/12),0))</f>
        <v>0</v>
      </c>
      <c r="D476">
        <f t="shared" si="7"/>
        <v>5</v>
      </c>
      <c r="E476">
        <f>MIN(B476,C476)*Assumptions!$B$2</f>
        <v>0</v>
      </c>
      <c r="F476">
        <f>MAX(C476-B476,0)*Assumptions!$B$2</f>
        <v>0</v>
      </c>
      <c r="G476">
        <f>MAX(B476-C476,0)*Assumptions!$B$2</f>
        <v>2.5</v>
      </c>
    </row>
    <row r="477" spans="1:7" x14ac:dyDescent="0.3">
      <c r="A477" s="5">
        <f>Raw_Load_Data!A477</f>
        <v>46213.895833334485</v>
      </c>
      <c r="B477">
        <f>Raw_Load_Data!B477</f>
        <v>7.7</v>
      </c>
      <c r="C477">
        <f>MAX(0,IF(AND(HOUR(A477)&gt;=6,HOUR(A477)&lt;=18),Assumptions!$B$8*SIN(PI()*(HOUR(A477)+MINUTE(A477)/60-6)/12),0))</f>
        <v>0</v>
      </c>
      <c r="D477">
        <f t="shared" si="7"/>
        <v>7.7</v>
      </c>
      <c r="E477">
        <f>MIN(B477,C477)*Assumptions!$B$2</f>
        <v>0</v>
      </c>
      <c r="F477">
        <f>MAX(C477-B477,0)*Assumptions!$B$2</f>
        <v>0</v>
      </c>
      <c r="G477">
        <f>MAX(B477-C477,0)*Assumptions!$B$2</f>
        <v>3.85</v>
      </c>
    </row>
    <row r="478" spans="1:7" x14ac:dyDescent="0.3">
      <c r="A478" s="5">
        <f>Raw_Load_Data!A478</f>
        <v>46213.916666667821</v>
      </c>
      <c r="B478">
        <f>Raw_Load_Data!B478</f>
        <v>7.8</v>
      </c>
      <c r="C478">
        <f>MAX(0,IF(AND(HOUR(A478)&gt;=6,HOUR(A478)&lt;=18),Assumptions!$B$8*SIN(PI()*(HOUR(A478)+MINUTE(A478)/60-6)/12),0))</f>
        <v>0</v>
      </c>
      <c r="D478">
        <f t="shared" si="7"/>
        <v>7.8</v>
      </c>
      <c r="E478">
        <f>MIN(B478,C478)*Assumptions!$B$2</f>
        <v>0</v>
      </c>
      <c r="F478">
        <f>MAX(C478-B478,0)*Assumptions!$B$2</f>
        <v>0</v>
      </c>
      <c r="G478">
        <f>MAX(B478-C478,0)*Assumptions!$B$2</f>
        <v>3.9</v>
      </c>
    </row>
    <row r="479" spans="1:7" x14ac:dyDescent="0.3">
      <c r="A479" s="5">
        <f>Raw_Load_Data!A479</f>
        <v>46213.937500001157</v>
      </c>
      <c r="B479">
        <f>Raw_Load_Data!B479</f>
        <v>7.8</v>
      </c>
      <c r="C479">
        <f>MAX(0,IF(AND(HOUR(A479)&gt;=6,HOUR(A479)&lt;=18),Assumptions!$B$8*SIN(PI()*(HOUR(A479)+MINUTE(A479)/60-6)/12),0))</f>
        <v>0</v>
      </c>
      <c r="D479">
        <f t="shared" si="7"/>
        <v>7.8</v>
      </c>
      <c r="E479">
        <f>MIN(B479,C479)*Assumptions!$B$2</f>
        <v>0</v>
      </c>
      <c r="F479">
        <f>MAX(C479-B479,0)*Assumptions!$B$2</f>
        <v>0</v>
      </c>
      <c r="G479">
        <f>MAX(B479-C479,0)*Assumptions!$B$2</f>
        <v>3.9</v>
      </c>
    </row>
    <row r="480" spans="1:7" x14ac:dyDescent="0.3">
      <c r="A480" s="5">
        <f>Raw_Load_Data!A480</f>
        <v>46213.958333334493</v>
      </c>
      <c r="B480">
        <f>Raw_Load_Data!B480</f>
        <v>4.3</v>
      </c>
      <c r="C480">
        <f>MAX(0,IF(AND(HOUR(A480)&gt;=6,HOUR(A480)&lt;=18),Assumptions!$B$8*SIN(PI()*(HOUR(A480)+MINUTE(A480)/60-6)/12),0))</f>
        <v>0</v>
      </c>
      <c r="D480">
        <f t="shared" si="7"/>
        <v>4.3</v>
      </c>
      <c r="E480">
        <f>MIN(B480,C480)*Assumptions!$B$2</f>
        <v>0</v>
      </c>
      <c r="F480">
        <f>MAX(C480-B480,0)*Assumptions!$B$2</f>
        <v>0</v>
      </c>
      <c r="G480">
        <f>MAX(B480-C480,0)*Assumptions!$B$2</f>
        <v>2.15</v>
      </c>
    </row>
    <row r="481" spans="1:7" x14ac:dyDescent="0.3">
      <c r="A481" s="5">
        <f>Raw_Load_Data!A481</f>
        <v>46213.979166667828</v>
      </c>
      <c r="B481">
        <f>Raw_Load_Data!B481</f>
        <v>5.0999999999999996</v>
      </c>
      <c r="C481">
        <f>MAX(0,IF(AND(HOUR(A481)&gt;=6,HOUR(A481)&lt;=18),Assumptions!$B$8*SIN(PI()*(HOUR(A481)+MINUTE(A481)/60-6)/12),0))</f>
        <v>0</v>
      </c>
      <c r="D481">
        <f t="shared" si="7"/>
        <v>5.0999999999999996</v>
      </c>
      <c r="E481">
        <f>MIN(B481,C481)*Assumptions!$B$2</f>
        <v>0</v>
      </c>
      <c r="F481">
        <f>MAX(C481-B481,0)*Assumptions!$B$2</f>
        <v>0</v>
      </c>
      <c r="G481">
        <f>MAX(B481-C481,0)*Assumptions!$B$2</f>
        <v>2.5499999999999998</v>
      </c>
    </row>
    <row r="482" spans="1:7" x14ac:dyDescent="0.3">
      <c r="A482" s="5">
        <f>Raw_Load_Data!A482</f>
        <v>46214.000000001164</v>
      </c>
      <c r="B482">
        <f>Raw_Load_Data!B482</f>
        <v>3</v>
      </c>
      <c r="C482">
        <f>MAX(0,IF(AND(HOUR(A482)&gt;=6,HOUR(A482)&lt;=18),Assumptions!$B$8*SIN(PI()*(HOUR(A482)+MINUTE(A482)/60-6)/12),0))</f>
        <v>0</v>
      </c>
      <c r="D482">
        <f t="shared" si="7"/>
        <v>3</v>
      </c>
      <c r="E482">
        <f>MIN(B482,C482)*Assumptions!$B$2</f>
        <v>0</v>
      </c>
      <c r="F482">
        <f>MAX(C482-B482,0)*Assumptions!$B$2</f>
        <v>0</v>
      </c>
      <c r="G482">
        <f>MAX(B482-C482,0)*Assumptions!$B$2</f>
        <v>1.5</v>
      </c>
    </row>
    <row r="483" spans="1:7" x14ac:dyDescent="0.3">
      <c r="A483" s="5">
        <f>Raw_Load_Data!A483</f>
        <v>46214.0208333345</v>
      </c>
      <c r="B483">
        <f>Raw_Load_Data!B483</f>
        <v>2.8</v>
      </c>
      <c r="C483">
        <f>MAX(0,IF(AND(HOUR(A483)&gt;=6,HOUR(A483)&lt;=18),Assumptions!$B$8*SIN(PI()*(HOUR(A483)+MINUTE(A483)/60-6)/12),0))</f>
        <v>0</v>
      </c>
      <c r="D483">
        <f t="shared" si="7"/>
        <v>2.8</v>
      </c>
      <c r="E483">
        <f>MIN(B483,C483)*Assumptions!$B$2</f>
        <v>0</v>
      </c>
      <c r="F483">
        <f>MAX(C483-B483,0)*Assumptions!$B$2</f>
        <v>0</v>
      </c>
      <c r="G483">
        <f>MAX(B483-C483,0)*Assumptions!$B$2</f>
        <v>1.4</v>
      </c>
    </row>
    <row r="484" spans="1:7" x14ac:dyDescent="0.3">
      <c r="A484" s="5">
        <f>Raw_Load_Data!A484</f>
        <v>46214.041666667836</v>
      </c>
      <c r="B484">
        <f>Raw_Load_Data!B484</f>
        <v>2.8</v>
      </c>
      <c r="C484">
        <f>MAX(0,IF(AND(HOUR(A484)&gt;=6,HOUR(A484)&lt;=18),Assumptions!$B$8*SIN(PI()*(HOUR(A484)+MINUTE(A484)/60-6)/12),0))</f>
        <v>0</v>
      </c>
      <c r="D484">
        <f t="shared" si="7"/>
        <v>2.8</v>
      </c>
      <c r="E484">
        <f>MIN(B484,C484)*Assumptions!$B$2</f>
        <v>0</v>
      </c>
      <c r="F484">
        <f>MAX(C484-B484,0)*Assumptions!$B$2</f>
        <v>0</v>
      </c>
      <c r="G484">
        <f>MAX(B484-C484,0)*Assumptions!$B$2</f>
        <v>1.4</v>
      </c>
    </row>
    <row r="485" spans="1:7" x14ac:dyDescent="0.3">
      <c r="A485" s="5">
        <f>Raw_Load_Data!A485</f>
        <v>46214.062500001171</v>
      </c>
      <c r="B485">
        <f>Raw_Load_Data!B485</f>
        <v>2.2999999999999998</v>
      </c>
      <c r="C485">
        <f>MAX(0,IF(AND(HOUR(A485)&gt;=6,HOUR(A485)&lt;=18),Assumptions!$B$8*SIN(PI()*(HOUR(A485)+MINUTE(A485)/60-6)/12),0))</f>
        <v>0</v>
      </c>
      <c r="D485">
        <f t="shared" si="7"/>
        <v>2.2999999999999998</v>
      </c>
      <c r="E485">
        <f>MIN(B485,C485)*Assumptions!$B$2</f>
        <v>0</v>
      </c>
      <c r="F485">
        <f>MAX(C485-B485,0)*Assumptions!$B$2</f>
        <v>0</v>
      </c>
      <c r="G485">
        <f>MAX(B485-C485,0)*Assumptions!$B$2</f>
        <v>1.1499999999999999</v>
      </c>
    </row>
    <row r="486" spans="1:7" x14ac:dyDescent="0.3">
      <c r="A486" s="5">
        <f>Raw_Load_Data!A486</f>
        <v>46214.083333334507</v>
      </c>
      <c r="B486">
        <f>Raw_Load_Data!B486</f>
        <v>2.2000000000000002</v>
      </c>
      <c r="C486">
        <f>MAX(0,IF(AND(HOUR(A486)&gt;=6,HOUR(A486)&lt;=18),Assumptions!$B$8*SIN(PI()*(HOUR(A486)+MINUTE(A486)/60-6)/12),0))</f>
        <v>0</v>
      </c>
      <c r="D486">
        <f t="shared" si="7"/>
        <v>2.2000000000000002</v>
      </c>
      <c r="E486">
        <f>MIN(B486,C486)*Assumptions!$B$2</f>
        <v>0</v>
      </c>
      <c r="F486">
        <f>MAX(C486-B486,0)*Assumptions!$B$2</f>
        <v>0</v>
      </c>
      <c r="G486">
        <f>MAX(B486-C486,0)*Assumptions!$B$2</f>
        <v>1.1000000000000001</v>
      </c>
    </row>
    <row r="487" spans="1:7" x14ac:dyDescent="0.3">
      <c r="A487" s="5">
        <f>Raw_Load_Data!A487</f>
        <v>46214.104166667843</v>
      </c>
      <c r="B487">
        <f>Raw_Load_Data!B487</f>
        <v>3</v>
      </c>
      <c r="C487">
        <f>MAX(0,IF(AND(HOUR(A487)&gt;=6,HOUR(A487)&lt;=18),Assumptions!$B$8*SIN(PI()*(HOUR(A487)+MINUTE(A487)/60-6)/12),0))</f>
        <v>0</v>
      </c>
      <c r="D487">
        <f t="shared" si="7"/>
        <v>3</v>
      </c>
      <c r="E487">
        <f>MIN(B487,C487)*Assumptions!$B$2</f>
        <v>0</v>
      </c>
      <c r="F487">
        <f>MAX(C487-B487,0)*Assumptions!$B$2</f>
        <v>0</v>
      </c>
      <c r="G487">
        <f>MAX(B487-C487,0)*Assumptions!$B$2</f>
        <v>1.5</v>
      </c>
    </row>
    <row r="488" spans="1:7" x14ac:dyDescent="0.3">
      <c r="A488" s="5">
        <f>Raw_Load_Data!A488</f>
        <v>46214.125000001179</v>
      </c>
      <c r="B488">
        <f>Raw_Load_Data!B488</f>
        <v>2</v>
      </c>
      <c r="C488">
        <f>MAX(0,IF(AND(HOUR(A488)&gt;=6,HOUR(A488)&lt;=18),Assumptions!$B$8*SIN(PI()*(HOUR(A488)+MINUTE(A488)/60-6)/12),0))</f>
        <v>0</v>
      </c>
      <c r="D488">
        <f t="shared" si="7"/>
        <v>2</v>
      </c>
      <c r="E488">
        <f>MIN(B488,C488)*Assumptions!$B$2</f>
        <v>0</v>
      </c>
      <c r="F488">
        <f>MAX(C488-B488,0)*Assumptions!$B$2</f>
        <v>0</v>
      </c>
      <c r="G488">
        <f>MAX(B488-C488,0)*Assumptions!$B$2</f>
        <v>1</v>
      </c>
    </row>
    <row r="489" spans="1:7" x14ac:dyDescent="0.3">
      <c r="A489" s="5">
        <f>Raw_Load_Data!A489</f>
        <v>46214.145833334514</v>
      </c>
      <c r="B489">
        <f>Raw_Load_Data!B489</f>
        <v>1.8</v>
      </c>
      <c r="C489">
        <f>MAX(0,IF(AND(HOUR(A489)&gt;=6,HOUR(A489)&lt;=18),Assumptions!$B$8*SIN(PI()*(HOUR(A489)+MINUTE(A489)/60-6)/12),0))</f>
        <v>0</v>
      </c>
      <c r="D489">
        <f t="shared" si="7"/>
        <v>1.8</v>
      </c>
      <c r="E489">
        <f>MIN(B489,C489)*Assumptions!$B$2</f>
        <v>0</v>
      </c>
      <c r="F489">
        <f>MAX(C489-B489,0)*Assumptions!$B$2</f>
        <v>0</v>
      </c>
      <c r="G489">
        <f>MAX(B489-C489,0)*Assumptions!$B$2</f>
        <v>0.9</v>
      </c>
    </row>
    <row r="490" spans="1:7" x14ac:dyDescent="0.3">
      <c r="A490" s="5">
        <f>Raw_Load_Data!A490</f>
        <v>46214.16666666785</v>
      </c>
      <c r="B490">
        <f>Raw_Load_Data!B490</f>
        <v>3</v>
      </c>
      <c r="C490">
        <f>MAX(0,IF(AND(HOUR(A490)&gt;=6,HOUR(A490)&lt;=18),Assumptions!$B$8*SIN(PI()*(HOUR(A490)+MINUTE(A490)/60-6)/12),0))</f>
        <v>0</v>
      </c>
      <c r="D490">
        <f t="shared" si="7"/>
        <v>3</v>
      </c>
      <c r="E490">
        <f>MIN(B490,C490)*Assumptions!$B$2</f>
        <v>0</v>
      </c>
      <c r="F490">
        <f>MAX(C490-B490,0)*Assumptions!$B$2</f>
        <v>0</v>
      </c>
      <c r="G490">
        <f>MAX(B490-C490,0)*Assumptions!$B$2</f>
        <v>1.5</v>
      </c>
    </row>
    <row r="491" spans="1:7" x14ac:dyDescent="0.3">
      <c r="A491" s="5">
        <f>Raw_Load_Data!A491</f>
        <v>46214.187500001186</v>
      </c>
      <c r="B491">
        <f>Raw_Load_Data!B491</f>
        <v>1.8</v>
      </c>
      <c r="C491">
        <f>MAX(0,IF(AND(HOUR(A491)&gt;=6,HOUR(A491)&lt;=18),Assumptions!$B$8*SIN(PI()*(HOUR(A491)+MINUTE(A491)/60-6)/12),0))</f>
        <v>0</v>
      </c>
      <c r="D491">
        <f t="shared" si="7"/>
        <v>1.8</v>
      </c>
      <c r="E491">
        <f>MIN(B491,C491)*Assumptions!$B$2</f>
        <v>0</v>
      </c>
      <c r="F491">
        <f>MAX(C491-B491,0)*Assumptions!$B$2</f>
        <v>0</v>
      </c>
      <c r="G491">
        <f>MAX(B491-C491,0)*Assumptions!$B$2</f>
        <v>0.9</v>
      </c>
    </row>
    <row r="492" spans="1:7" x14ac:dyDescent="0.3">
      <c r="A492" s="5">
        <f>Raw_Load_Data!A492</f>
        <v>46214.208333334522</v>
      </c>
      <c r="B492">
        <f>Raw_Load_Data!B492</f>
        <v>2.8</v>
      </c>
      <c r="C492">
        <f>MAX(0,IF(AND(HOUR(A492)&gt;=6,HOUR(A492)&lt;=18),Assumptions!$B$8*SIN(PI()*(HOUR(A492)+MINUTE(A492)/60-6)/12),0))</f>
        <v>0</v>
      </c>
      <c r="D492">
        <f t="shared" si="7"/>
        <v>2.8</v>
      </c>
      <c r="E492">
        <f>MIN(B492,C492)*Assumptions!$B$2</f>
        <v>0</v>
      </c>
      <c r="F492">
        <f>MAX(C492-B492,0)*Assumptions!$B$2</f>
        <v>0</v>
      </c>
      <c r="G492">
        <f>MAX(B492-C492,0)*Assumptions!$B$2</f>
        <v>1.4</v>
      </c>
    </row>
    <row r="493" spans="1:7" x14ac:dyDescent="0.3">
      <c r="A493" s="5">
        <f>Raw_Load_Data!A493</f>
        <v>46214.229166667857</v>
      </c>
      <c r="B493">
        <f>Raw_Load_Data!B493</f>
        <v>2.4</v>
      </c>
      <c r="C493">
        <f>MAX(0,IF(AND(HOUR(A493)&gt;=6,HOUR(A493)&lt;=18),Assumptions!$B$8*SIN(PI()*(HOUR(A493)+MINUTE(A493)/60-6)/12),0))</f>
        <v>0</v>
      </c>
      <c r="D493">
        <f t="shared" si="7"/>
        <v>2.4</v>
      </c>
      <c r="E493">
        <f>MIN(B493,C493)*Assumptions!$B$2</f>
        <v>0</v>
      </c>
      <c r="F493">
        <f>MAX(C493-B493,0)*Assumptions!$B$2</f>
        <v>0</v>
      </c>
      <c r="G493">
        <f>MAX(B493-C493,0)*Assumptions!$B$2</f>
        <v>1.2</v>
      </c>
    </row>
    <row r="494" spans="1:7" x14ac:dyDescent="0.3">
      <c r="A494" s="5">
        <f>Raw_Load_Data!A494</f>
        <v>46214.250000001193</v>
      </c>
      <c r="B494">
        <f>Raw_Load_Data!B494</f>
        <v>7.6</v>
      </c>
      <c r="C494">
        <f>MAX(0,IF(AND(HOUR(A494)&gt;=6,HOUR(A494)&lt;=18),Assumptions!$B$8*SIN(PI()*(HOUR(A494)+MINUTE(A494)/60-6)/12),0))</f>
        <v>0</v>
      </c>
      <c r="D494">
        <f t="shared" si="7"/>
        <v>7.6</v>
      </c>
      <c r="E494">
        <f>MIN(B494,C494)*Assumptions!$B$2</f>
        <v>0</v>
      </c>
      <c r="F494">
        <f>MAX(C494-B494,0)*Assumptions!$B$2</f>
        <v>0</v>
      </c>
      <c r="G494">
        <f>MAX(B494-C494,0)*Assumptions!$B$2</f>
        <v>3.8</v>
      </c>
    </row>
    <row r="495" spans="1:7" x14ac:dyDescent="0.3">
      <c r="A495" s="5">
        <f>Raw_Load_Data!A495</f>
        <v>46214.270833334529</v>
      </c>
      <c r="B495">
        <f>Raw_Load_Data!B495</f>
        <v>6.1</v>
      </c>
      <c r="C495">
        <f>MAX(0,IF(AND(HOUR(A495)&gt;=6,HOUR(A495)&lt;=18),Assumptions!$B$8*SIN(PI()*(HOUR(A495)+MINUTE(A495)/60-6)/12),0))</f>
        <v>3.9157857666015472</v>
      </c>
      <c r="D495">
        <f t="shared" si="7"/>
        <v>2.1842142333984524</v>
      </c>
      <c r="E495">
        <f>MIN(B495,C495)*Assumptions!$B$2</f>
        <v>1.9578928833007736</v>
      </c>
      <c r="F495">
        <f>MAX(C495-B495,0)*Assumptions!$B$2</f>
        <v>0</v>
      </c>
      <c r="G495">
        <f>MAX(B495-C495,0)*Assumptions!$B$2</f>
        <v>1.0921071166992262</v>
      </c>
    </row>
    <row r="496" spans="1:7" x14ac:dyDescent="0.3">
      <c r="A496" s="5">
        <f>Raw_Load_Data!A496</f>
        <v>46214.291666667865</v>
      </c>
      <c r="B496">
        <f>Raw_Load_Data!B496</f>
        <v>4</v>
      </c>
      <c r="C496">
        <f>MAX(0,IF(AND(HOUR(A496)&gt;=6,HOUR(A496)&lt;=18),Assumptions!$B$8*SIN(PI()*(HOUR(A496)+MINUTE(A496)/60-6)/12),0))</f>
        <v>7.7645713530756222</v>
      </c>
      <c r="D496">
        <f t="shared" si="7"/>
        <v>-3.7645713530756222</v>
      </c>
      <c r="E496">
        <f>MIN(B496,C496)*Assumptions!$B$2</f>
        <v>2</v>
      </c>
      <c r="F496">
        <f>MAX(C496-B496,0)*Assumptions!$B$2</f>
        <v>1.8822856765378111</v>
      </c>
      <c r="G496">
        <f>MAX(B496-C496,0)*Assumptions!$B$2</f>
        <v>0</v>
      </c>
    </row>
    <row r="497" spans="1:7" x14ac:dyDescent="0.3">
      <c r="A497" s="5">
        <f>Raw_Load_Data!A497</f>
        <v>46214.312500001201</v>
      </c>
      <c r="B497">
        <f>Raw_Load_Data!B497</f>
        <v>4.0999999999999996</v>
      </c>
      <c r="C497">
        <f>MAX(0,IF(AND(HOUR(A497)&gt;=6,HOUR(A497)&lt;=18),Assumptions!$B$8*SIN(PI()*(HOUR(A497)+MINUTE(A497)/60-6)/12),0))</f>
        <v>11.480502970952694</v>
      </c>
      <c r="D497">
        <f t="shared" si="7"/>
        <v>-7.3805029709526941</v>
      </c>
      <c r="E497">
        <f>MIN(B497,C497)*Assumptions!$B$2</f>
        <v>2.0499999999999998</v>
      </c>
      <c r="F497">
        <f>MAX(C497-B497,0)*Assumptions!$B$2</f>
        <v>3.6902514854763471</v>
      </c>
      <c r="G497">
        <f>MAX(B497-C497,0)*Assumptions!$B$2</f>
        <v>0</v>
      </c>
    </row>
    <row r="498" spans="1:7" x14ac:dyDescent="0.3">
      <c r="A498" s="5">
        <f>Raw_Load_Data!A498</f>
        <v>46214.333333334536</v>
      </c>
      <c r="B498">
        <f>Raw_Load_Data!B498</f>
        <v>19.8</v>
      </c>
      <c r="C498">
        <f>MAX(0,IF(AND(HOUR(A498)&gt;=6,HOUR(A498)&lt;=18),Assumptions!$B$8*SIN(PI()*(HOUR(A498)+MINUTE(A498)/60-6)/12),0))</f>
        <v>14.999999999999998</v>
      </c>
      <c r="D498">
        <f t="shared" si="7"/>
        <v>4.8000000000000025</v>
      </c>
      <c r="E498">
        <f>MIN(B498,C498)*Assumptions!$B$2</f>
        <v>7.4999999999999991</v>
      </c>
      <c r="F498">
        <f>MAX(C498-B498,0)*Assumptions!$B$2</f>
        <v>0</v>
      </c>
      <c r="G498">
        <f>MAX(B498-C498,0)*Assumptions!$B$2</f>
        <v>2.4000000000000012</v>
      </c>
    </row>
    <row r="499" spans="1:7" x14ac:dyDescent="0.3">
      <c r="A499" s="5">
        <f>Raw_Load_Data!A499</f>
        <v>46214.354166667872</v>
      </c>
      <c r="B499">
        <f>Raw_Load_Data!B499</f>
        <v>16.100000000000001</v>
      </c>
      <c r="C499">
        <f>MAX(0,IF(AND(HOUR(A499)&gt;=6,HOUR(A499)&lt;=18),Assumptions!$B$8*SIN(PI()*(HOUR(A499)+MINUTE(A499)/60-6)/12),0))</f>
        <v>18.262842870261618</v>
      </c>
      <c r="D499">
        <f t="shared" si="7"/>
        <v>-2.1628428702616169</v>
      </c>
      <c r="E499">
        <f>MIN(B499,C499)*Assumptions!$B$2</f>
        <v>8.0500000000000007</v>
      </c>
      <c r="F499">
        <f>MAX(C499-B499,0)*Assumptions!$B$2</f>
        <v>1.0814214351308085</v>
      </c>
      <c r="G499">
        <f>MAX(B499-C499,0)*Assumptions!$B$2</f>
        <v>0</v>
      </c>
    </row>
    <row r="500" spans="1:7" x14ac:dyDescent="0.3">
      <c r="A500" s="5">
        <f>Raw_Load_Data!A500</f>
        <v>46214.375000001208</v>
      </c>
      <c r="B500">
        <f>Raw_Load_Data!B500</f>
        <v>13</v>
      </c>
      <c r="C500">
        <f>MAX(0,IF(AND(HOUR(A500)&gt;=6,HOUR(A500)&lt;=18),Assumptions!$B$8*SIN(PI()*(HOUR(A500)+MINUTE(A500)/60-6)/12),0))</f>
        <v>21.213203435596423</v>
      </c>
      <c r="D500">
        <f t="shared" si="7"/>
        <v>-8.213203435596423</v>
      </c>
      <c r="E500">
        <f>MIN(B500,C500)*Assumptions!$B$2</f>
        <v>6.5</v>
      </c>
      <c r="F500">
        <f>MAX(C500-B500,0)*Assumptions!$B$2</f>
        <v>4.1066017177982115</v>
      </c>
      <c r="G500">
        <f>MAX(B500-C500,0)*Assumptions!$B$2</f>
        <v>0</v>
      </c>
    </row>
    <row r="501" spans="1:7" x14ac:dyDescent="0.3">
      <c r="A501" s="5">
        <f>Raw_Load_Data!A501</f>
        <v>46214.395833334544</v>
      </c>
      <c r="B501">
        <f>Raw_Load_Data!B501</f>
        <v>19.100000000000001</v>
      </c>
      <c r="C501">
        <f>MAX(0,IF(AND(HOUR(A501)&gt;=6,HOUR(A501)&lt;=18),Assumptions!$B$8*SIN(PI()*(HOUR(A501)+MINUTE(A501)/60-6)/12),0))</f>
        <v>23.800600208737055</v>
      </c>
      <c r="D501">
        <f t="shared" si="7"/>
        <v>-4.700600208737054</v>
      </c>
      <c r="E501">
        <f>MIN(B501,C501)*Assumptions!$B$2</f>
        <v>9.5500000000000007</v>
      </c>
      <c r="F501">
        <f>MAX(C501-B501,0)*Assumptions!$B$2</f>
        <v>2.350300104368527</v>
      </c>
      <c r="G501">
        <f>MAX(B501-C501,0)*Assumptions!$B$2</f>
        <v>0</v>
      </c>
    </row>
    <row r="502" spans="1:7" x14ac:dyDescent="0.3">
      <c r="A502" s="5">
        <f>Raw_Load_Data!A502</f>
        <v>46214.416666667879</v>
      </c>
      <c r="B502">
        <f>Raw_Load_Data!B502</f>
        <v>18.399999999999999</v>
      </c>
      <c r="C502">
        <f>MAX(0,IF(AND(HOUR(A502)&gt;=6,HOUR(A502)&lt;=18),Assumptions!$B$8*SIN(PI()*(HOUR(A502)+MINUTE(A502)/60-6)/12),0))</f>
        <v>25.980762113533157</v>
      </c>
      <c r="D502">
        <f t="shared" si="7"/>
        <v>-7.580762113533158</v>
      </c>
      <c r="E502">
        <f>MIN(B502,C502)*Assumptions!$B$2</f>
        <v>9.1999999999999993</v>
      </c>
      <c r="F502">
        <f>MAX(C502-B502,0)*Assumptions!$B$2</f>
        <v>3.790381056766579</v>
      </c>
      <c r="G502">
        <f>MAX(B502-C502,0)*Assumptions!$B$2</f>
        <v>0</v>
      </c>
    </row>
    <row r="503" spans="1:7" x14ac:dyDescent="0.3">
      <c r="A503" s="5">
        <f>Raw_Load_Data!A503</f>
        <v>46214.437500001215</v>
      </c>
      <c r="B503">
        <f>Raw_Load_Data!B503</f>
        <v>17.399999999999999</v>
      </c>
      <c r="C503">
        <f>MAX(0,IF(AND(HOUR(A503)&gt;=6,HOUR(A503)&lt;=18),Assumptions!$B$8*SIN(PI()*(HOUR(A503)+MINUTE(A503)/60-6)/12),0))</f>
        <v>27.716385975338603</v>
      </c>
      <c r="D503">
        <f t="shared" si="7"/>
        <v>-10.316385975338605</v>
      </c>
      <c r="E503">
        <f>MIN(B503,C503)*Assumptions!$B$2</f>
        <v>8.6999999999999993</v>
      </c>
      <c r="F503">
        <f>MAX(C503-B503,0)*Assumptions!$B$2</f>
        <v>5.1581929876693025</v>
      </c>
      <c r="G503">
        <f>MAX(B503-C503,0)*Assumptions!$B$2</f>
        <v>0</v>
      </c>
    </row>
    <row r="504" spans="1:7" x14ac:dyDescent="0.3">
      <c r="A504" s="5">
        <f>Raw_Load_Data!A504</f>
        <v>46214.458333334551</v>
      </c>
      <c r="B504">
        <f>Raw_Load_Data!B504</f>
        <v>20</v>
      </c>
      <c r="C504">
        <f>MAX(0,IF(AND(HOUR(A504)&gt;=6,HOUR(A504)&lt;=18),Assumptions!$B$8*SIN(PI()*(HOUR(A504)+MINUTE(A504)/60-6)/12),0))</f>
        <v>28.97777478867205</v>
      </c>
      <c r="D504">
        <f t="shared" si="7"/>
        <v>-8.9777747886720505</v>
      </c>
      <c r="E504">
        <f>MIN(B504,C504)*Assumptions!$B$2</f>
        <v>10</v>
      </c>
      <c r="F504">
        <f>MAX(C504-B504,0)*Assumptions!$B$2</f>
        <v>4.4888873943360252</v>
      </c>
      <c r="G504">
        <f>MAX(B504-C504,0)*Assumptions!$B$2</f>
        <v>0</v>
      </c>
    </row>
    <row r="505" spans="1:7" x14ac:dyDescent="0.3">
      <c r="A505" s="5">
        <f>Raw_Load_Data!A505</f>
        <v>46214.479166667887</v>
      </c>
      <c r="B505">
        <f>Raw_Load_Data!B505</f>
        <v>19.899999999999999</v>
      </c>
      <c r="C505">
        <f>MAX(0,IF(AND(HOUR(A505)&gt;=6,HOUR(A505)&lt;=18),Assumptions!$B$8*SIN(PI()*(HOUR(A505)+MINUTE(A505)/60-6)/12),0))</f>
        <v>29.74334584121431</v>
      </c>
      <c r="D505">
        <f t="shared" si="7"/>
        <v>-9.8433458412143118</v>
      </c>
      <c r="E505">
        <f>MIN(B505,C505)*Assumptions!$B$2</f>
        <v>9.9499999999999993</v>
      </c>
      <c r="F505">
        <f>MAX(C505-B505,0)*Assumptions!$B$2</f>
        <v>4.9216729206071559</v>
      </c>
      <c r="G505">
        <f>MAX(B505-C505,0)*Assumptions!$B$2</f>
        <v>0</v>
      </c>
    </row>
    <row r="506" spans="1:7" x14ac:dyDescent="0.3">
      <c r="A506" s="5">
        <f>Raw_Load_Data!A506</f>
        <v>46214.500000001222</v>
      </c>
      <c r="B506">
        <f>Raw_Load_Data!B506</f>
        <v>27.3</v>
      </c>
      <c r="C506">
        <f>MAX(0,IF(AND(HOUR(A506)&gt;=6,HOUR(A506)&lt;=18),Assumptions!$B$8*SIN(PI()*(HOUR(A506)+MINUTE(A506)/60-6)/12),0))</f>
        <v>30</v>
      </c>
      <c r="D506">
        <f t="shared" si="7"/>
        <v>-2.6999999999999993</v>
      </c>
      <c r="E506">
        <f>MIN(B506,C506)*Assumptions!$B$2</f>
        <v>13.65</v>
      </c>
      <c r="F506">
        <f>MAX(C506-B506,0)*Assumptions!$B$2</f>
        <v>1.3499999999999996</v>
      </c>
      <c r="G506">
        <f>MAX(B506-C506,0)*Assumptions!$B$2</f>
        <v>0</v>
      </c>
    </row>
    <row r="507" spans="1:7" x14ac:dyDescent="0.3">
      <c r="A507" s="5">
        <f>Raw_Load_Data!A507</f>
        <v>46214.520833334558</v>
      </c>
      <c r="B507">
        <f>Raw_Load_Data!B507</f>
        <v>22</v>
      </c>
      <c r="C507">
        <f>MAX(0,IF(AND(HOUR(A507)&gt;=6,HOUR(A507)&lt;=18),Assumptions!$B$8*SIN(PI()*(HOUR(A507)+MINUTE(A507)/60-6)/12),0))</f>
        <v>29.74334584121431</v>
      </c>
      <c r="D507">
        <f t="shared" si="7"/>
        <v>-7.7433458412143104</v>
      </c>
      <c r="E507">
        <f>MIN(B507,C507)*Assumptions!$B$2</f>
        <v>11</v>
      </c>
      <c r="F507">
        <f>MAX(C507-B507,0)*Assumptions!$B$2</f>
        <v>3.8716729206071552</v>
      </c>
      <c r="G507">
        <f>MAX(B507-C507,0)*Assumptions!$B$2</f>
        <v>0</v>
      </c>
    </row>
    <row r="508" spans="1:7" x14ac:dyDescent="0.3">
      <c r="A508" s="5">
        <f>Raw_Load_Data!A508</f>
        <v>46214.541666667894</v>
      </c>
      <c r="B508">
        <f>Raw_Load_Data!B508</f>
        <v>22.1</v>
      </c>
      <c r="C508">
        <f>MAX(0,IF(AND(HOUR(A508)&gt;=6,HOUR(A508)&lt;=18),Assumptions!$B$8*SIN(PI()*(HOUR(A508)+MINUTE(A508)/60-6)/12),0))</f>
        <v>28.97777478867205</v>
      </c>
      <c r="D508">
        <f t="shared" si="7"/>
        <v>-6.8777747886720491</v>
      </c>
      <c r="E508">
        <f>MIN(B508,C508)*Assumptions!$B$2</f>
        <v>11.05</v>
      </c>
      <c r="F508">
        <f>MAX(C508-B508,0)*Assumptions!$B$2</f>
        <v>3.4388873943360245</v>
      </c>
      <c r="G508">
        <f>MAX(B508-C508,0)*Assumptions!$B$2</f>
        <v>0</v>
      </c>
    </row>
    <row r="509" spans="1:7" x14ac:dyDescent="0.3">
      <c r="A509" s="5">
        <f>Raw_Load_Data!A509</f>
        <v>46214.56250000123</v>
      </c>
      <c r="B509">
        <f>Raw_Load_Data!B509</f>
        <v>20.3</v>
      </c>
      <c r="C509">
        <f>MAX(0,IF(AND(HOUR(A509)&gt;=6,HOUR(A509)&lt;=18),Assumptions!$B$8*SIN(PI()*(HOUR(A509)+MINUTE(A509)/60-6)/12),0))</f>
        <v>27.716385975338607</v>
      </c>
      <c r="D509">
        <f t="shared" si="7"/>
        <v>-7.4163859753386063</v>
      </c>
      <c r="E509">
        <f>MIN(B509,C509)*Assumptions!$B$2</f>
        <v>10.15</v>
      </c>
      <c r="F509">
        <f>MAX(C509-B509,0)*Assumptions!$B$2</f>
        <v>3.7081929876693032</v>
      </c>
      <c r="G509">
        <f>MAX(B509-C509,0)*Assumptions!$B$2</f>
        <v>0</v>
      </c>
    </row>
    <row r="510" spans="1:7" x14ac:dyDescent="0.3">
      <c r="A510" s="5">
        <f>Raw_Load_Data!A510</f>
        <v>46214.583333334565</v>
      </c>
      <c r="B510">
        <f>Raw_Load_Data!B510</f>
        <v>28.8</v>
      </c>
      <c r="C510">
        <f>MAX(0,IF(AND(HOUR(A510)&gt;=6,HOUR(A510)&lt;=18),Assumptions!$B$8*SIN(PI()*(HOUR(A510)+MINUTE(A510)/60-6)/12),0))</f>
        <v>25.98076211353316</v>
      </c>
      <c r="D510">
        <f t="shared" si="7"/>
        <v>2.8192378864668406</v>
      </c>
      <c r="E510">
        <f>MIN(B510,C510)*Assumptions!$B$2</f>
        <v>12.99038105676658</v>
      </c>
      <c r="F510">
        <f>MAX(C510-B510,0)*Assumptions!$B$2</f>
        <v>0</v>
      </c>
      <c r="G510">
        <f>MAX(B510-C510,0)*Assumptions!$B$2</f>
        <v>1.4096189432334203</v>
      </c>
    </row>
    <row r="511" spans="1:7" x14ac:dyDescent="0.3">
      <c r="A511" s="5">
        <f>Raw_Load_Data!A511</f>
        <v>46214.604166667901</v>
      </c>
      <c r="B511">
        <f>Raw_Load_Data!B511</f>
        <v>34.1</v>
      </c>
      <c r="C511">
        <f>MAX(0,IF(AND(HOUR(A511)&gt;=6,HOUR(A511)&lt;=18),Assumptions!$B$8*SIN(PI()*(HOUR(A511)+MINUTE(A511)/60-6)/12),0))</f>
        <v>23.800600208737055</v>
      </c>
      <c r="D511">
        <f t="shared" si="7"/>
        <v>10.299399791262946</v>
      </c>
      <c r="E511">
        <f>MIN(B511,C511)*Assumptions!$B$2</f>
        <v>11.900300104368528</v>
      </c>
      <c r="F511">
        <f>MAX(C511-B511,0)*Assumptions!$B$2</f>
        <v>0</v>
      </c>
      <c r="G511">
        <f>MAX(B511-C511,0)*Assumptions!$B$2</f>
        <v>5.149699895631473</v>
      </c>
    </row>
    <row r="512" spans="1:7" x14ac:dyDescent="0.3">
      <c r="A512" s="5">
        <f>Raw_Load_Data!A512</f>
        <v>46214.625000001237</v>
      </c>
      <c r="B512">
        <f>Raw_Load_Data!B512</f>
        <v>30.6</v>
      </c>
      <c r="C512">
        <f>MAX(0,IF(AND(HOUR(A512)&gt;=6,HOUR(A512)&lt;=18),Assumptions!$B$8*SIN(PI()*(HOUR(A512)+MINUTE(A512)/60-6)/12),0))</f>
        <v>21.213203435596427</v>
      </c>
      <c r="D512">
        <f t="shared" si="7"/>
        <v>9.3867965644035749</v>
      </c>
      <c r="E512">
        <f>MIN(B512,C512)*Assumptions!$B$2</f>
        <v>10.606601717798213</v>
      </c>
      <c r="F512">
        <f>MAX(C512-B512,0)*Assumptions!$B$2</f>
        <v>0</v>
      </c>
      <c r="G512">
        <f>MAX(B512-C512,0)*Assumptions!$B$2</f>
        <v>4.6933982822017875</v>
      </c>
    </row>
    <row r="513" spans="1:7" x14ac:dyDescent="0.3">
      <c r="A513" s="5">
        <f>Raw_Load_Data!A513</f>
        <v>46214.645833334573</v>
      </c>
      <c r="B513">
        <f>Raw_Load_Data!B513</f>
        <v>25</v>
      </c>
      <c r="C513">
        <f>MAX(0,IF(AND(HOUR(A513)&gt;=6,HOUR(A513)&lt;=18),Assumptions!$B$8*SIN(PI()*(HOUR(A513)+MINUTE(A513)/60-6)/12),0))</f>
        <v>18.262842870261625</v>
      </c>
      <c r="D513">
        <f t="shared" si="7"/>
        <v>6.7371571297383746</v>
      </c>
      <c r="E513">
        <f>MIN(B513,C513)*Assumptions!$B$2</f>
        <v>9.1314214351308127</v>
      </c>
      <c r="F513">
        <f>MAX(C513-B513,0)*Assumptions!$B$2</f>
        <v>0</v>
      </c>
      <c r="G513">
        <f>MAX(B513-C513,0)*Assumptions!$B$2</f>
        <v>3.3685785648691873</v>
      </c>
    </row>
    <row r="514" spans="1:7" x14ac:dyDescent="0.3">
      <c r="A514" s="5">
        <f>Raw_Load_Data!A514</f>
        <v>46214.666666667908</v>
      </c>
      <c r="B514">
        <f>Raw_Load_Data!B514</f>
        <v>17.8</v>
      </c>
      <c r="C514">
        <f>MAX(0,IF(AND(HOUR(A514)&gt;=6,HOUR(A514)&lt;=18),Assumptions!$B$8*SIN(PI()*(HOUR(A514)+MINUTE(A514)/60-6)/12),0))</f>
        <v>14.999999999999998</v>
      </c>
      <c r="D514">
        <f t="shared" si="7"/>
        <v>2.8000000000000025</v>
      </c>
      <c r="E514">
        <f>MIN(B514,C514)*Assumptions!$B$2</f>
        <v>7.4999999999999991</v>
      </c>
      <c r="F514">
        <f>MAX(C514-B514,0)*Assumptions!$B$2</f>
        <v>0</v>
      </c>
      <c r="G514">
        <f>MAX(B514-C514,0)*Assumptions!$B$2</f>
        <v>1.4000000000000012</v>
      </c>
    </row>
    <row r="515" spans="1:7" x14ac:dyDescent="0.3">
      <c r="A515" s="5">
        <f>Raw_Load_Data!A515</f>
        <v>46214.687500001244</v>
      </c>
      <c r="B515">
        <f>Raw_Load_Data!B515</f>
        <v>13.3</v>
      </c>
      <c r="C515">
        <f>MAX(0,IF(AND(HOUR(A515)&gt;=6,HOUR(A515)&lt;=18),Assumptions!$B$8*SIN(PI()*(HOUR(A515)+MINUTE(A515)/60-6)/12),0))</f>
        <v>11.480502970952697</v>
      </c>
      <c r="D515">
        <f t="shared" ref="D515:D578" si="8">B515-C515</f>
        <v>1.8194970290473034</v>
      </c>
      <c r="E515">
        <f>MIN(B515,C515)*Assumptions!$B$2</f>
        <v>5.7402514854763487</v>
      </c>
      <c r="F515">
        <f>MAX(C515-B515,0)*Assumptions!$B$2</f>
        <v>0</v>
      </c>
      <c r="G515">
        <f>MAX(B515-C515,0)*Assumptions!$B$2</f>
        <v>0.90974851452365169</v>
      </c>
    </row>
    <row r="516" spans="1:7" x14ac:dyDescent="0.3">
      <c r="A516" s="5">
        <f>Raw_Load_Data!A516</f>
        <v>46214.70833333458</v>
      </c>
      <c r="B516">
        <f>Raw_Load_Data!B516</f>
        <v>18.399999999999999</v>
      </c>
      <c r="C516">
        <f>MAX(0,IF(AND(HOUR(A516)&gt;=6,HOUR(A516)&lt;=18),Assumptions!$B$8*SIN(PI()*(HOUR(A516)+MINUTE(A516)/60-6)/12),0))</f>
        <v>7.7645713530756302</v>
      </c>
      <c r="D516">
        <f t="shared" si="8"/>
        <v>10.635428646924368</v>
      </c>
      <c r="E516">
        <f>MIN(B516,C516)*Assumptions!$B$2</f>
        <v>3.8822856765378151</v>
      </c>
      <c r="F516">
        <f>MAX(C516-B516,0)*Assumptions!$B$2</f>
        <v>0</v>
      </c>
      <c r="G516">
        <f>MAX(B516-C516,0)*Assumptions!$B$2</f>
        <v>5.3177143234621838</v>
      </c>
    </row>
    <row r="517" spans="1:7" x14ac:dyDescent="0.3">
      <c r="A517" s="5">
        <f>Raw_Load_Data!A517</f>
        <v>46214.729166667916</v>
      </c>
      <c r="B517">
        <f>Raw_Load_Data!B517</f>
        <v>13</v>
      </c>
      <c r="C517">
        <f>MAX(0,IF(AND(HOUR(A517)&gt;=6,HOUR(A517)&lt;=18),Assumptions!$B$8*SIN(PI()*(HOUR(A517)+MINUTE(A517)/60-6)/12),0))</f>
        <v>3.9157857666015596</v>
      </c>
      <c r="D517">
        <f t="shared" si="8"/>
        <v>9.0842142333984413</v>
      </c>
      <c r="E517">
        <f>MIN(B517,C517)*Assumptions!$B$2</f>
        <v>1.9578928833007798</v>
      </c>
      <c r="F517">
        <f>MAX(C517-B517,0)*Assumptions!$B$2</f>
        <v>0</v>
      </c>
      <c r="G517">
        <f>MAX(B517-C517,0)*Assumptions!$B$2</f>
        <v>4.5421071166992206</v>
      </c>
    </row>
    <row r="518" spans="1:7" x14ac:dyDescent="0.3">
      <c r="A518" s="5">
        <f>Raw_Load_Data!A518</f>
        <v>46214.750000001251</v>
      </c>
      <c r="B518">
        <f>Raw_Load_Data!B518</f>
        <v>15.6</v>
      </c>
      <c r="C518">
        <f>MAX(0,IF(AND(HOUR(A518)&gt;=6,HOUR(A518)&lt;=18),Assumptions!$B$8*SIN(PI()*(HOUR(A518)+MINUTE(A518)/60-6)/12),0))</f>
        <v>3.67544536472586E-15</v>
      </c>
      <c r="D518">
        <f t="shared" si="8"/>
        <v>15.599999999999996</v>
      </c>
      <c r="E518">
        <f>MIN(B518,C518)*Assumptions!$B$2</f>
        <v>1.83772268236293E-15</v>
      </c>
      <c r="F518">
        <f>MAX(C518-B518,0)*Assumptions!$B$2</f>
        <v>0</v>
      </c>
      <c r="G518">
        <f>MAX(B518-C518,0)*Assumptions!$B$2</f>
        <v>7.799999999999998</v>
      </c>
    </row>
    <row r="519" spans="1:7" x14ac:dyDescent="0.3">
      <c r="A519" s="5">
        <f>Raw_Load_Data!A519</f>
        <v>46214.770833334587</v>
      </c>
      <c r="B519">
        <f>Raw_Load_Data!B519</f>
        <v>17.5</v>
      </c>
      <c r="C519">
        <f>MAX(0,IF(AND(HOUR(A519)&gt;=6,HOUR(A519)&lt;=18),Assumptions!$B$8*SIN(PI()*(HOUR(A519)+MINUTE(A519)/60-6)/12),0))</f>
        <v>0</v>
      </c>
      <c r="D519">
        <f t="shared" si="8"/>
        <v>17.5</v>
      </c>
      <c r="E519">
        <f>MIN(B519,C519)*Assumptions!$B$2</f>
        <v>0</v>
      </c>
      <c r="F519">
        <f>MAX(C519-B519,0)*Assumptions!$B$2</f>
        <v>0</v>
      </c>
      <c r="G519">
        <f>MAX(B519-C519,0)*Assumptions!$B$2</f>
        <v>8.75</v>
      </c>
    </row>
    <row r="520" spans="1:7" x14ac:dyDescent="0.3">
      <c r="A520" s="5">
        <f>Raw_Load_Data!A520</f>
        <v>46214.791666667923</v>
      </c>
      <c r="B520">
        <f>Raw_Load_Data!B520</f>
        <v>4.5999999999999996</v>
      </c>
      <c r="C520">
        <f>MAX(0,IF(AND(HOUR(A520)&gt;=6,HOUR(A520)&lt;=18),Assumptions!$B$8*SIN(PI()*(HOUR(A520)+MINUTE(A520)/60-6)/12),0))</f>
        <v>0</v>
      </c>
      <c r="D520">
        <f t="shared" si="8"/>
        <v>4.5999999999999996</v>
      </c>
      <c r="E520">
        <f>MIN(B520,C520)*Assumptions!$B$2</f>
        <v>0</v>
      </c>
      <c r="F520">
        <f>MAX(C520-B520,0)*Assumptions!$B$2</f>
        <v>0</v>
      </c>
      <c r="G520">
        <f>MAX(B520-C520,0)*Assumptions!$B$2</f>
        <v>2.2999999999999998</v>
      </c>
    </row>
    <row r="521" spans="1:7" x14ac:dyDescent="0.3">
      <c r="A521" s="5">
        <f>Raw_Load_Data!A521</f>
        <v>46214.812500001259</v>
      </c>
      <c r="B521">
        <f>Raw_Load_Data!B521</f>
        <v>4.3</v>
      </c>
      <c r="C521">
        <f>MAX(0,IF(AND(HOUR(A521)&gt;=6,HOUR(A521)&lt;=18),Assumptions!$B$8*SIN(PI()*(HOUR(A521)+MINUTE(A521)/60-6)/12),0))</f>
        <v>0</v>
      </c>
      <c r="D521">
        <f t="shared" si="8"/>
        <v>4.3</v>
      </c>
      <c r="E521">
        <f>MIN(B521,C521)*Assumptions!$B$2</f>
        <v>0</v>
      </c>
      <c r="F521">
        <f>MAX(C521-B521,0)*Assumptions!$B$2</f>
        <v>0</v>
      </c>
      <c r="G521">
        <f>MAX(B521-C521,0)*Assumptions!$B$2</f>
        <v>2.15</v>
      </c>
    </row>
    <row r="522" spans="1:7" x14ac:dyDescent="0.3">
      <c r="A522" s="5">
        <f>Raw_Load_Data!A522</f>
        <v>46214.833333334594</v>
      </c>
      <c r="B522">
        <f>Raw_Load_Data!B522</f>
        <v>5.6</v>
      </c>
      <c r="C522">
        <f>MAX(0,IF(AND(HOUR(A522)&gt;=6,HOUR(A522)&lt;=18),Assumptions!$B$8*SIN(PI()*(HOUR(A522)+MINUTE(A522)/60-6)/12),0))</f>
        <v>0</v>
      </c>
      <c r="D522">
        <f t="shared" si="8"/>
        <v>5.6</v>
      </c>
      <c r="E522">
        <f>MIN(B522,C522)*Assumptions!$B$2</f>
        <v>0</v>
      </c>
      <c r="F522">
        <f>MAX(C522-B522,0)*Assumptions!$B$2</f>
        <v>0</v>
      </c>
      <c r="G522">
        <f>MAX(B522-C522,0)*Assumptions!$B$2</f>
        <v>2.8</v>
      </c>
    </row>
    <row r="523" spans="1:7" x14ac:dyDescent="0.3">
      <c r="A523" s="5">
        <f>Raw_Load_Data!A523</f>
        <v>46214.85416666793</v>
      </c>
      <c r="B523">
        <f>Raw_Load_Data!B523</f>
        <v>8</v>
      </c>
      <c r="C523">
        <f>MAX(0,IF(AND(HOUR(A523)&gt;=6,HOUR(A523)&lt;=18),Assumptions!$B$8*SIN(PI()*(HOUR(A523)+MINUTE(A523)/60-6)/12),0))</f>
        <v>0</v>
      </c>
      <c r="D523">
        <f t="shared" si="8"/>
        <v>8</v>
      </c>
      <c r="E523">
        <f>MIN(B523,C523)*Assumptions!$B$2</f>
        <v>0</v>
      </c>
      <c r="F523">
        <f>MAX(C523-B523,0)*Assumptions!$B$2</f>
        <v>0</v>
      </c>
      <c r="G523">
        <f>MAX(B523-C523,0)*Assumptions!$B$2</f>
        <v>4</v>
      </c>
    </row>
    <row r="524" spans="1:7" x14ac:dyDescent="0.3">
      <c r="A524" s="5">
        <f>Raw_Load_Data!A524</f>
        <v>46214.875000001266</v>
      </c>
      <c r="B524">
        <f>Raw_Load_Data!B524</f>
        <v>5.3</v>
      </c>
      <c r="C524">
        <f>MAX(0,IF(AND(HOUR(A524)&gt;=6,HOUR(A524)&lt;=18),Assumptions!$B$8*SIN(PI()*(HOUR(A524)+MINUTE(A524)/60-6)/12),0))</f>
        <v>0</v>
      </c>
      <c r="D524">
        <f t="shared" si="8"/>
        <v>5.3</v>
      </c>
      <c r="E524">
        <f>MIN(B524,C524)*Assumptions!$B$2</f>
        <v>0</v>
      </c>
      <c r="F524">
        <f>MAX(C524-B524,0)*Assumptions!$B$2</f>
        <v>0</v>
      </c>
      <c r="G524">
        <f>MAX(B524-C524,0)*Assumptions!$B$2</f>
        <v>2.65</v>
      </c>
    </row>
    <row r="525" spans="1:7" x14ac:dyDescent="0.3">
      <c r="A525" s="5">
        <f>Raw_Load_Data!A525</f>
        <v>46214.895833334602</v>
      </c>
      <c r="B525">
        <f>Raw_Load_Data!B525</f>
        <v>7.4</v>
      </c>
      <c r="C525">
        <f>MAX(0,IF(AND(HOUR(A525)&gt;=6,HOUR(A525)&lt;=18),Assumptions!$B$8*SIN(PI()*(HOUR(A525)+MINUTE(A525)/60-6)/12),0))</f>
        <v>0</v>
      </c>
      <c r="D525">
        <f t="shared" si="8"/>
        <v>7.4</v>
      </c>
      <c r="E525">
        <f>MIN(B525,C525)*Assumptions!$B$2</f>
        <v>0</v>
      </c>
      <c r="F525">
        <f>MAX(C525-B525,0)*Assumptions!$B$2</f>
        <v>0</v>
      </c>
      <c r="G525">
        <f>MAX(B525-C525,0)*Assumptions!$B$2</f>
        <v>3.7</v>
      </c>
    </row>
    <row r="526" spans="1:7" x14ac:dyDescent="0.3">
      <c r="A526" s="5">
        <f>Raw_Load_Data!A526</f>
        <v>46214.916666667938</v>
      </c>
      <c r="B526">
        <f>Raw_Load_Data!B526</f>
        <v>5.9</v>
      </c>
      <c r="C526">
        <f>MAX(0,IF(AND(HOUR(A526)&gt;=6,HOUR(A526)&lt;=18),Assumptions!$B$8*SIN(PI()*(HOUR(A526)+MINUTE(A526)/60-6)/12),0))</f>
        <v>0</v>
      </c>
      <c r="D526">
        <f t="shared" si="8"/>
        <v>5.9</v>
      </c>
      <c r="E526">
        <f>MIN(B526,C526)*Assumptions!$B$2</f>
        <v>0</v>
      </c>
      <c r="F526">
        <f>MAX(C526-B526,0)*Assumptions!$B$2</f>
        <v>0</v>
      </c>
      <c r="G526">
        <f>MAX(B526-C526,0)*Assumptions!$B$2</f>
        <v>2.95</v>
      </c>
    </row>
    <row r="527" spans="1:7" x14ac:dyDescent="0.3">
      <c r="A527" s="5">
        <f>Raw_Load_Data!A527</f>
        <v>46214.937500001273</v>
      </c>
      <c r="B527">
        <f>Raw_Load_Data!B527</f>
        <v>3.2</v>
      </c>
      <c r="C527">
        <f>MAX(0,IF(AND(HOUR(A527)&gt;=6,HOUR(A527)&lt;=18),Assumptions!$B$8*SIN(PI()*(HOUR(A527)+MINUTE(A527)/60-6)/12),0))</f>
        <v>0</v>
      </c>
      <c r="D527">
        <f t="shared" si="8"/>
        <v>3.2</v>
      </c>
      <c r="E527">
        <f>MIN(B527,C527)*Assumptions!$B$2</f>
        <v>0</v>
      </c>
      <c r="F527">
        <f>MAX(C527-B527,0)*Assumptions!$B$2</f>
        <v>0</v>
      </c>
      <c r="G527">
        <f>MAX(B527-C527,0)*Assumptions!$B$2</f>
        <v>1.6</v>
      </c>
    </row>
    <row r="528" spans="1:7" x14ac:dyDescent="0.3">
      <c r="A528" s="5">
        <f>Raw_Load_Data!A528</f>
        <v>46214.958333334609</v>
      </c>
      <c r="B528">
        <f>Raw_Load_Data!B528</f>
        <v>3.9</v>
      </c>
      <c r="C528">
        <f>MAX(0,IF(AND(HOUR(A528)&gt;=6,HOUR(A528)&lt;=18),Assumptions!$B$8*SIN(PI()*(HOUR(A528)+MINUTE(A528)/60-6)/12),0))</f>
        <v>0</v>
      </c>
      <c r="D528">
        <f t="shared" si="8"/>
        <v>3.9</v>
      </c>
      <c r="E528">
        <f>MIN(B528,C528)*Assumptions!$B$2</f>
        <v>0</v>
      </c>
      <c r="F528">
        <f>MAX(C528-B528,0)*Assumptions!$B$2</f>
        <v>0</v>
      </c>
      <c r="G528">
        <f>MAX(B528-C528,0)*Assumptions!$B$2</f>
        <v>1.95</v>
      </c>
    </row>
    <row r="529" spans="1:7" x14ac:dyDescent="0.3">
      <c r="A529" s="5">
        <f>Raw_Load_Data!A529</f>
        <v>46214.979166667945</v>
      </c>
      <c r="B529">
        <f>Raw_Load_Data!B529</f>
        <v>6.8</v>
      </c>
      <c r="C529">
        <f>MAX(0,IF(AND(HOUR(A529)&gt;=6,HOUR(A529)&lt;=18),Assumptions!$B$8*SIN(PI()*(HOUR(A529)+MINUTE(A529)/60-6)/12),0))</f>
        <v>0</v>
      </c>
      <c r="D529">
        <f t="shared" si="8"/>
        <v>6.8</v>
      </c>
      <c r="E529">
        <f>MIN(B529,C529)*Assumptions!$B$2</f>
        <v>0</v>
      </c>
      <c r="F529">
        <f>MAX(C529-B529,0)*Assumptions!$B$2</f>
        <v>0</v>
      </c>
      <c r="G529">
        <f>MAX(B529-C529,0)*Assumptions!$B$2</f>
        <v>3.4</v>
      </c>
    </row>
    <row r="530" spans="1:7" x14ac:dyDescent="0.3">
      <c r="A530" s="5">
        <f>Raw_Load_Data!A530</f>
        <v>46215.000000001281</v>
      </c>
      <c r="B530">
        <f>Raw_Load_Data!B530</f>
        <v>2.4</v>
      </c>
      <c r="C530">
        <f>MAX(0,IF(AND(HOUR(A530)&gt;=6,HOUR(A530)&lt;=18),Assumptions!$B$8*SIN(PI()*(HOUR(A530)+MINUTE(A530)/60-6)/12),0))</f>
        <v>0</v>
      </c>
      <c r="D530">
        <f t="shared" si="8"/>
        <v>2.4</v>
      </c>
      <c r="E530">
        <f>MIN(B530,C530)*Assumptions!$B$2</f>
        <v>0</v>
      </c>
      <c r="F530">
        <f>MAX(C530-B530,0)*Assumptions!$B$2</f>
        <v>0</v>
      </c>
      <c r="G530">
        <f>MAX(B530-C530,0)*Assumptions!$B$2</f>
        <v>1.2</v>
      </c>
    </row>
    <row r="531" spans="1:7" x14ac:dyDescent="0.3">
      <c r="A531" s="5">
        <f>Raw_Load_Data!A531</f>
        <v>46215.020833334616</v>
      </c>
      <c r="B531">
        <f>Raw_Load_Data!B531</f>
        <v>1.8</v>
      </c>
      <c r="C531">
        <f>MAX(0,IF(AND(HOUR(A531)&gt;=6,HOUR(A531)&lt;=18),Assumptions!$B$8*SIN(PI()*(HOUR(A531)+MINUTE(A531)/60-6)/12),0))</f>
        <v>0</v>
      </c>
      <c r="D531">
        <f t="shared" si="8"/>
        <v>1.8</v>
      </c>
      <c r="E531">
        <f>MIN(B531,C531)*Assumptions!$B$2</f>
        <v>0</v>
      </c>
      <c r="F531">
        <f>MAX(C531-B531,0)*Assumptions!$B$2</f>
        <v>0</v>
      </c>
      <c r="G531">
        <f>MAX(B531-C531,0)*Assumptions!$B$2</f>
        <v>0.9</v>
      </c>
    </row>
    <row r="532" spans="1:7" x14ac:dyDescent="0.3">
      <c r="A532" s="5">
        <f>Raw_Load_Data!A532</f>
        <v>46215.041666667952</v>
      </c>
      <c r="B532">
        <f>Raw_Load_Data!B532</f>
        <v>2.2000000000000002</v>
      </c>
      <c r="C532">
        <f>MAX(0,IF(AND(HOUR(A532)&gt;=6,HOUR(A532)&lt;=18),Assumptions!$B$8*SIN(PI()*(HOUR(A532)+MINUTE(A532)/60-6)/12),0))</f>
        <v>0</v>
      </c>
      <c r="D532">
        <f t="shared" si="8"/>
        <v>2.2000000000000002</v>
      </c>
      <c r="E532">
        <f>MIN(B532,C532)*Assumptions!$B$2</f>
        <v>0</v>
      </c>
      <c r="F532">
        <f>MAX(C532-B532,0)*Assumptions!$B$2</f>
        <v>0</v>
      </c>
      <c r="G532">
        <f>MAX(B532-C532,0)*Assumptions!$B$2</f>
        <v>1.1000000000000001</v>
      </c>
    </row>
    <row r="533" spans="1:7" x14ac:dyDescent="0.3">
      <c r="A533" s="5">
        <f>Raw_Load_Data!A533</f>
        <v>46215.062500001288</v>
      </c>
      <c r="B533">
        <f>Raw_Load_Data!B533</f>
        <v>2.1</v>
      </c>
      <c r="C533">
        <f>MAX(0,IF(AND(HOUR(A533)&gt;=6,HOUR(A533)&lt;=18),Assumptions!$B$8*SIN(PI()*(HOUR(A533)+MINUTE(A533)/60-6)/12),0))</f>
        <v>0</v>
      </c>
      <c r="D533">
        <f t="shared" si="8"/>
        <v>2.1</v>
      </c>
      <c r="E533">
        <f>MIN(B533,C533)*Assumptions!$B$2</f>
        <v>0</v>
      </c>
      <c r="F533">
        <f>MAX(C533-B533,0)*Assumptions!$B$2</f>
        <v>0</v>
      </c>
      <c r="G533">
        <f>MAX(B533-C533,0)*Assumptions!$B$2</f>
        <v>1.05</v>
      </c>
    </row>
    <row r="534" spans="1:7" x14ac:dyDescent="0.3">
      <c r="A534" s="5">
        <f>Raw_Load_Data!A534</f>
        <v>46215.083333334624</v>
      </c>
      <c r="B534">
        <f>Raw_Load_Data!B534</f>
        <v>1.8</v>
      </c>
      <c r="C534">
        <f>MAX(0,IF(AND(HOUR(A534)&gt;=6,HOUR(A534)&lt;=18),Assumptions!$B$8*SIN(PI()*(HOUR(A534)+MINUTE(A534)/60-6)/12),0))</f>
        <v>0</v>
      </c>
      <c r="D534">
        <f t="shared" si="8"/>
        <v>1.8</v>
      </c>
      <c r="E534">
        <f>MIN(B534,C534)*Assumptions!$B$2</f>
        <v>0</v>
      </c>
      <c r="F534">
        <f>MAX(C534-B534,0)*Assumptions!$B$2</f>
        <v>0</v>
      </c>
      <c r="G534">
        <f>MAX(B534-C534,0)*Assumptions!$B$2</f>
        <v>0.9</v>
      </c>
    </row>
    <row r="535" spans="1:7" x14ac:dyDescent="0.3">
      <c r="A535" s="5">
        <f>Raw_Load_Data!A535</f>
        <v>46215.104166667959</v>
      </c>
      <c r="B535">
        <f>Raw_Load_Data!B535</f>
        <v>1.9</v>
      </c>
      <c r="C535">
        <f>MAX(0,IF(AND(HOUR(A535)&gt;=6,HOUR(A535)&lt;=18),Assumptions!$B$8*SIN(PI()*(HOUR(A535)+MINUTE(A535)/60-6)/12),0))</f>
        <v>0</v>
      </c>
      <c r="D535">
        <f t="shared" si="8"/>
        <v>1.9</v>
      </c>
      <c r="E535">
        <f>MIN(B535,C535)*Assumptions!$B$2</f>
        <v>0</v>
      </c>
      <c r="F535">
        <f>MAX(C535-B535,0)*Assumptions!$B$2</f>
        <v>0</v>
      </c>
      <c r="G535">
        <f>MAX(B535-C535,0)*Assumptions!$B$2</f>
        <v>0.95</v>
      </c>
    </row>
    <row r="536" spans="1:7" x14ac:dyDescent="0.3">
      <c r="A536" s="5">
        <f>Raw_Load_Data!A536</f>
        <v>46215.125000001295</v>
      </c>
      <c r="B536">
        <f>Raw_Load_Data!B536</f>
        <v>2.4</v>
      </c>
      <c r="C536">
        <f>MAX(0,IF(AND(HOUR(A536)&gt;=6,HOUR(A536)&lt;=18),Assumptions!$B$8*SIN(PI()*(HOUR(A536)+MINUTE(A536)/60-6)/12),0))</f>
        <v>0</v>
      </c>
      <c r="D536">
        <f t="shared" si="8"/>
        <v>2.4</v>
      </c>
      <c r="E536">
        <f>MIN(B536,C536)*Assumptions!$B$2</f>
        <v>0</v>
      </c>
      <c r="F536">
        <f>MAX(C536-B536,0)*Assumptions!$B$2</f>
        <v>0</v>
      </c>
      <c r="G536">
        <f>MAX(B536-C536,0)*Assumptions!$B$2</f>
        <v>1.2</v>
      </c>
    </row>
    <row r="537" spans="1:7" x14ac:dyDescent="0.3">
      <c r="A537" s="5">
        <f>Raw_Load_Data!A537</f>
        <v>46215.145833334631</v>
      </c>
      <c r="B537">
        <f>Raw_Load_Data!B537</f>
        <v>2.7</v>
      </c>
      <c r="C537">
        <f>MAX(0,IF(AND(HOUR(A537)&gt;=6,HOUR(A537)&lt;=18),Assumptions!$B$8*SIN(PI()*(HOUR(A537)+MINUTE(A537)/60-6)/12),0))</f>
        <v>0</v>
      </c>
      <c r="D537">
        <f t="shared" si="8"/>
        <v>2.7</v>
      </c>
      <c r="E537">
        <f>MIN(B537,C537)*Assumptions!$B$2</f>
        <v>0</v>
      </c>
      <c r="F537">
        <f>MAX(C537-B537,0)*Assumptions!$B$2</f>
        <v>0</v>
      </c>
      <c r="G537">
        <f>MAX(B537-C537,0)*Assumptions!$B$2</f>
        <v>1.35</v>
      </c>
    </row>
    <row r="538" spans="1:7" x14ac:dyDescent="0.3">
      <c r="A538" s="5">
        <f>Raw_Load_Data!A538</f>
        <v>46215.166666667967</v>
      </c>
      <c r="B538">
        <f>Raw_Load_Data!B538</f>
        <v>2.1</v>
      </c>
      <c r="C538">
        <f>MAX(0,IF(AND(HOUR(A538)&gt;=6,HOUR(A538)&lt;=18),Assumptions!$B$8*SIN(PI()*(HOUR(A538)+MINUTE(A538)/60-6)/12),0))</f>
        <v>0</v>
      </c>
      <c r="D538">
        <f t="shared" si="8"/>
        <v>2.1</v>
      </c>
      <c r="E538">
        <f>MIN(B538,C538)*Assumptions!$B$2</f>
        <v>0</v>
      </c>
      <c r="F538">
        <f>MAX(C538-B538,0)*Assumptions!$B$2</f>
        <v>0</v>
      </c>
      <c r="G538">
        <f>MAX(B538-C538,0)*Assumptions!$B$2</f>
        <v>1.05</v>
      </c>
    </row>
    <row r="539" spans="1:7" x14ac:dyDescent="0.3">
      <c r="A539" s="5">
        <f>Raw_Load_Data!A539</f>
        <v>46215.187500001302</v>
      </c>
      <c r="B539">
        <f>Raw_Load_Data!B539</f>
        <v>2.1</v>
      </c>
      <c r="C539">
        <f>MAX(0,IF(AND(HOUR(A539)&gt;=6,HOUR(A539)&lt;=18),Assumptions!$B$8*SIN(PI()*(HOUR(A539)+MINUTE(A539)/60-6)/12),0))</f>
        <v>0</v>
      </c>
      <c r="D539">
        <f t="shared" si="8"/>
        <v>2.1</v>
      </c>
      <c r="E539">
        <f>MIN(B539,C539)*Assumptions!$B$2</f>
        <v>0</v>
      </c>
      <c r="F539">
        <f>MAX(C539-B539,0)*Assumptions!$B$2</f>
        <v>0</v>
      </c>
      <c r="G539">
        <f>MAX(B539-C539,0)*Assumptions!$B$2</f>
        <v>1.05</v>
      </c>
    </row>
    <row r="540" spans="1:7" x14ac:dyDescent="0.3">
      <c r="A540" s="5">
        <f>Raw_Load_Data!A540</f>
        <v>46215.208333334638</v>
      </c>
      <c r="B540">
        <f>Raw_Load_Data!B540</f>
        <v>2.9</v>
      </c>
      <c r="C540">
        <f>MAX(0,IF(AND(HOUR(A540)&gt;=6,HOUR(A540)&lt;=18),Assumptions!$B$8*SIN(PI()*(HOUR(A540)+MINUTE(A540)/60-6)/12),0))</f>
        <v>0</v>
      </c>
      <c r="D540">
        <f t="shared" si="8"/>
        <v>2.9</v>
      </c>
      <c r="E540">
        <f>MIN(B540,C540)*Assumptions!$B$2</f>
        <v>0</v>
      </c>
      <c r="F540">
        <f>MAX(C540-B540,0)*Assumptions!$B$2</f>
        <v>0</v>
      </c>
      <c r="G540">
        <f>MAX(B540-C540,0)*Assumptions!$B$2</f>
        <v>1.45</v>
      </c>
    </row>
    <row r="541" spans="1:7" x14ac:dyDescent="0.3">
      <c r="A541" s="5">
        <f>Raw_Load_Data!A541</f>
        <v>46215.229166667974</v>
      </c>
      <c r="B541">
        <f>Raw_Load_Data!B541</f>
        <v>2.4</v>
      </c>
      <c r="C541">
        <f>MAX(0,IF(AND(HOUR(A541)&gt;=6,HOUR(A541)&lt;=18),Assumptions!$B$8*SIN(PI()*(HOUR(A541)+MINUTE(A541)/60-6)/12),0))</f>
        <v>0</v>
      </c>
      <c r="D541">
        <f t="shared" si="8"/>
        <v>2.4</v>
      </c>
      <c r="E541">
        <f>MIN(B541,C541)*Assumptions!$B$2</f>
        <v>0</v>
      </c>
      <c r="F541">
        <f>MAX(C541-B541,0)*Assumptions!$B$2</f>
        <v>0</v>
      </c>
      <c r="G541">
        <f>MAX(B541-C541,0)*Assumptions!$B$2</f>
        <v>1.2</v>
      </c>
    </row>
    <row r="542" spans="1:7" x14ac:dyDescent="0.3">
      <c r="A542" s="5">
        <f>Raw_Load_Data!A542</f>
        <v>46215.25000000131</v>
      </c>
      <c r="B542">
        <f>Raw_Load_Data!B542</f>
        <v>5.9</v>
      </c>
      <c r="C542">
        <f>MAX(0,IF(AND(HOUR(A542)&gt;=6,HOUR(A542)&lt;=18),Assumptions!$B$8*SIN(PI()*(HOUR(A542)+MINUTE(A542)/60-6)/12),0))</f>
        <v>0</v>
      </c>
      <c r="D542">
        <f t="shared" si="8"/>
        <v>5.9</v>
      </c>
      <c r="E542">
        <f>MIN(B542,C542)*Assumptions!$B$2</f>
        <v>0</v>
      </c>
      <c r="F542">
        <f>MAX(C542-B542,0)*Assumptions!$B$2</f>
        <v>0</v>
      </c>
      <c r="G542">
        <f>MAX(B542-C542,0)*Assumptions!$B$2</f>
        <v>2.95</v>
      </c>
    </row>
    <row r="543" spans="1:7" x14ac:dyDescent="0.3">
      <c r="A543" s="5">
        <f>Raw_Load_Data!A543</f>
        <v>46215.270833334645</v>
      </c>
      <c r="B543">
        <f>Raw_Load_Data!B543</f>
        <v>7.3</v>
      </c>
      <c r="C543">
        <f>MAX(0,IF(AND(HOUR(A543)&gt;=6,HOUR(A543)&lt;=18),Assumptions!$B$8*SIN(PI()*(HOUR(A543)+MINUTE(A543)/60-6)/12),0))</f>
        <v>3.9157857666015472</v>
      </c>
      <c r="D543">
        <f t="shared" si="8"/>
        <v>3.3842142333984526</v>
      </c>
      <c r="E543">
        <f>MIN(B543,C543)*Assumptions!$B$2</f>
        <v>1.9578928833007736</v>
      </c>
      <c r="F543">
        <f>MAX(C543-B543,0)*Assumptions!$B$2</f>
        <v>0</v>
      </c>
      <c r="G543">
        <f>MAX(B543-C543,0)*Assumptions!$B$2</f>
        <v>1.6921071166992263</v>
      </c>
    </row>
    <row r="544" spans="1:7" x14ac:dyDescent="0.3">
      <c r="A544" s="5">
        <f>Raw_Load_Data!A544</f>
        <v>46215.291666667981</v>
      </c>
      <c r="B544">
        <f>Raw_Load_Data!B544</f>
        <v>6.2</v>
      </c>
      <c r="C544">
        <f>MAX(0,IF(AND(HOUR(A544)&gt;=6,HOUR(A544)&lt;=18),Assumptions!$B$8*SIN(PI()*(HOUR(A544)+MINUTE(A544)/60-6)/12),0))</f>
        <v>7.7645713530756222</v>
      </c>
      <c r="D544">
        <f t="shared" si="8"/>
        <v>-1.564571353075622</v>
      </c>
      <c r="E544">
        <f>MIN(B544,C544)*Assumptions!$B$2</f>
        <v>3.1</v>
      </c>
      <c r="F544">
        <f>MAX(C544-B544,0)*Assumptions!$B$2</f>
        <v>0.782285676537811</v>
      </c>
      <c r="G544">
        <f>MAX(B544-C544,0)*Assumptions!$B$2</f>
        <v>0</v>
      </c>
    </row>
    <row r="545" spans="1:7" x14ac:dyDescent="0.3">
      <c r="A545" s="5">
        <f>Raw_Load_Data!A545</f>
        <v>46215.312500001317</v>
      </c>
      <c r="B545">
        <f>Raw_Load_Data!B545</f>
        <v>4.8</v>
      </c>
      <c r="C545">
        <f>MAX(0,IF(AND(HOUR(A545)&gt;=6,HOUR(A545)&lt;=18),Assumptions!$B$8*SIN(PI()*(HOUR(A545)+MINUTE(A545)/60-6)/12),0))</f>
        <v>11.480502970952694</v>
      </c>
      <c r="D545">
        <f t="shared" si="8"/>
        <v>-6.680502970952694</v>
      </c>
      <c r="E545">
        <f>MIN(B545,C545)*Assumptions!$B$2</f>
        <v>2.4</v>
      </c>
      <c r="F545">
        <f>MAX(C545-B545,0)*Assumptions!$B$2</f>
        <v>3.340251485476347</v>
      </c>
      <c r="G545">
        <f>MAX(B545-C545,0)*Assumptions!$B$2</f>
        <v>0</v>
      </c>
    </row>
    <row r="546" spans="1:7" x14ac:dyDescent="0.3">
      <c r="A546" s="5">
        <f>Raw_Load_Data!A546</f>
        <v>46215.333333334653</v>
      </c>
      <c r="B546">
        <f>Raw_Load_Data!B546</f>
        <v>19.2</v>
      </c>
      <c r="C546">
        <f>MAX(0,IF(AND(HOUR(A546)&gt;=6,HOUR(A546)&lt;=18),Assumptions!$B$8*SIN(PI()*(HOUR(A546)+MINUTE(A546)/60-6)/12),0))</f>
        <v>14.999999999999998</v>
      </c>
      <c r="D546">
        <f t="shared" si="8"/>
        <v>4.2000000000000011</v>
      </c>
      <c r="E546">
        <f>MIN(B546,C546)*Assumptions!$B$2</f>
        <v>7.4999999999999991</v>
      </c>
      <c r="F546">
        <f>MAX(C546-B546,0)*Assumptions!$B$2</f>
        <v>0</v>
      </c>
      <c r="G546">
        <f>MAX(B546-C546,0)*Assumptions!$B$2</f>
        <v>2.1000000000000005</v>
      </c>
    </row>
    <row r="547" spans="1:7" x14ac:dyDescent="0.3">
      <c r="A547" s="5">
        <f>Raw_Load_Data!A547</f>
        <v>46215.354166667988</v>
      </c>
      <c r="B547">
        <f>Raw_Load_Data!B547</f>
        <v>12</v>
      </c>
      <c r="C547">
        <f>MAX(0,IF(AND(HOUR(A547)&gt;=6,HOUR(A547)&lt;=18),Assumptions!$B$8*SIN(PI()*(HOUR(A547)+MINUTE(A547)/60-6)/12),0))</f>
        <v>18.262842870261618</v>
      </c>
      <c r="D547">
        <f t="shared" si="8"/>
        <v>-6.2628428702616183</v>
      </c>
      <c r="E547">
        <f>MIN(B547,C547)*Assumptions!$B$2</f>
        <v>6</v>
      </c>
      <c r="F547">
        <f>MAX(C547-B547,0)*Assumptions!$B$2</f>
        <v>3.1314214351308092</v>
      </c>
      <c r="G547">
        <f>MAX(B547-C547,0)*Assumptions!$B$2</f>
        <v>0</v>
      </c>
    </row>
    <row r="548" spans="1:7" x14ac:dyDescent="0.3">
      <c r="A548" s="5">
        <f>Raw_Load_Data!A548</f>
        <v>46215.375000001324</v>
      </c>
      <c r="B548">
        <f>Raw_Load_Data!B548</f>
        <v>12.7</v>
      </c>
      <c r="C548">
        <f>MAX(0,IF(AND(HOUR(A548)&gt;=6,HOUR(A548)&lt;=18),Assumptions!$B$8*SIN(PI()*(HOUR(A548)+MINUTE(A548)/60-6)/12),0))</f>
        <v>21.213203435596423</v>
      </c>
      <c r="D548">
        <f t="shared" si="8"/>
        <v>-8.5132034355964237</v>
      </c>
      <c r="E548">
        <f>MIN(B548,C548)*Assumptions!$B$2</f>
        <v>6.35</v>
      </c>
      <c r="F548">
        <f>MAX(C548-B548,0)*Assumptions!$B$2</f>
        <v>4.2566017177982118</v>
      </c>
      <c r="G548">
        <f>MAX(B548-C548,0)*Assumptions!$B$2</f>
        <v>0</v>
      </c>
    </row>
    <row r="549" spans="1:7" x14ac:dyDescent="0.3">
      <c r="A549" s="5">
        <f>Raw_Load_Data!A549</f>
        <v>46215.39583333466</v>
      </c>
      <c r="B549">
        <f>Raw_Load_Data!B549</f>
        <v>16.399999999999999</v>
      </c>
      <c r="C549">
        <f>MAX(0,IF(AND(HOUR(A549)&gt;=6,HOUR(A549)&lt;=18),Assumptions!$B$8*SIN(PI()*(HOUR(A549)+MINUTE(A549)/60-6)/12),0))</f>
        <v>23.800600208737055</v>
      </c>
      <c r="D549">
        <f t="shared" si="8"/>
        <v>-7.4006002087370568</v>
      </c>
      <c r="E549">
        <f>MIN(B549,C549)*Assumptions!$B$2</f>
        <v>8.1999999999999993</v>
      </c>
      <c r="F549">
        <f>MAX(C549-B549,0)*Assumptions!$B$2</f>
        <v>3.7003001043685284</v>
      </c>
      <c r="G549">
        <f>MAX(B549-C549,0)*Assumptions!$B$2</f>
        <v>0</v>
      </c>
    </row>
    <row r="550" spans="1:7" x14ac:dyDescent="0.3">
      <c r="A550" s="5">
        <f>Raw_Load_Data!A550</f>
        <v>46215.416666667996</v>
      </c>
      <c r="B550">
        <f>Raw_Load_Data!B550</f>
        <v>21.1</v>
      </c>
      <c r="C550">
        <f>MAX(0,IF(AND(HOUR(A550)&gt;=6,HOUR(A550)&lt;=18),Assumptions!$B$8*SIN(PI()*(HOUR(A550)+MINUTE(A550)/60-6)/12),0))</f>
        <v>25.980762113533157</v>
      </c>
      <c r="D550">
        <f t="shared" si="8"/>
        <v>-4.8807621135331551</v>
      </c>
      <c r="E550">
        <f>MIN(B550,C550)*Assumptions!$B$2</f>
        <v>10.55</v>
      </c>
      <c r="F550">
        <f>MAX(C550-B550,0)*Assumptions!$B$2</f>
        <v>2.4403810567665776</v>
      </c>
      <c r="G550">
        <f>MAX(B550-C550,0)*Assumptions!$B$2</f>
        <v>0</v>
      </c>
    </row>
    <row r="551" spans="1:7" x14ac:dyDescent="0.3">
      <c r="A551" s="5">
        <f>Raw_Load_Data!A551</f>
        <v>46215.437500001332</v>
      </c>
      <c r="B551">
        <f>Raw_Load_Data!B551</f>
        <v>16.100000000000001</v>
      </c>
      <c r="C551">
        <f>MAX(0,IF(AND(HOUR(A551)&gt;=6,HOUR(A551)&lt;=18),Assumptions!$B$8*SIN(PI()*(HOUR(A551)+MINUTE(A551)/60-6)/12),0))</f>
        <v>27.716385975338603</v>
      </c>
      <c r="D551">
        <f t="shared" si="8"/>
        <v>-11.616385975338602</v>
      </c>
      <c r="E551">
        <f>MIN(B551,C551)*Assumptions!$B$2</f>
        <v>8.0500000000000007</v>
      </c>
      <c r="F551">
        <f>MAX(C551-B551,0)*Assumptions!$B$2</f>
        <v>5.808192987669301</v>
      </c>
      <c r="G551">
        <f>MAX(B551-C551,0)*Assumptions!$B$2</f>
        <v>0</v>
      </c>
    </row>
    <row r="552" spans="1:7" x14ac:dyDescent="0.3">
      <c r="A552" s="5">
        <f>Raw_Load_Data!A552</f>
        <v>46215.458333334667</v>
      </c>
      <c r="B552">
        <f>Raw_Load_Data!B552</f>
        <v>20.100000000000001</v>
      </c>
      <c r="C552">
        <f>MAX(0,IF(AND(HOUR(A552)&gt;=6,HOUR(A552)&lt;=18),Assumptions!$B$8*SIN(PI()*(HOUR(A552)+MINUTE(A552)/60-6)/12),0))</f>
        <v>28.97777478867205</v>
      </c>
      <c r="D552">
        <f t="shared" si="8"/>
        <v>-8.8777747886720491</v>
      </c>
      <c r="E552">
        <f>MIN(B552,C552)*Assumptions!$B$2</f>
        <v>10.050000000000001</v>
      </c>
      <c r="F552">
        <f>MAX(C552-B552,0)*Assumptions!$B$2</f>
        <v>4.4388873943360245</v>
      </c>
      <c r="G552">
        <f>MAX(B552-C552,0)*Assumptions!$B$2</f>
        <v>0</v>
      </c>
    </row>
    <row r="553" spans="1:7" x14ac:dyDescent="0.3">
      <c r="A553" s="5">
        <f>Raw_Load_Data!A553</f>
        <v>46215.479166668003</v>
      </c>
      <c r="B553">
        <f>Raw_Load_Data!B553</f>
        <v>13.4</v>
      </c>
      <c r="C553">
        <f>MAX(0,IF(AND(HOUR(A553)&gt;=6,HOUR(A553)&lt;=18),Assumptions!$B$8*SIN(PI()*(HOUR(A553)+MINUTE(A553)/60-6)/12),0))</f>
        <v>29.74334584121431</v>
      </c>
      <c r="D553">
        <f t="shared" si="8"/>
        <v>-16.343345841214308</v>
      </c>
      <c r="E553">
        <f>MIN(B553,C553)*Assumptions!$B$2</f>
        <v>6.7</v>
      </c>
      <c r="F553">
        <f>MAX(C553-B553,0)*Assumptions!$B$2</f>
        <v>8.1716729206071541</v>
      </c>
      <c r="G553">
        <f>MAX(B553-C553,0)*Assumptions!$B$2</f>
        <v>0</v>
      </c>
    </row>
    <row r="554" spans="1:7" x14ac:dyDescent="0.3">
      <c r="A554" s="5">
        <f>Raw_Load_Data!A554</f>
        <v>46215.500000001339</v>
      </c>
      <c r="B554">
        <f>Raw_Load_Data!B554</f>
        <v>30.5</v>
      </c>
      <c r="C554">
        <f>MAX(0,IF(AND(HOUR(A554)&gt;=6,HOUR(A554)&lt;=18),Assumptions!$B$8*SIN(PI()*(HOUR(A554)+MINUTE(A554)/60-6)/12),0))</f>
        <v>30</v>
      </c>
      <c r="D554">
        <f t="shared" si="8"/>
        <v>0.5</v>
      </c>
      <c r="E554">
        <f>MIN(B554,C554)*Assumptions!$B$2</f>
        <v>15</v>
      </c>
      <c r="F554">
        <f>MAX(C554-B554,0)*Assumptions!$B$2</f>
        <v>0</v>
      </c>
      <c r="G554">
        <f>MAX(B554-C554,0)*Assumptions!$B$2</f>
        <v>0.25</v>
      </c>
    </row>
    <row r="555" spans="1:7" x14ac:dyDescent="0.3">
      <c r="A555" s="5">
        <f>Raw_Load_Data!A555</f>
        <v>46215.520833334675</v>
      </c>
      <c r="B555">
        <f>Raw_Load_Data!B555</f>
        <v>29.7</v>
      </c>
      <c r="C555">
        <f>MAX(0,IF(AND(HOUR(A555)&gt;=6,HOUR(A555)&lt;=18),Assumptions!$B$8*SIN(PI()*(HOUR(A555)+MINUTE(A555)/60-6)/12),0))</f>
        <v>29.74334584121431</v>
      </c>
      <c r="D555">
        <f t="shared" si="8"/>
        <v>-4.3345841214311065E-2</v>
      </c>
      <c r="E555">
        <f>MIN(B555,C555)*Assumptions!$B$2</f>
        <v>14.85</v>
      </c>
      <c r="F555">
        <f>MAX(C555-B555,0)*Assumptions!$B$2</f>
        <v>2.1672920607155532E-2</v>
      </c>
      <c r="G555">
        <f>MAX(B555-C555,0)*Assumptions!$B$2</f>
        <v>0</v>
      </c>
    </row>
    <row r="556" spans="1:7" x14ac:dyDescent="0.3">
      <c r="A556" s="5">
        <f>Raw_Load_Data!A556</f>
        <v>46215.54166666801</v>
      </c>
      <c r="B556">
        <f>Raw_Load_Data!B556</f>
        <v>27.4</v>
      </c>
      <c r="C556">
        <f>MAX(0,IF(AND(HOUR(A556)&gt;=6,HOUR(A556)&lt;=18),Assumptions!$B$8*SIN(PI()*(HOUR(A556)+MINUTE(A556)/60-6)/12),0))</f>
        <v>28.97777478867205</v>
      </c>
      <c r="D556">
        <f t="shared" si="8"/>
        <v>-1.5777747886720519</v>
      </c>
      <c r="E556">
        <f>MIN(B556,C556)*Assumptions!$B$2</f>
        <v>13.7</v>
      </c>
      <c r="F556">
        <f>MAX(C556-B556,0)*Assumptions!$B$2</f>
        <v>0.78888739433602595</v>
      </c>
      <c r="G556">
        <f>MAX(B556-C556,0)*Assumptions!$B$2</f>
        <v>0</v>
      </c>
    </row>
    <row r="557" spans="1:7" x14ac:dyDescent="0.3">
      <c r="A557" s="5">
        <f>Raw_Load_Data!A557</f>
        <v>46215.562500001346</v>
      </c>
      <c r="B557">
        <f>Raw_Load_Data!B557</f>
        <v>25.8</v>
      </c>
      <c r="C557">
        <f>MAX(0,IF(AND(HOUR(A557)&gt;=6,HOUR(A557)&lt;=18),Assumptions!$B$8*SIN(PI()*(HOUR(A557)+MINUTE(A557)/60-6)/12),0))</f>
        <v>27.716385975338607</v>
      </c>
      <c r="D557">
        <f t="shared" si="8"/>
        <v>-1.9163859753386063</v>
      </c>
      <c r="E557">
        <f>MIN(B557,C557)*Assumptions!$B$2</f>
        <v>12.9</v>
      </c>
      <c r="F557">
        <f>MAX(C557-B557,0)*Assumptions!$B$2</f>
        <v>0.95819298766930316</v>
      </c>
      <c r="G557">
        <f>MAX(B557-C557,0)*Assumptions!$B$2</f>
        <v>0</v>
      </c>
    </row>
    <row r="558" spans="1:7" x14ac:dyDescent="0.3">
      <c r="A558" s="5">
        <f>Raw_Load_Data!A558</f>
        <v>46215.583333334682</v>
      </c>
      <c r="B558">
        <f>Raw_Load_Data!B558</f>
        <v>27.3</v>
      </c>
      <c r="C558">
        <f>MAX(0,IF(AND(HOUR(A558)&gt;=6,HOUR(A558)&lt;=18),Assumptions!$B$8*SIN(PI()*(HOUR(A558)+MINUTE(A558)/60-6)/12),0))</f>
        <v>25.98076211353316</v>
      </c>
      <c r="D558">
        <f t="shared" si="8"/>
        <v>1.3192378864668406</v>
      </c>
      <c r="E558">
        <f>MIN(B558,C558)*Assumptions!$B$2</f>
        <v>12.99038105676658</v>
      </c>
      <c r="F558">
        <f>MAX(C558-B558,0)*Assumptions!$B$2</f>
        <v>0</v>
      </c>
      <c r="G558">
        <f>MAX(B558-C558,0)*Assumptions!$B$2</f>
        <v>0.6596189432334203</v>
      </c>
    </row>
    <row r="559" spans="1:7" x14ac:dyDescent="0.3">
      <c r="A559" s="5">
        <f>Raw_Load_Data!A559</f>
        <v>46215.604166668018</v>
      </c>
      <c r="B559">
        <f>Raw_Load_Data!B559</f>
        <v>28.2</v>
      </c>
      <c r="C559">
        <f>MAX(0,IF(AND(HOUR(A559)&gt;=6,HOUR(A559)&lt;=18),Assumptions!$B$8*SIN(PI()*(HOUR(A559)+MINUTE(A559)/60-6)/12),0))</f>
        <v>23.800600208737055</v>
      </c>
      <c r="D559">
        <f t="shared" si="8"/>
        <v>4.3993997912629439</v>
      </c>
      <c r="E559">
        <f>MIN(B559,C559)*Assumptions!$B$2</f>
        <v>11.900300104368528</v>
      </c>
      <c r="F559">
        <f>MAX(C559-B559,0)*Assumptions!$B$2</f>
        <v>0</v>
      </c>
      <c r="G559">
        <f>MAX(B559-C559,0)*Assumptions!$B$2</f>
        <v>2.1996998956314719</v>
      </c>
    </row>
    <row r="560" spans="1:7" x14ac:dyDescent="0.3">
      <c r="A560" s="5">
        <f>Raw_Load_Data!A560</f>
        <v>46215.625000001353</v>
      </c>
      <c r="B560">
        <f>Raw_Load_Data!B560</f>
        <v>24.3</v>
      </c>
      <c r="C560">
        <f>MAX(0,IF(AND(HOUR(A560)&gt;=6,HOUR(A560)&lt;=18),Assumptions!$B$8*SIN(PI()*(HOUR(A560)+MINUTE(A560)/60-6)/12),0))</f>
        <v>21.213203435596427</v>
      </c>
      <c r="D560">
        <f t="shared" si="8"/>
        <v>3.0867965644035742</v>
      </c>
      <c r="E560">
        <f>MIN(B560,C560)*Assumptions!$B$2</f>
        <v>10.606601717798213</v>
      </c>
      <c r="F560">
        <f>MAX(C560-B560,0)*Assumptions!$B$2</f>
        <v>0</v>
      </c>
      <c r="G560">
        <f>MAX(B560-C560,0)*Assumptions!$B$2</f>
        <v>1.5433982822017871</v>
      </c>
    </row>
    <row r="561" spans="1:7" x14ac:dyDescent="0.3">
      <c r="A561" s="5">
        <f>Raw_Load_Data!A561</f>
        <v>46215.645833334689</v>
      </c>
      <c r="B561">
        <f>Raw_Load_Data!B561</f>
        <v>23.7</v>
      </c>
      <c r="C561">
        <f>MAX(0,IF(AND(HOUR(A561)&gt;=6,HOUR(A561)&lt;=18),Assumptions!$B$8*SIN(PI()*(HOUR(A561)+MINUTE(A561)/60-6)/12),0))</f>
        <v>18.262842870261625</v>
      </c>
      <c r="D561">
        <f t="shared" si="8"/>
        <v>5.4371571297383738</v>
      </c>
      <c r="E561">
        <f>MIN(B561,C561)*Assumptions!$B$2</f>
        <v>9.1314214351308127</v>
      </c>
      <c r="F561">
        <f>MAX(C561-B561,0)*Assumptions!$B$2</f>
        <v>0</v>
      </c>
      <c r="G561">
        <f>MAX(B561-C561,0)*Assumptions!$B$2</f>
        <v>2.7185785648691869</v>
      </c>
    </row>
    <row r="562" spans="1:7" x14ac:dyDescent="0.3">
      <c r="A562" s="5">
        <f>Raw_Load_Data!A562</f>
        <v>46215.666666668025</v>
      </c>
      <c r="B562">
        <f>Raw_Load_Data!B562</f>
        <v>10.3</v>
      </c>
      <c r="C562">
        <f>MAX(0,IF(AND(HOUR(A562)&gt;=6,HOUR(A562)&lt;=18),Assumptions!$B$8*SIN(PI()*(HOUR(A562)+MINUTE(A562)/60-6)/12),0))</f>
        <v>14.999999999999998</v>
      </c>
      <c r="D562">
        <f t="shared" si="8"/>
        <v>-4.6999999999999975</v>
      </c>
      <c r="E562">
        <f>MIN(B562,C562)*Assumptions!$B$2</f>
        <v>5.15</v>
      </c>
      <c r="F562">
        <f>MAX(C562-B562,0)*Assumptions!$B$2</f>
        <v>2.3499999999999988</v>
      </c>
      <c r="G562">
        <f>MAX(B562-C562,0)*Assumptions!$B$2</f>
        <v>0</v>
      </c>
    </row>
    <row r="563" spans="1:7" x14ac:dyDescent="0.3">
      <c r="A563" s="5">
        <f>Raw_Load_Data!A563</f>
        <v>46215.687500001361</v>
      </c>
      <c r="B563">
        <f>Raw_Load_Data!B563</f>
        <v>12.6</v>
      </c>
      <c r="C563">
        <f>MAX(0,IF(AND(HOUR(A563)&gt;=6,HOUR(A563)&lt;=18),Assumptions!$B$8*SIN(PI()*(HOUR(A563)+MINUTE(A563)/60-6)/12),0))</f>
        <v>11.480502970952697</v>
      </c>
      <c r="D563">
        <f t="shared" si="8"/>
        <v>1.1194970290473023</v>
      </c>
      <c r="E563">
        <f>MIN(B563,C563)*Assumptions!$B$2</f>
        <v>5.7402514854763487</v>
      </c>
      <c r="F563">
        <f>MAX(C563-B563,0)*Assumptions!$B$2</f>
        <v>0</v>
      </c>
      <c r="G563">
        <f>MAX(B563-C563,0)*Assumptions!$B$2</f>
        <v>0.55974851452365115</v>
      </c>
    </row>
    <row r="564" spans="1:7" x14ac:dyDescent="0.3">
      <c r="A564" s="5">
        <f>Raw_Load_Data!A564</f>
        <v>46215.708333334696</v>
      </c>
      <c r="B564">
        <f>Raw_Load_Data!B564</f>
        <v>10.7</v>
      </c>
      <c r="C564">
        <f>MAX(0,IF(AND(HOUR(A564)&gt;=6,HOUR(A564)&lt;=18),Assumptions!$B$8*SIN(PI()*(HOUR(A564)+MINUTE(A564)/60-6)/12),0))</f>
        <v>7.7645713530756302</v>
      </c>
      <c r="D564">
        <f t="shared" si="8"/>
        <v>2.9354286469243691</v>
      </c>
      <c r="E564">
        <f>MIN(B564,C564)*Assumptions!$B$2</f>
        <v>3.8822856765378151</v>
      </c>
      <c r="F564">
        <f>MAX(C564-B564,0)*Assumptions!$B$2</f>
        <v>0</v>
      </c>
      <c r="G564">
        <f>MAX(B564-C564,0)*Assumptions!$B$2</f>
        <v>1.4677143234621846</v>
      </c>
    </row>
    <row r="565" spans="1:7" x14ac:dyDescent="0.3">
      <c r="A565" s="5">
        <f>Raw_Load_Data!A565</f>
        <v>46215.729166668032</v>
      </c>
      <c r="B565">
        <f>Raw_Load_Data!B565</f>
        <v>17.8</v>
      </c>
      <c r="C565">
        <f>MAX(0,IF(AND(HOUR(A565)&gt;=6,HOUR(A565)&lt;=18),Assumptions!$B$8*SIN(PI()*(HOUR(A565)+MINUTE(A565)/60-6)/12),0))</f>
        <v>3.9157857666015596</v>
      </c>
      <c r="D565">
        <f t="shared" si="8"/>
        <v>13.884214233398442</v>
      </c>
      <c r="E565">
        <f>MIN(B565,C565)*Assumptions!$B$2</f>
        <v>1.9578928833007798</v>
      </c>
      <c r="F565">
        <f>MAX(C565-B565,0)*Assumptions!$B$2</f>
        <v>0</v>
      </c>
      <c r="G565">
        <f>MAX(B565-C565,0)*Assumptions!$B$2</f>
        <v>6.942107116699221</v>
      </c>
    </row>
    <row r="566" spans="1:7" x14ac:dyDescent="0.3">
      <c r="A566" s="5">
        <f>Raw_Load_Data!A566</f>
        <v>46215.750000001368</v>
      </c>
      <c r="B566">
        <f>Raw_Load_Data!B566</f>
        <v>17.399999999999999</v>
      </c>
      <c r="C566">
        <f>MAX(0,IF(AND(HOUR(A566)&gt;=6,HOUR(A566)&lt;=18),Assumptions!$B$8*SIN(PI()*(HOUR(A566)+MINUTE(A566)/60-6)/12),0))</f>
        <v>3.67544536472586E-15</v>
      </c>
      <c r="D566">
        <f t="shared" si="8"/>
        <v>17.399999999999995</v>
      </c>
      <c r="E566">
        <f>MIN(B566,C566)*Assumptions!$B$2</f>
        <v>1.83772268236293E-15</v>
      </c>
      <c r="F566">
        <f>MAX(C566-B566,0)*Assumptions!$B$2</f>
        <v>0</v>
      </c>
      <c r="G566">
        <f>MAX(B566-C566,0)*Assumptions!$B$2</f>
        <v>8.6999999999999975</v>
      </c>
    </row>
    <row r="567" spans="1:7" x14ac:dyDescent="0.3">
      <c r="A567" s="5">
        <f>Raw_Load_Data!A567</f>
        <v>46215.770833334704</v>
      </c>
      <c r="B567">
        <f>Raw_Load_Data!B567</f>
        <v>11.2</v>
      </c>
      <c r="C567">
        <f>MAX(0,IF(AND(HOUR(A567)&gt;=6,HOUR(A567)&lt;=18),Assumptions!$B$8*SIN(PI()*(HOUR(A567)+MINUTE(A567)/60-6)/12),0))</f>
        <v>0</v>
      </c>
      <c r="D567">
        <f t="shared" si="8"/>
        <v>11.2</v>
      </c>
      <c r="E567">
        <f>MIN(B567,C567)*Assumptions!$B$2</f>
        <v>0</v>
      </c>
      <c r="F567">
        <f>MAX(C567-B567,0)*Assumptions!$B$2</f>
        <v>0</v>
      </c>
      <c r="G567">
        <f>MAX(B567-C567,0)*Assumptions!$B$2</f>
        <v>5.6</v>
      </c>
    </row>
    <row r="568" spans="1:7" x14ac:dyDescent="0.3">
      <c r="A568" s="5">
        <f>Raw_Load_Data!A568</f>
        <v>46215.791666668039</v>
      </c>
      <c r="B568">
        <f>Raw_Load_Data!B568</f>
        <v>4.7</v>
      </c>
      <c r="C568">
        <f>MAX(0,IF(AND(HOUR(A568)&gt;=6,HOUR(A568)&lt;=18),Assumptions!$B$8*SIN(PI()*(HOUR(A568)+MINUTE(A568)/60-6)/12),0))</f>
        <v>0</v>
      </c>
      <c r="D568">
        <f t="shared" si="8"/>
        <v>4.7</v>
      </c>
      <c r="E568">
        <f>MIN(B568,C568)*Assumptions!$B$2</f>
        <v>0</v>
      </c>
      <c r="F568">
        <f>MAX(C568-B568,0)*Assumptions!$B$2</f>
        <v>0</v>
      </c>
      <c r="G568">
        <f>MAX(B568-C568,0)*Assumptions!$B$2</f>
        <v>2.35</v>
      </c>
    </row>
    <row r="569" spans="1:7" x14ac:dyDescent="0.3">
      <c r="A569" s="5">
        <f>Raw_Load_Data!A569</f>
        <v>46215.812500001375</v>
      </c>
      <c r="B569">
        <f>Raw_Load_Data!B569</f>
        <v>7.3</v>
      </c>
      <c r="C569">
        <f>MAX(0,IF(AND(HOUR(A569)&gt;=6,HOUR(A569)&lt;=18),Assumptions!$B$8*SIN(PI()*(HOUR(A569)+MINUTE(A569)/60-6)/12),0))</f>
        <v>0</v>
      </c>
      <c r="D569">
        <f t="shared" si="8"/>
        <v>7.3</v>
      </c>
      <c r="E569">
        <f>MIN(B569,C569)*Assumptions!$B$2</f>
        <v>0</v>
      </c>
      <c r="F569">
        <f>MAX(C569-B569,0)*Assumptions!$B$2</f>
        <v>0</v>
      </c>
      <c r="G569">
        <f>MAX(B569-C569,0)*Assumptions!$B$2</f>
        <v>3.65</v>
      </c>
    </row>
    <row r="570" spans="1:7" x14ac:dyDescent="0.3">
      <c r="A570" s="5">
        <f>Raw_Load_Data!A570</f>
        <v>46215.833333334711</v>
      </c>
      <c r="B570">
        <f>Raw_Load_Data!B570</f>
        <v>8</v>
      </c>
      <c r="C570">
        <f>MAX(0,IF(AND(HOUR(A570)&gt;=6,HOUR(A570)&lt;=18),Assumptions!$B$8*SIN(PI()*(HOUR(A570)+MINUTE(A570)/60-6)/12),0))</f>
        <v>0</v>
      </c>
      <c r="D570">
        <f t="shared" si="8"/>
        <v>8</v>
      </c>
      <c r="E570">
        <f>MIN(B570,C570)*Assumptions!$B$2</f>
        <v>0</v>
      </c>
      <c r="F570">
        <f>MAX(C570-B570,0)*Assumptions!$B$2</f>
        <v>0</v>
      </c>
      <c r="G570">
        <f>MAX(B570-C570,0)*Assumptions!$B$2</f>
        <v>4</v>
      </c>
    </row>
    <row r="571" spans="1:7" x14ac:dyDescent="0.3">
      <c r="A571" s="5">
        <f>Raw_Load_Data!A571</f>
        <v>46215.854166668047</v>
      </c>
      <c r="B571">
        <f>Raw_Load_Data!B571</f>
        <v>5.9</v>
      </c>
      <c r="C571">
        <f>MAX(0,IF(AND(HOUR(A571)&gt;=6,HOUR(A571)&lt;=18),Assumptions!$B$8*SIN(PI()*(HOUR(A571)+MINUTE(A571)/60-6)/12),0))</f>
        <v>0</v>
      </c>
      <c r="D571">
        <f t="shared" si="8"/>
        <v>5.9</v>
      </c>
      <c r="E571">
        <f>MIN(B571,C571)*Assumptions!$B$2</f>
        <v>0</v>
      </c>
      <c r="F571">
        <f>MAX(C571-B571,0)*Assumptions!$B$2</f>
        <v>0</v>
      </c>
      <c r="G571">
        <f>MAX(B571-C571,0)*Assumptions!$B$2</f>
        <v>2.95</v>
      </c>
    </row>
    <row r="572" spans="1:7" x14ac:dyDescent="0.3">
      <c r="A572" s="5">
        <f>Raw_Load_Data!A572</f>
        <v>46215.875000001382</v>
      </c>
      <c r="B572">
        <f>Raw_Load_Data!B572</f>
        <v>4.3</v>
      </c>
      <c r="C572">
        <f>MAX(0,IF(AND(HOUR(A572)&gt;=6,HOUR(A572)&lt;=18),Assumptions!$B$8*SIN(PI()*(HOUR(A572)+MINUTE(A572)/60-6)/12),0))</f>
        <v>0</v>
      </c>
      <c r="D572">
        <f t="shared" si="8"/>
        <v>4.3</v>
      </c>
      <c r="E572">
        <f>MIN(B572,C572)*Assumptions!$B$2</f>
        <v>0</v>
      </c>
      <c r="F572">
        <f>MAX(C572-B572,0)*Assumptions!$B$2</f>
        <v>0</v>
      </c>
      <c r="G572">
        <f>MAX(B572-C572,0)*Assumptions!$B$2</f>
        <v>2.15</v>
      </c>
    </row>
    <row r="573" spans="1:7" x14ac:dyDescent="0.3">
      <c r="A573" s="5">
        <f>Raw_Load_Data!A573</f>
        <v>46215.895833334718</v>
      </c>
      <c r="B573">
        <f>Raw_Load_Data!B573</f>
        <v>5.3</v>
      </c>
      <c r="C573">
        <f>MAX(0,IF(AND(HOUR(A573)&gt;=6,HOUR(A573)&lt;=18),Assumptions!$B$8*SIN(PI()*(HOUR(A573)+MINUTE(A573)/60-6)/12),0))</f>
        <v>0</v>
      </c>
      <c r="D573">
        <f t="shared" si="8"/>
        <v>5.3</v>
      </c>
      <c r="E573">
        <f>MIN(B573,C573)*Assumptions!$B$2</f>
        <v>0</v>
      </c>
      <c r="F573">
        <f>MAX(C573-B573,0)*Assumptions!$B$2</f>
        <v>0</v>
      </c>
      <c r="G573">
        <f>MAX(B573-C573,0)*Assumptions!$B$2</f>
        <v>2.65</v>
      </c>
    </row>
    <row r="574" spans="1:7" x14ac:dyDescent="0.3">
      <c r="A574" s="5">
        <f>Raw_Load_Data!A574</f>
        <v>46215.916666668054</v>
      </c>
      <c r="B574">
        <f>Raw_Load_Data!B574</f>
        <v>4.0999999999999996</v>
      </c>
      <c r="C574">
        <f>MAX(0,IF(AND(HOUR(A574)&gt;=6,HOUR(A574)&lt;=18),Assumptions!$B$8*SIN(PI()*(HOUR(A574)+MINUTE(A574)/60-6)/12),0))</f>
        <v>0</v>
      </c>
      <c r="D574">
        <f t="shared" si="8"/>
        <v>4.0999999999999996</v>
      </c>
      <c r="E574">
        <f>MIN(B574,C574)*Assumptions!$B$2</f>
        <v>0</v>
      </c>
      <c r="F574">
        <f>MAX(C574-B574,0)*Assumptions!$B$2</f>
        <v>0</v>
      </c>
      <c r="G574">
        <f>MAX(B574-C574,0)*Assumptions!$B$2</f>
        <v>2.0499999999999998</v>
      </c>
    </row>
    <row r="575" spans="1:7" x14ac:dyDescent="0.3">
      <c r="A575" s="5">
        <f>Raw_Load_Data!A575</f>
        <v>46215.93750000139</v>
      </c>
      <c r="B575">
        <f>Raw_Load_Data!B575</f>
        <v>6.6</v>
      </c>
      <c r="C575">
        <f>MAX(0,IF(AND(HOUR(A575)&gt;=6,HOUR(A575)&lt;=18),Assumptions!$B$8*SIN(PI()*(HOUR(A575)+MINUTE(A575)/60-6)/12),0))</f>
        <v>0</v>
      </c>
      <c r="D575">
        <f t="shared" si="8"/>
        <v>6.6</v>
      </c>
      <c r="E575">
        <f>MIN(B575,C575)*Assumptions!$B$2</f>
        <v>0</v>
      </c>
      <c r="F575">
        <f>MAX(C575-B575,0)*Assumptions!$B$2</f>
        <v>0</v>
      </c>
      <c r="G575">
        <f>MAX(B575-C575,0)*Assumptions!$B$2</f>
        <v>3.3</v>
      </c>
    </row>
    <row r="576" spans="1:7" x14ac:dyDescent="0.3">
      <c r="A576" s="5">
        <f>Raw_Load_Data!A576</f>
        <v>46215.958333334725</v>
      </c>
      <c r="B576">
        <f>Raw_Load_Data!B576</f>
        <v>3.4</v>
      </c>
      <c r="C576">
        <f>MAX(0,IF(AND(HOUR(A576)&gt;=6,HOUR(A576)&lt;=18),Assumptions!$B$8*SIN(PI()*(HOUR(A576)+MINUTE(A576)/60-6)/12),0))</f>
        <v>0</v>
      </c>
      <c r="D576">
        <f t="shared" si="8"/>
        <v>3.4</v>
      </c>
      <c r="E576">
        <f>MIN(B576,C576)*Assumptions!$B$2</f>
        <v>0</v>
      </c>
      <c r="F576">
        <f>MAX(C576-B576,0)*Assumptions!$B$2</f>
        <v>0</v>
      </c>
      <c r="G576">
        <f>MAX(B576-C576,0)*Assumptions!$B$2</f>
        <v>1.7</v>
      </c>
    </row>
    <row r="577" spans="1:7" x14ac:dyDescent="0.3">
      <c r="A577" s="5">
        <f>Raw_Load_Data!A577</f>
        <v>46215.979166668061</v>
      </c>
      <c r="B577">
        <f>Raw_Load_Data!B577</f>
        <v>5</v>
      </c>
      <c r="C577">
        <f>MAX(0,IF(AND(HOUR(A577)&gt;=6,HOUR(A577)&lt;=18),Assumptions!$B$8*SIN(PI()*(HOUR(A577)+MINUTE(A577)/60-6)/12),0))</f>
        <v>0</v>
      </c>
      <c r="D577">
        <f t="shared" si="8"/>
        <v>5</v>
      </c>
      <c r="E577">
        <f>MIN(B577,C577)*Assumptions!$B$2</f>
        <v>0</v>
      </c>
      <c r="F577">
        <f>MAX(C577-B577,0)*Assumptions!$B$2</f>
        <v>0</v>
      </c>
      <c r="G577">
        <f>MAX(B577-C577,0)*Assumptions!$B$2</f>
        <v>2.5</v>
      </c>
    </row>
    <row r="578" spans="1:7" x14ac:dyDescent="0.3">
      <c r="A578" s="5">
        <f>Raw_Load_Data!A578</f>
        <v>46216.000000001397</v>
      </c>
      <c r="B578">
        <f>Raw_Load_Data!B578</f>
        <v>2.1</v>
      </c>
      <c r="C578">
        <f>MAX(0,IF(AND(HOUR(A578)&gt;=6,HOUR(A578)&lt;=18),Assumptions!$B$8*SIN(PI()*(HOUR(A578)+MINUTE(A578)/60-6)/12),0))</f>
        <v>0</v>
      </c>
      <c r="D578">
        <f t="shared" si="8"/>
        <v>2.1</v>
      </c>
      <c r="E578">
        <f>MIN(B578,C578)*Assumptions!$B$2</f>
        <v>0</v>
      </c>
      <c r="F578">
        <f>MAX(C578-B578,0)*Assumptions!$B$2</f>
        <v>0</v>
      </c>
      <c r="G578">
        <f>MAX(B578-C578,0)*Assumptions!$B$2</f>
        <v>1.05</v>
      </c>
    </row>
    <row r="579" spans="1:7" x14ac:dyDescent="0.3">
      <c r="A579" s="5">
        <f>Raw_Load_Data!A579</f>
        <v>46216.020833334733</v>
      </c>
      <c r="B579">
        <f>Raw_Load_Data!B579</f>
        <v>2.9</v>
      </c>
      <c r="C579">
        <f>MAX(0,IF(AND(HOUR(A579)&gt;=6,HOUR(A579)&lt;=18),Assumptions!$B$8*SIN(PI()*(HOUR(A579)+MINUTE(A579)/60-6)/12),0))</f>
        <v>0</v>
      </c>
      <c r="D579">
        <f t="shared" ref="D579:D642" si="9">B579-C579</f>
        <v>2.9</v>
      </c>
      <c r="E579">
        <f>MIN(B579,C579)*Assumptions!$B$2</f>
        <v>0</v>
      </c>
      <c r="F579">
        <f>MAX(C579-B579,0)*Assumptions!$B$2</f>
        <v>0</v>
      </c>
      <c r="G579">
        <f>MAX(B579-C579,0)*Assumptions!$B$2</f>
        <v>1.45</v>
      </c>
    </row>
    <row r="580" spans="1:7" x14ac:dyDescent="0.3">
      <c r="A580" s="5">
        <f>Raw_Load_Data!A580</f>
        <v>46216.041666668069</v>
      </c>
      <c r="B580">
        <f>Raw_Load_Data!B580</f>
        <v>2.7</v>
      </c>
      <c r="C580">
        <f>MAX(0,IF(AND(HOUR(A580)&gt;=6,HOUR(A580)&lt;=18),Assumptions!$B$8*SIN(PI()*(HOUR(A580)+MINUTE(A580)/60-6)/12),0))</f>
        <v>0</v>
      </c>
      <c r="D580">
        <f t="shared" si="9"/>
        <v>2.7</v>
      </c>
      <c r="E580">
        <f>MIN(B580,C580)*Assumptions!$B$2</f>
        <v>0</v>
      </c>
      <c r="F580">
        <f>MAX(C580-B580,0)*Assumptions!$B$2</f>
        <v>0</v>
      </c>
      <c r="G580">
        <f>MAX(B580-C580,0)*Assumptions!$B$2</f>
        <v>1.35</v>
      </c>
    </row>
    <row r="581" spans="1:7" x14ac:dyDescent="0.3">
      <c r="A581" s="5">
        <f>Raw_Load_Data!A581</f>
        <v>46216.062500001404</v>
      </c>
      <c r="B581">
        <f>Raw_Load_Data!B581</f>
        <v>2</v>
      </c>
      <c r="C581">
        <f>MAX(0,IF(AND(HOUR(A581)&gt;=6,HOUR(A581)&lt;=18),Assumptions!$B$8*SIN(PI()*(HOUR(A581)+MINUTE(A581)/60-6)/12),0))</f>
        <v>0</v>
      </c>
      <c r="D581">
        <f t="shared" si="9"/>
        <v>2</v>
      </c>
      <c r="E581">
        <f>MIN(B581,C581)*Assumptions!$B$2</f>
        <v>0</v>
      </c>
      <c r="F581">
        <f>MAX(C581-B581,0)*Assumptions!$B$2</f>
        <v>0</v>
      </c>
      <c r="G581">
        <f>MAX(B581-C581,0)*Assumptions!$B$2</f>
        <v>1</v>
      </c>
    </row>
    <row r="582" spans="1:7" x14ac:dyDescent="0.3">
      <c r="A582" s="5">
        <f>Raw_Load_Data!A582</f>
        <v>46216.08333333474</v>
      </c>
      <c r="B582">
        <f>Raw_Load_Data!B582</f>
        <v>2.5</v>
      </c>
      <c r="C582">
        <f>MAX(0,IF(AND(HOUR(A582)&gt;=6,HOUR(A582)&lt;=18),Assumptions!$B$8*SIN(PI()*(HOUR(A582)+MINUTE(A582)/60-6)/12),0))</f>
        <v>0</v>
      </c>
      <c r="D582">
        <f t="shared" si="9"/>
        <v>2.5</v>
      </c>
      <c r="E582">
        <f>MIN(B582,C582)*Assumptions!$B$2</f>
        <v>0</v>
      </c>
      <c r="F582">
        <f>MAX(C582-B582,0)*Assumptions!$B$2</f>
        <v>0</v>
      </c>
      <c r="G582">
        <f>MAX(B582-C582,0)*Assumptions!$B$2</f>
        <v>1.25</v>
      </c>
    </row>
    <row r="583" spans="1:7" x14ac:dyDescent="0.3">
      <c r="A583" s="5">
        <f>Raw_Load_Data!A583</f>
        <v>46216.104166668076</v>
      </c>
      <c r="B583">
        <f>Raw_Load_Data!B583</f>
        <v>2.8</v>
      </c>
      <c r="C583">
        <f>MAX(0,IF(AND(HOUR(A583)&gt;=6,HOUR(A583)&lt;=18),Assumptions!$B$8*SIN(PI()*(HOUR(A583)+MINUTE(A583)/60-6)/12),0))</f>
        <v>0</v>
      </c>
      <c r="D583">
        <f t="shared" si="9"/>
        <v>2.8</v>
      </c>
      <c r="E583">
        <f>MIN(B583,C583)*Assumptions!$B$2</f>
        <v>0</v>
      </c>
      <c r="F583">
        <f>MAX(C583-B583,0)*Assumptions!$B$2</f>
        <v>0</v>
      </c>
      <c r="G583">
        <f>MAX(B583-C583,0)*Assumptions!$B$2</f>
        <v>1.4</v>
      </c>
    </row>
    <row r="584" spans="1:7" x14ac:dyDescent="0.3">
      <c r="A584" s="5">
        <f>Raw_Load_Data!A584</f>
        <v>46216.125000001412</v>
      </c>
      <c r="B584">
        <f>Raw_Load_Data!B584</f>
        <v>2.6</v>
      </c>
      <c r="C584">
        <f>MAX(0,IF(AND(HOUR(A584)&gt;=6,HOUR(A584)&lt;=18),Assumptions!$B$8*SIN(PI()*(HOUR(A584)+MINUTE(A584)/60-6)/12),0))</f>
        <v>0</v>
      </c>
      <c r="D584">
        <f t="shared" si="9"/>
        <v>2.6</v>
      </c>
      <c r="E584">
        <f>MIN(B584,C584)*Assumptions!$B$2</f>
        <v>0</v>
      </c>
      <c r="F584">
        <f>MAX(C584-B584,0)*Assumptions!$B$2</f>
        <v>0</v>
      </c>
      <c r="G584">
        <f>MAX(B584-C584,0)*Assumptions!$B$2</f>
        <v>1.3</v>
      </c>
    </row>
    <row r="585" spans="1:7" x14ac:dyDescent="0.3">
      <c r="A585" s="5">
        <f>Raw_Load_Data!A585</f>
        <v>46216.145833334747</v>
      </c>
      <c r="B585">
        <f>Raw_Load_Data!B585</f>
        <v>2.4</v>
      </c>
      <c r="C585">
        <f>MAX(0,IF(AND(HOUR(A585)&gt;=6,HOUR(A585)&lt;=18),Assumptions!$B$8*SIN(PI()*(HOUR(A585)+MINUTE(A585)/60-6)/12),0))</f>
        <v>0</v>
      </c>
      <c r="D585">
        <f t="shared" si="9"/>
        <v>2.4</v>
      </c>
      <c r="E585">
        <f>MIN(B585,C585)*Assumptions!$B$2</f>
        <v>0</v>
      </c>
      <c r="F585">
        <f>MAX(C585-B585,0)*Assumptions!$B$2</f>
        <v>0</v>
      </c>
      <c r="G585">
        <f>MAX(B585-C585,0)*Assumptions!$B$2</f>
        <v>1.2</v>
      </c>
    </row>
    <row r="586" spans="1:7" x14ac:dyDescent="0.3">
      <c r="A586" s="5">
        <f>Raw_Load_Data!A586</f>
        <v>46216.166666668083</v>
      </c>
      <c r="B586">
        <f>Raw_Load_Data!B586</f>
        <v>2.9</v>
      </c>
      <c r="C586">
        <f>MAX(0,IF(AND(HOUR(A586)&gt;=6,HOUR(A586)&lt;=18),Assumptions!$B$8*SIN(PI()*(HOUR(A586)+MINUTE(A586)/60-6)/12),0))</f>
        <v>0</v>
      </c>
      <c r="D586">
        <f t="shared" si="9"/>
        <v>2.9</v>
      </c>
      <c r="E586">
        <f>MIN(B586,C586)*Assumptions!$B$2</f>
        <v>0</v>
      </c>
      <c r="F586">
        <f>MAX(C586-B586,0)*Assumptions!$B$2</f>
        <v>0</v>
      </c>
      <c r="G586">
        <f>MAX(B586-C586,0)*Assumptions!$B$2</f>
        <v>1.45</v>
      </c>
    </row>
    <row r="587" spans="1:7" x14ac:dyDescent="0.3">
      <c r="A587" s="5">
        <f>Raw_Load_Data!A587</f>
        <v>46216.187500001419</v>
      </c>
      <c r="B587">
        <f>Raw_Load_Data!B587</f>
        <v>2.8</v>
      </c>
      <c r="C587">
        <f>MAX(0,IF(AND(HOUR(A587)&gt;=6,HOUR(A587)&lt;=18),Assumptions!$B$8*SIN(PI()*(HOUR(A587)+MINUTE(A587)/60-6)/12),0))</f>
        <v>0</v>
      </c>
      <c r="D587">
        <f t="shared" si="9"/>
        <v>2.8</v>
      </c>
      <c r="E587">
        <f>MIN(B587,C587)*Assumptions!$B$2</f>
        <v>0</v>
      </c>
      <c r="F587">
        <f>MAX(C587-B587,0)*Assumptions!$B$2</f>
        <v>0</v>
      </c>
      <c r="G587">
        <f>MAX(B587-C587,0)*Assumptions!$B$2</f>
        <v>1.4</v>
      </c>
    </row>
    <row r="588" spans="1:7" x14ac:dyDescent="0.3">
      <c r="A588" s="5">
        <f>Raw_Load_Data!A588</f>
        <v>46216.208333334755</v>
      </c>
      <c r="B588">
        <f>Raw_Load_Data!B588</f>
        <v>2.2000000000000002</v>
      </c>
      <c r="C588">
        <f>MAX(0,IF(AND(HOUR(A588)&gt;=6,HOUR(A588)&lt;=18),Assumptions!$B$8*SIN(PI()*(HOUR(A588)+MINUTE(A588)/60-6)/12),0))</f>
        <v>0</v>
      </c>
      <c r="D588">
        <f t="shared" si="9"/>
        <v>2.2000000000000002</v>
      </c>
      <c r="E588">
        <f>MIN(B588,C588)*Assumptions!$B$2</f>
        <v>0</v>
      </c>
      <c r="F588">
        <f>MAX(C588-B588,0)*Assumptions!$B$2</f>
        <v>0</v>
      </c>
      <c r="G588">
        <f>MAX(B588-C588,0)*Assumptions!$B$2</f>
        <v>1.1000000000000001</v>
      </c>
    </row>
    <row r="589" spans="1:7" x14ac:dyDescent="0.3">
      <c r="A589" s="5">
        <f>Raw_Load_Data!A589</f>
        <v>46216.22916666809</v>
      </c>
      <c r="B589">
        <f>Raw_Load_Data!B589</f>
        <v>2.4</v>
      </c>
      <c r="C589">
        <f>MAX(0,IF(AND(HOUR(A589)&gt;=6,HOUR(A589)&lt;=18),Assumptions!$B$8*SIN(PI()*(HOUR(A589)+MINUTE(A589)/60-6)/12),0))</f>
        <v>0</v>
      </c>
      <c r="D589">
        <f t="shared" si="9"/>
        <v>2.4</v>
      </c>
      <c r="E589">
        <f>MIN(B589,C589)*Assumptions!$B$2</f>
        <v>0</v>
      </c>
      <c r="F589">
        <f>MAX(C589-B589,0)*Assumptions!$B$2</f>
        <v>0</v>
      </c>
      <c r="G589">
        <f>MAX(B589-C589,0)*Assumptions!$B$2</f>
        <v>1.2</v>
      </c>
    </row>
    <row r="590" spans="1:7" x14ac:dyDescent="0.3">
      <c r="A590" s="5">
        <f>Raw_Load_Data!A590</f>
        <v>46216.250000001426</v>
      </c>
      <c r="B590">
        <f>Raw_Load_Data!B590</f>
        <v>7.4</v>
      </c>
      <c r="C590">
        <f>MAX(0,IF(AND(HOUR(A590)&gt;=6,HOUR(A590)&lt;=18),Assumptions!$B$8*SIN(PI()*(HOUR(A590)+MINUTE(A590)/60-6)/12),0))</f>
        <v>0</v>
      </c>
      <c r="D590">
        <f t="shared" si="9"/>
        <v>7.4</v>
      </c>
      <c r="E590">
        <f>MIN(B590,C590)*Assumptions!$B$2</f>
        <v>0</v>
      </c>
      <c r="F590">
        <f>MAX(C590-B590,0)*Assumptions!$B$2</f>
        <v>0</v>
      </c>
      <c r="G590">
        <f>MAX(B590-C590,0)*Assumptions!$B$2</f>
        <v>3.7</v>
      </c>
    </row>
    <row r="591" spans="1:7" x14ac:dyDescent="0.3">
      <c r="A591" s="5">
        <f>Raw_Load_Data!A591</f>
        <v>46216.270833334762</v>
      </c>
      <c r="B591">
        <f>Raw_Load_Data!B591</f>
        <v>4.7</v>
      </c>
      <c r="C591">
        <f>MAX(0,IF(AND(HOUR(A591)&gt;=6,HOUR(A591)&lt;=18),Assumptions!$B$8*SIN(PI()*(HOUR(A591)+MINUTE(A591)/60-6)/12),0))</f>
        <v>3.9157857666015472</v>
      </c>
      <c r="D591">
        <f t="shared" si="9"/>
        <v>0.78421423339845298</v>
      </c>
      <c r="E591">
        <f>MIN(B591,C591)*Assumptions!$B$2</f>
        <v>1.9578928833007736</v>
      </c>
      <c r="F591">
        <f>MAX(C591-B591,0)*Assumptions!$B$2</f>
        <v>0</v>
      </c>
      <c r="G591">
        <f>MAX(B591-C591,0)*Assumptions!$B$2</f>
        <v>0.39210711669922649</v>
      </c>
    </row>
    <row r="592" spans="1:7" x14ac:dyDescent="0.3">
      <c r="A592" s="5">
        <f>Raw_Load_Data!A592</f>
        <v>46216.291666668098</v>
      </c>
      <c r="B592">
        <f>Raw_Load_Data!B592</f>
        <v>4.0999999999999996</v>
      </c>
      <c r="C592">
        <f>MAX(0,IF(AND(HOUR(A592)&gt;=6,HOUR(A592)&lt;=18),Assumptions!$B$8*SIN(PI()*(HOUR(A592)+MINUTE(A592)/60-6)/12),0))</f>
        <v>7.7645713530756222</v>
      </c>
      <c r="D592">
        <f t="shared" si="9"/>
        <v>-3.6645713530756225</v>
      </c>
      <c r="E592">
        <f>MIN(B592,C592)*Assumptions!$B$2</f>
        <v>2.0499999999999998</v>
      </c>
      <c r="F592">
        <f>MAX(C592-B592,0)*Assumptions!$B$2</f>
        <v>1.8322856765378113</v>
      </c>
      <c r="G592">
        <f>MAX(B592-C592,0)*Assumptions!$B$2</f>
        <v>0</v>
      </c>
    </row>
    <row r="593" spans="1:7" x14ac:dyDescent="0.3">
      <c r="A593" s="5">
        <f>Raw_Load_Data!A593</f>
        <v>46216.312500001433</v>
      </c>
      <c r="B593">
        <f>Raw_Load_Data!B593</f>
        <v>6.5</v>
      </c>
      <c r="C593">
        <f>MAX(0,IF(AND(HOUR(A593)&gt;=6,HOUR(A593)&lt;=18),Assumptions!$B$8*SIN(PI()*(HOUR(A593)+MINUTE(A593)/60-6)/12),0))</f>
        <v>11.480502970952694</v>
      </c>
      <c r="D593">
        <f t="shared" si="9"/>
        <v>-4.9805029709526938</v>
      </c>
      <c r="E593">
        <f>MIN(B593,C593)*Assumptions!$B$2</f>
        <v>3.25</v>
      </c>
      <c r="F593">
        <f>MAX(C593-B593,0)*Assumptions!$B$2</f>
        <v>2.4902514854763469</v>
      </c>
      <c r="G593">
        <f>MAX(B593-C593,0)*Assumptions!$B$2</f>
        <v>0</v>
      </c>
    </row>
    <row r="594" spans="1:7" x14ac:dyDescent="0.3">
      <c r="A594" s="5">
        <f>Raw_Load_Data!A594</f>
        <v>46216.333333334769</v>
      </c>
      <c r="B594">
        <f>Raw_Load_Data!B594</f>
        <v>16.3</v>
      </c>
      <c r="C594">
        <f>MAX(0,IF(AND(HOUR(A594)&gt;=6,HOUR(A594)&lt;=18),Assumptions!$B$8*SIN(PI()*(HOUR(A594)+MINUTE(A594)/60-6)/12),0))</f>
        <v>14.999999999999998</v>
      </c>
      <c r="D594">
        <f t="shared" si="9"/>
        <v>1.3000000000000025</v>
      </c>
      <c r="E594">
        <f>MIN(B594,C594)*Assumptions!$B$2</f>
        <v>7.4999999999999991</v>
      </c>
      <c r="F594">
        <f>MAX(C594-B594,0)*Assumptions!$B$2</f>
        <v>0</v>
      </c>
      <c r="G594">
        <f>MAX(B594-C594,0)*Assumptions!$B$2</f>
        <v>0.65000000000000124</v>
      </c>
    </row>
    <row r="595" spans="1:7" x14ac:dyDescent="0.3">
      <c r="A595" s="5">
        <f>Raw_Load_Data!A595</f>
        <v>46216.354166668105</v>
      </c>
      <c r="B595">
        <f>Raw_Load_Data!B595</f>
        <v>16.3</v>
      </c>
      <c r="C595">
        <f>MAX(0,IF(AND(HOUR(A595)&gt;=6,HOUR(A595)&lt;=18),Assumptions!$B$8*SIN(PI()*(HOUR(A595)+MINUTE(A595)/60-6)/12),0))</f>
        <v>18.262842870261618</v>
      </c>
      <c r="D595">
        <f t="shared" si="9"/>
        <v>-1.9628428702616176</v>
      </c>
      <c r="E595">
        <f>MIN(B595,C595)*Assumptions!$B$2</f>
        <v>8.15</v>
      </c>
      <c r="F595">
        <f>MAX(C595-B595,0)*Assumptions!$B$2</f>
        <v>0.98142143513080882</v>
      </c>
      <c r="G595">
        <f>MAX(B595-C595,0)*Assumptions!$B$2</f>
        <v>0</v>
      </c>
    </row>
    <row r="596" spans="1:7" x14ac:dyDescent="0.3">
      <c r="A596" s="5">
        <f>Raw_Load_Data!A596</f>
        <v>46216.375000001441</v>
      </c>
      <c r="B596">
        <f>Raw_Load_Data!B596</f>
        <v>13.6</v>
      </c>
      <c r="C596">
        <f>MAX(0,IF(AND(HOUR(A596)&gt;=6,HOUR(A596)&lt;=18),Assumptions!$B$8*SIN(PI()*(HOUR(A596)+MINUTE(A596)/60-6)/12),0))</f>
        <v>21.213203435596423</v>
      </c>
      <c r="D596">
        <f t="shared" si="9"/>
        <v>-7.6132034355964233</v>
      </c>
      <c r="E596">
        <f>MIN(B596,C596)*Assumptions!$B$2</f>
        <v>6.8</v>
      </c>
      <c r="F596">
        <f>MAX(C596-B596,0)*Assumptions!$B$2</f>
        <v>3.8066017177982117</v>
      </c>
      <c r="G596">
        <f>MAX(B596-C596,0)*Assumptions!$B$2</f>
        <v>0</v>
      </c>
    </row>
    <row r="597" spans="1:7" x14ac:dyDescent="0.3">
      <c r="A597" s="5">
        <f>Raw_Load_Data!A597</f>
        <v>46216.395833334776</v>
      </c>
      <c r="B597">
        <f>Raw_Load_Data!B597</f>
        <v>14.5</v>
      </c>
      <c r="C597">
        <f>MAX(0,IF(AND(HOUR(A597)&gt;=6,HOUR(A597)&lt;=18),Assumptions!$B$8*SIN(PI()*(HOUR(A597)+MINUTE(A597)/60-6)/12),0))</f>
        <v>23.800600208737055</v>
      </c>
      <c r="D597">
        <f t="shared" si="9"/>
        <v>-9.3006002087370554</v>
      </c>
      <c r="E597">
        <f>MIN(B597,C597)*Assumptions!$B$2</f>
        <v>7.25</v>
      </c>
      <c r="F597">
        <f>MAX(C597-B597,0)*Assumptions!$B$2</f>
        <v>4.6503001043685277</v>
      </c>
      <c r="G597">
        <f>MAX(B597-C597,0)*Assumptions!$B$2</f>
        <v>0</v>
      </c>
    </row>
    <row r="598" spans="1:7" x14ac:dyDescent="0.3">
      <c r="A598" s="5">
        <f>Raw_Load_Data!A598</f>
        <v>46216.416666668112</v>
      </c>
      <c r="B598">
        <f>Raw_Load_Data!B598</f>
        <v>12.9</v>
      </c>
      <c r="C598">
        <f>MAX(0,IF(AND(HOUR(A598)&gt;=6,HOUR(A598)&lt;=18),Assumptions!$B$8*SIN(PI()*(HOUR(A598)+MINUTE(A598)/60-6)/12),0))</f>
        <v>25.980762113533157</v>
      </c>
      <c r="D598">
        <f t="shared" si="9"/>
        <v>-13.080762113533156</v>
      </c>
      <c r="E598">
        <f>MIN(B598,C598)*Assumptions!$B$2</f>
        <v>6.45</v>
      </c>
      <c r="F598">
        <f>MAX(C598-B598,0)*Assumptions!$B$2</f>
        <v>6.5403810567665781</v>
      </c>
      <c r="G598">
        <f>MAX(B598-C598,0)*Assumptions!$B$2</f>
        <v>0</v>
      </c>
    </row>
    <row r="599" spans="1:7" x14ac:dyDescent="0.3">
      <c r="A599" s="5">
        <f>Raw_Load_Data!A599</f>
        <v>46216.437500001448</v>
      </c>
      <c r="B599">
        <f>Raw_Load_Data!B599</f>
        <v>20.100000000000001</v>
      </c>
      <c r="C599">
        <f>MAX(0,IF(AND(HOUR(A599)&gt;=6,HOUR(A599)&lt;=18),Assumptions!$B$8*SIN(PI()*(HOUR(A599)+MINUTE(A599)/60-6)/12),0))</f>
        <v>27.716385975338603</v>
      </c>
      <c r="D599">
        <f t="shared" si="9"/>
        <v>-7.6163859753386021</v>
      </c>
      <c r="E599">
        <f>MIN(B599,C599)*Assumptions!$B$2</f>
        <v>10.050000000000001</v>
      </c>
      <c r="F599">
        <f>MAX(C599-B599,0)*Assumptions!$B$2</f>
        <v>3.808192987669301</v>
      </c>
      <c r="G599">
        <f>MAX(B599-C599,0)*Assumptions!$B$2</f>
        <v>0</v>
      </c>
    </row>
    <row r="600" spans="1:7" x14ac:dyDescent="0.3">
      <c r="A600" s="5">
        <f>Raw_Load_Data!A600</f>
        <v>46216.458333334784</v>
      </c>
      <c r="B600">
        <f>Raw_Load_Data!B600</f>
        <v>19.399999999999999</v>
      </c>
      <c r="C600">
        <f>MAX(0,IF(AND(HOUR(A600)&gt;=6,HOUR(A600)&lt;=18),Assumptions!$B$8*SIN(PI()*(HOUR(A600)+MINUTE(A600)/60-6)/12),0))</f>
        <v>28.97777478867205</v>
      </c>
      <c r="D600">
        <f t="shared" si="9"/>
        <v>-9.5777747886720519</v>
      </c>
      <c r="E600">
        <f>MIN(B600,C600)*Assumptions!$B$2</f>
        <v>9.6999999999999993</v>
      </c>
      <c r="F600">
        <f>MAX(C600-B600,0)*Assumptions!$B$2</f>
        <v>4.7888873943360259</v>
      </c>
      <c r="G600">
        <f>MAX(B600-C600,0)*Assumptions!$B$2</f>
        <v>0</v>
      </c>
    </row>
    <row r="601" spans="1:7" x14ac:dyDescent="0.3">
      <c r="A601" s="5">
        <f>Raw_Load_Data!A601</f>
        <v>46216.479166668119</v>
      </c>
      <c r="B601">
        <f>Raw_Load_Data!B601</f>
        <v>15.5</v>
      </c>
      <c r="C601">
        <f>MAX(0,IF(AND(HOUR(A601)&gt;=6,HOUR(A601)&lt;=18),Assumptions!$B$8*SIN(PI()*(HOUR(A601)+MINUTE(A601)/60-6)/12),0))</f>
        <v>29.74334584121431</v>
      </c>
      <c r="D601">
        <f t="shared" si="9"/>
        <v>-14.24334584121431</v>
      </c>
      <c r="E601">
        <f>MIN(B601,C601)*Assumptions!$B$2</f>
        <v>7.75</v>
      </c>
      <c r="F601">
        <f>MAX(C601-B601,0)*Assumptions!$B$2</f>
        <v>7.1216729206071552</v>
      </c>
      <c r="G601">
        <f>MAX(B601-C601,0)*Assumptions!$B$2</f>
        <v>0</v>
      </c>
    </row>
    <row r="602" spans="1:7" x14ac:dyDescent="0.3">
      <c r="A602" s="5">
        <f>Raw_Load_Data!A602</f>
        <v>46216.500000001455</v>
      </c>
      <c r="B602">
        <f>Raw_Load_Data!B602</f>
        <v>33</v>
      </c>
      <c r="C602">
        <f>MAX(0,IF(AND(HOUR(A602)&gt;=6,HOUR(A602)&lt;=18),Assumptions!$B$8*SIN(PI()*(HOUR(A602)+MINUTE(A602)/60-6)/12),0))</f>
        <v>30</v>
      </c>
      <c r="D602">
        <f t="shared" si="9"/>
        <v>3</v>
      </c>
      <c r="E602">
        <f>MIN(B602,C602)*Assumptions!$B$2</f>
        <v>15</v>
      </c>
      <c r="F602">
        <f>MAX(C602-B602,0)*Assumptions!$B$2</f>
        <v>0</v>
      </c>
      <c r="G602">
        <f>MAX(B602-C602,0)*Assumptions!$B$2</f>
        <v>1.5</v>
      </c>
    </row>
    <row r="603" spans="1:7" x14ac:dyDescent="0.3">
      <c r="A603" s="5">
        <f>Raw_Load_Data!A603</f>
        <v>46216.520833334791</v>
      </c>
      <c r="B603">
        <f>Raw_Load_Data!B603</f>
        <v>25.5</v>
      </c>
      <c r="C603">
        <f>MAX(0,IF(AND(HOUR(A603)&gt;=6,HOUR(A603)&lt;=18),Assumptions!$B$8*SIN(PI()*(HOUR(A603)+MINUTE(A603)/60-6)/12),0))</f>
        <v>29.74334584121431</v>
      </c>
      <c r="D603">
        <f t="shared" si="9"/>
        <v>-4.2433458412143104</v>
      </c>
      <c r="E603">
        <f>MIN(B603,C603)*Assumptions!$B$2</f>
        <v>12.75</v>
      </c>
      <c r="F603">
        <f>MAX(C603-B603,0)*Assumptions!$B$2</f>
        <v>2.1216729206071552</v>
      </c>
      <c r="G603">
        <f>MAX(B603-C603,0)*Assumptions!$B$2</f>
        <v>0</v>
      </c>
    </row>
    <row r="604" spans="1:7" x14ac:dyDescent="0.3">
      <c r="A604" s="5">
        <f>Raw_Load_Data!A604</f>
        <v>46216.541666668127</v>
      </c>
      <c r="B604">
        <f>Raw_Load_Data!B604</f>
        <v>19.399999999999999</v>
      </c>
      <c r="C604">
        <f>MAX(0,IF(AND(HOUR(A604)&gt;=6,HOUR(A604)&lt;=18),Assumptions!$B$8*SIN(PI()*(HOUR(A604)+MINUTE(A604)/60-6)/12),0))</f>
        <v>28.97777478867205</v>
      </c>
      <c r="D604">
        <f t="shared" si="9"/>
        <v>-9.5777747886720519</v>
      </c>
      <c r="E604">
        <f>MIN(B604,C604)*Assumptions!$B$2</f>
        <v>9.6999999999999993</v>
      </c>
      <c r="F604">
        <f>MAX(C604-B604,0)*Assumptions!$B$2</f>
        <v>4.7888873943360259</v>
      </c>
      <c r="G604">
        <f>MAX(B604-C604,0)*Assumptions!$B$2</f>
        <v>0</v>
      </c>
    </row>
    <row r="605" spans="1:7" x14ac:dyDescent="0.3">
      <c r="A605" s="5">
        <f>Raw_Load_Data!A605</f>
        <v>46216.562500001462</v>
      </c>
      <c r="B605">
        <f>Raw_Load_Data!B605</f>
        <v>24.6</v>
      </c>
      <c r="C605">
        <f>MAX(0,IF(AND(HOUR(A605)&gt;=6,HOUR(A605)&lt;=18),Assumptions!$B$8*SIN(PI()*(HOUR(A605)+MINUTE(A605)/60-6)/12),0))</f>
        <v>27.716385975338607</v>
      </c>
      <c r="D605">
        <f t="shared" si="9"/>
        <v>-3.1163859753386056</v>
      </c>
      <c r="E605">
        <f>MIN(B605,C605)*Assumptions!$B$2</f>
        <v>12.3</v>
      </c>
      <c r="F605">
        <f>MAX(C605-B605,0)*Assumptions!$B$2</f>
        <v>1.5581929876693028</v>
      </c>
      <c r="G605">
        <f>MAX(B605-C605,0)*Assumptions!$B$2</f>
        <v>0</v>
      </c>
    </row>
    <row r="606" spans="1:7" x14ac:dyDescent="0.3">
      <c r="A606" s="5">
        <f>Raw_Load_Data!A606</f>
        <v>46216.583333334798</v>
      </c>
      <c r="B606">
        <f>Raw_Load_Data!B606</f>
        <v>33.200000000000003</v>
      </c>
      <c r="C606">
        <f>MAX(0,IF(AND(HOUR(A606)&gt;=6,HOUR(A606)&lt;=18),Assumptions!$B$8*SIN(PI()*(HOUR(A606)+MINUTE(A606)/60-6)/12),0))</f>
        <v>25.98076211353316</v>
      </c>
      <c r="D606">
        <f t="shared" si="9"/>
        <v>7.2192378864668427</v>
      </c>
      <c r="E606">
        <f>MIN(B606,C606)*Assumptions!$B$2</f>
        <v>12.99038105676658</v>
      </c>
      <c r="F606">
        <f>MAX(C606-B606,0)*Assumptions!$B$2</f>
        <v>0</v>
      </c>
      <c r="G606">
        <f>MAX(B606-C606,0)*Assumptions!$B$2</f>
        <v>3.6096189432334214</v>
      </c>
    </row>
    <row r="607" spans="1:7" x14ac:dyDescent="0.3">
      <c r="A607" s="5">
        <f>Raw_Load_Data!A607</f>
        <v>46216.604166668134</v>
      </c>
      <c r="B607">
        <f>Raw_Load_Data!B607</f>
        <v>34.9</v>
      </c>
      <c r="C607">
        <f>MAX(0,IF(AND(HOUR(A607)&gt;=6,HOUR(A607)&lt;=18),Assumptions!$B$8*SIN(PI()*(HOUR(A607)+MINUTE(A607)/60-6)/12),0))</f>
        <v>23.800600208737055</v>
      </c>
      <c r="D607">
        <f t="shared" si="9"/>
        <v>11.099399791262943</v>
      </c>
      <c r="E607">
        <f>MIN(B607,C607)*Assumptions!$B$2</f>
        <v>11.900300104368528</v>
      </c>
      <c r="F607">
        <f>MAX(C607-B607,0)*Assumptions!$B$2</f>
        <v>0</v>
      </c>
      <c r="G607">
        <f>MAX(B607-C607,0)*Assumptions!$B$2</f>
        <v>5.5496998956314716</v>
      </c>
    </row>
    <row r="608" spans="1:7" x14ac:dyDescent="0.3">
      <c r="A608" s="5">
        <f>Raw_Load_Data!A608</f>
        <v>46216.62500000147</v>
      </c>
      <c r="B608">
        <f>Raw_Load_Data!B608</f>
        <v>19.899999999999999</v>
      </c>
      <c r="C608">
        <f>MAX(0,IF(AND(HOUR(A608)&gt;=6,HOUR(A608)&lt;=18),Assumptions!$B$8*SIN(PI()*(HOUR(A608)+MINUTE(A608)/60-6)/12),0))</f>
        <v>21.213203435596427</v>
      </c>
      <c r="D608">
        <f t="shared" si="9"/>
        <v>-1.3132034355964279</v>
      </c>
      <c r="E608">
        <f>MIN(B608,C608)*Assumptions!$B$2</f>
        <v>9.9499999999999993</v>
      </c>
      <c r="F608">
        <f>MAX(C608-B608,0)*Assumptions!$B$2</f>
        <v>0.65660171779821397</v>
      </c>
      <c r="G608">
        <f>MAX(B608-C608,0)*Assumptions!$B$2</f>
        <v>0</v>
      </c>
    </row>
    <row r="609" spans="1:7" x14ac:dyDescent="0.3">
      <c r="A609" s="5">
        <f>Raw_Load_Data!A609</f>
        <v>46216.645833334806</v>
      </c>
      <c r="B609">
        <f>Raw_Load_Data!B609</f>
        <v>19.899999999999999</v>
      </c>
      <c r="C609">
        <f>MAX(0,IF(AND(HOUR(A609)&gt;=6,HOUR(A609)&lt;=18),Assumptions!$B$8*SIN(PI()*(HOUR(A609)+MINUTE(A609)/60-6)/12),0))</f>
        <v>18.262842870261625</v>
      </c>
      <c r="D609">
        <f t="shared" si="9"/>
        <v>1.6371571297383731</v>
      </c>
      <c r="E609">
        <f>MIN(B609,C609)*Assumptions!$B$2</f>
        <v>9.1314214351308127</v>
      </c>
      <c r="F609">
        <f>MAX(C609-B609,0)*Assumptions!$B$2</f>
        <v>0</v>
      </c>
      <c r="G609">
        <f>MAX(B609-C609,0)*Assumptions!$B$2</f>
        <v>0.81857856486918656</v>
      </c>
    </row>
    <row r="610" spans="1:7" x14ac:dyDescent="0.3">
      <c r="A610" s="5">
        <f>Raw_Load_Data!A610</f>
        <v>46216.666666668141</v>
      </c>
      <c r="B610">
        <f>Raw_Load_Data!B610</f>
        <v>13.2</v>
      </c>
      <c r="C610">
        <f>MAX(0,IF(AND(HOUR(A610)&gt;=6,HOUR(A610)&lt;=18),Assumptions!$B$8*SIN(PI()*(HOUR(A610)+MINUTE(A610)/60-6)/12),0))</f>
        <v>14.999999999999998</v>
      </c>
      <c r="D610">
        <f t="shared" si="9"/>
        <v>-1.7999999999999989</v>
      </c>
      <c r="E610">
        <f>MIN(B610,C610)*Assumptions!$B$2</f>
        <v>6.6</v>
      </c>
      <c r="F610">
        <f>MAX(C610-B610,0)*Assumptions!$B$2</f>
        <v>0.89999999999999947</v>
      </c>
      <c r="G610">
        <f>MAX(B610-C610,0)*Assumptions!$B$2</f>
        <v>0</v>
      </c>
    </row>
    <row r="611" spans="1:7" x14ac:dyDescent="0.3">
      <c r="A611" s="5">
        <f>Raw_Load_Data!A611</f>
        <v>46216.687500001477</v>
      </c>
      <c r="B611">
        <f>Raw_Load_Data!B611</f>
        <v>16.8</v>
      </c>
      <c r="C611">
        <f>MAX(0,IF(AND(HOUR(A611)&gt;=6,HOUR(A611)&lt;=18),Assumptions!$B$8*SIN(PI()*(HOUR(A611)+MINUTE(A611)/60-6)/12),0))</f>
        <v>11.480502970952697</v>
      </c>
      <c r="D611">
        <f t="shared" si="9"/>
        <v>5.3194970290473034</v>
      </c>
      <c r="E611">
        <f>MIN(B611,C611)*Assumptions!$B$2</f>
        <v>5.7402514854763487</v>
      </c>
      <c r="F611">
        <f>MAX(C611-B611,0)*Assumptions!$B$2</f>
        <v>0</v>
      </c>
      <c r="G611">
        <f>MAX(B611-C611,0)*Assumptions!$B$2</f>
        <v>2.6597485145236517</v>
      </c>
    </row>
    <row r="612" spans="1:7" x14ac:dyDescent="0.3">
      <c r="A612" s="5">
        <f>Raw_Load_Data!A612</f>
        <v>46216.708333334813</v>
      </c>
      <c r="B612">
        <f>Raw_Load_Data!B612</f>
        <v>16.2</v>
      </c>
      <c r="C612">
        <f>MAX(0,IF(AND(HOUR(A612)&gt;=6,HOUR(A612)&lt;=18),Assumptions!$B$8*SIN(PI()*(HOUR(A612)+MINUTE(A612)/60-6)/12),0))</f>
        <v>7.7645713530756302</v>
      </c>
      <c r="D612">
        <f t="shared" si="9"/>
        <v>8.4354286469243682</v>
      </c>
      <c r="E612">
        <f>MIN(B612,C612)*Assumptions!$B$2</f>
        <v>3.8822856765378151</v>
      </c>
      <c r="F612">
        <f>MAX(C612-B612,0)*Assumptions!$B$2</f>
        <v>0</v>
      </c>
      <c r="G612">
        <f>MAX(B612-C612,0)*Assumptions!$B$2</f>
        <v>4.2177143234621841</v>
      </c>
    </row>
    <row r="613" spans="1:7" x14ac:dyDescent="0.3">
      <c r="A613" s="5">
        <f>Raw_Load_Data!A613</f>
        <v>46216.729166668149</v>
      </c>
      <c r="B613">
        <f>Raw_Load_Data!B613</f>
        <v>18.100000000000001</v>
      </c>
      <c r="C613">
        <f>MAX(0,IF(AND(HOUR(A613)&gt;=6,HOUR(A613)&lt;=18),Assumptions!$B$8*SIN(PI()*(HOUR(A613)+MINUTE(A613)/60-6)/12),0))</f>
        <v>3.9157857666015596</v>
      </c>
      <c r="D613">
        <f t="shared" si="9"/>
        <v>14.184214233398443</v>
      </c>
      <c r="E613">
        <f>MIN(B613,C613)*Assumptions!$B$2</f>
        <v>1.9578928833007798</v>
      </c>
      <c r="F613">
        <f>MAX(C613-B613,0)*Assumptions!$B$2</f>
        <v>0</v>
      </c>
      <c r="G613">
        <f>MAX(B613-C613,0)*Assumptions!$B$2</f>
        <v>7.0921071166992213</v>
      </c>
    </row>
    <row r="614" spans="1:7" x14ac:dyDescent="0.3">
      <c r="A614" s="5">
        <f>Raw_Load_Data!A614</f>
        <v>46216.750000001484</v>
      </c>
      <c r="B614">
        <f>Raw_Load_Data!B614</f>
        <v>14.3</v>
      </c>
      <c r="C614">
        <f>MAX(0,IF(AND(HOUR(A614)&gt;=6,HOUR(A614)&lt;=18),Assumptions!$B$8*SIN(PI()*(HOUR(A614)+MINUTE(A614)/60-6)/12),0))</f>
        <v>3.67544536472586E-15</v>
      </c>
      <c r="D614">
        <f t="shared" si="9"/>
        <v>14.299999999999997</v>
      </c>
      <c r="E614">
        <f>MIN(B614,C614)*Assumptions!$B$2</f>
        <v>1.83772268236293E-15</v>
      </c>
      <c r="F614">
        <f>MAX(C614-B614,0)*Assumptions!$B$2</f>
        <v>0</v>
      </c>
      <c r="G614">
        <f>MAX(B614-C614,0)*Assumptions!$B$2</f>
        <v>7.1499999999999986</v>
      </c>
    </row>
    <row r="615" spans="1:7" x14ac:dyDescent="0.3">
      <c r="A615" s="5">
        <f>Raw_Load_Data!A615</f>
        <v>46216.77083333482</v>
      </c>
      <c r="B615">
        <f>Raw_Load_Data!B615</f>
        <v>18.5</v>
      </c>
      <c r="C615">
        <f>MAX(0,IF(AND(HOUR(A615)&gt;=6,HOUR(A615)&lt;=18),Assumptions!$B$8*SIN(PI()*(HOUR(A615)+MINUTE(A615)/60-6)/12),0))</f>
        <v>0</v>
      </c>
      <c r="D615">
        <f t="shared" si="9"/>
        <v>18.5</v>
      </c>
      <c r="E615">
        <f>MIN(B615,C615)*Assumptions!$B$2</f>
        <v>0</v>
      </c>
      <c r="F615">
        <f>MAX(C615-B615,0)*Assumptions!$B$2</f>
        <v>0</v>
      </c>
      <c r="G615">
        <f>MAX(B615-C615,0)*Assumptions!$B$2</f>
        <v>9.25</v>
      </c>
    </row>
    <row r="616" spans="1:7" x14ac:dyDescent="0.3">
      <c r="A616" s="5">
        <f>Raw_Load_Data!A616</f>
        <v>46216.791666668156</v>
      </c>
      <c r="B616">
        <f>Raw_Load_Data!B616</f>
        <v>5.6</v>
      </c>
      <c r="C616">
        <f>MAX(0,IF(AND(HOUR(A616)&gt;=6,HOUR(A616)&lt;=18),Assumptions!$B$8*SIN(PI()*(HOUR(A616)+MINUTE(A616)/60-6)/12),0))</f>
        <v>0</v>
      </c>
      <c r="D616">
        <f t="shared" si="9"/>
        <v>5.6</v>
      </c>
      <c r="E616">
        <f>MIN(B616,C616)*Assumptions!$B$2</f>
        <v>0</v>
      </c>
      <c r="F616">
        <f>MAX(C616-B616,0)*Assumptions!$B$2</f>
        <v>0</v>
      </c>
      <c r="G616">
        <f>MAX(B616-C616,0)*Assumptions!$B$2</f>
        <v>2.8</v>
      </c>
    </row>
    <row r="617" spans="1:7" x14ac:dyDescent="0.3">
      <c r="A617" s="5">
        <f>Raw_Load_Data!A617</f>
        <v>46216.812500001492</v>
      </c>
      <c r="B617">
        <f>Raw_Load_Data!B617</f>
        <v>3.1</v>
      </c>
      <c r="C617">
        <f>MAX(0,IF(AND(HOUR(A617)&gt;=6,HOUR(A617)&lt;=18),Assumptions!$B$8*SIN(PI()*(HOUR(A617)+MINUTE(A617)/60-6)/12),0))</f>
        <v>0</v>
      </c>
      <c r="D617">
        <f t="shared" si="9"/>
        <v>3.1</v>
      </c>
      <c r="E617">
        <f>MIN(B617,C617)*Assumptions!$B$2</f>
        <v>0</v>
      </c>
      <c r="F617">
        <f>MAX(C617-B617,0)*Assumptions!$B$2</f>
        <v>0</v>
      </c>
      <c r="G617">
        <f>MAX(B617-C617,0)*Assumptions!$B$2</f>
        <v>1.55</v>
      </c>
    </row>
    <row r="618" spans="1:7" x14ac:dyDescent="0.3">
      <c r="A618" s="5">
        <f>Raw_Load_Data!A618</f>
        <v>46216.833333334827</v>
      </c>
      <c r="B618">
        <f>Raw_Load_Data!B618</f>
        <v>5.8</v>
      </c>
      <c r="C618">
        <f>MAX(0,IF(AND(HOUR(A618)&gt;=6,HOUR(A618)&lt;=18),Assumptions!$B$8*SIN(PI()*(HOUR(A618)+MINUTE(A618)/60-6)/12),0))</f>
        <v>0</v>
      </c>
      <c r="D618">
        <f t="shared" si="9"/>
        <v>5.8</v>
      </c>
      <c r="E618">
        <f>MIN(B618,C618)*Assumptions!$B$2</f>
        <v>0</v>
      </c>
      <c r="F618">
        <f>MAX(C618-B618,0)*Assumptions!$B$2</f>
        <v>0</v>
      </c>
      <c r="G618">
        <f>MAX(B618-C618,0)*Assumptions!$B$2</f>
        <v>2.9</v>
      </c>
    </row>
    <row r="619" spans="1:7" x14ac:dyDescent="0.3">
      <c r="A619" s="5">
        <f>Raw_Load_Data!A619</f>
        <v>46216.854166668163</v>
      </c>
      <c r="B619">
        <f>Raw_Load_Data!B619</f>
        <v>7.6</v>
      </c>
      <c r="C619">
        <f>MAX(0,IF(AND(HOUR(A619)&gt;=6,HOUR(A619)&lt;=18),Assumptions!$B$8*SIN(PI()*(HOUR(A619)+MINUTE(A619)/60-6)/12),0))</f>
        <v>0</v>
      </c>
      <c r="D619">
        <f t="shared" si="9"/>
        <v>7.6</v>
      </c>
      <c r="E619">
        <f>MIN(B619,C619)*Assumptions!$B$2</f>
        <v>0</v>
      </c>
      <c r="F619">
        <f>MAX(C619-B619,0)*Assumptions!$B$2</f>
        <v>0</v>
      </c>
      <c r="G619">
        <f>MAX(B619-C619,0)*Assumptions!$B$2</f>
        <v>3.8</v>
      </c>
    </row>
    <row r="620" spans="1:7" x14ac:dyDescent="0.3">
      <c r="A620" s="5">
        <f>Raw_Load_Data!A620</f>
        <v>46216.875000001499</v>
      </c>
      <c r="B620">
        <f>Raw_Load_Data!B620</f>
        <v>4.0999999999999996</v>
      </c>
      <c r="C620">
        <f>MAX(0,IF(AND(HOUR(A620)&gt;=6,HOUR(A620)&lt;=18),Assumptions!$B$8*SIN(PI()*(HOUR(A620)+MINUTE(A620)/60-6)/12),0))</f>
        <v>0</v>
      </c>
      <c r="D620">
        <f t="shared" si="9"/>
        <v>4.0999999999999996</v>
      </c>
      <c r="E620">
        <f>MIN(B620,C620)*Assumptions!$B$2</f>
        <v>0</v>
      </c>
      <c r="F620">
        <f>MAX(C620-B620,0)*Assumptions!$B$2</f>
        <v>0</v>
      </c>
      <c r="G620">
        <f>MAX(B620-C620,0)*Assumptions!$B$2</f>
        <v>2.0499999999999998</v>
      </c>
    </row>
    <row r="621" spans="1:7" x14ac:dyDescent="0.3">
      <c r="A621" s="5">
        <f>Raw_Load_Data!A621</f>
        <v>46216.895833334835</v>
      </c>
      <c r="B621">
        <f>Raw_Load_Data!B621</f>
        <v>6.7</v>
      </c>
      <c r="C621">
        <f>MAX(0,IF(AND(HOUR(A621)&gt;=6,HOUR(A621)&lt;=18),Assumptions!$B$8*SIN(PI()*(HOUR(A621)+MINUTE(A621)/60-6)/12),0))</f>
        <v>0</v>
      </c>
      <c r="D621">
        <f t="shared" si="9"/>
        <v>6.7</v>
      </c>
      <c r="E621">
        <f>MIN(B621,C621)*Assumptions!$B$2</f>
        <v>0</v>
      </c>
      <c r="F621">
        <f>MAX(C621-B621,0)*Assumptions!$B$2</f>
        <v>0</v>
      </c>
      <c r="G621">
        <f>MAX(B621-C621,0)*Assumptions!$B$2</f>
        <v>3.35</v>
      </c>
    </row>
    <row r="622" spans="1:7" x14ac:dyDescent="0.3">
      <c r="A622" s="5">
        <f>Raw_Load_Data!A622</f>
        <v>46216.91666666817</v>
      </c>
      <c r="B622">
        <f>Raw_Load_Data!B622</f>
        <v>4</v>
      </c>
      <c r="C622">
        <f>MAX(0,IF(AND(HOUR(A622)&gt;=6,HOUR(A622)&lt;=18),Assumptions!$B$8*SIN(PI()*(HOUR(A622)+MINUTE(A622)/60-6)/12),0))</f>
        <v>0</v>
      </c>
      <c r="D622">
        <f t="shared" si="9"/>
        <v>4</v>
      </c>
      <c r="E622">
        <f>MIN(B622,C622)*Assumptions!$B$2</f>
        <v>0</v>
      </c>
      <c r="F622">
        <f>MAX(C622-B622,0)*Assumptions!$B$2</f>
        <v>0</v>
      </c>
      <c r="G622">
        <f>MAX(B622-C622,0)*Assumptions!$B$2</f>
        <v>2</v>
      </c>
    </row>
    <row r="623" spans="1:7" x14ac:dyDescent="0.3">
      <c r="A623" s="5">
        <f>Raw_Load_Data!A623</f>
        <v>46216.937500001506</v>
      </c>
      <c r="B623">
        <f>Raw_Load_Data!B623</f>
        <v>3.4</v>
      </c>
      <c r="C623">
        <f>MAX(0,IF(AND(HOUR(A623)&gt;=6,HOUR(A623)&lt;=18),Assumptions!$B$8*SIN(PI()*(HOUR(A623)+MINUTE(A623)/60-6)/12),0))</f>
        <v>0</v>
      </c>
      <c r="D623">
        <f t="shared" si="9"/>
        <v>3.4</v>
      </c>
      <c r="E623">
        <f>MIN(B623,C623)*Assumptions!$B$2</f>
        <v>0</v>
      </c>
      <c r="F623">
        <f>MAX(C623-B623,0)*Assumptions!$B$2</f>
        <v>0</v>
      </c>
      <c r="G623">
        <f>MAX(B623-C623,0)*Assumptions!$B$2</f>
        <v>1.7</v>
      </c>
    </row>
    <row r="624" spans="1:7" x14ac:dyDescent="0.3">
      <c r="A624" s="5">
        <f>Raw_Load_Data!A624</f>
        <v>46216.958333334842</v>
      </c>
      <c r="B624">
        <f>Raw_Load_Data!B624</f>
        <v>6.9</v>
      </c>
      <c r="C624">
        <f>MAX(0,IF(AND(HOUR(A624)&gt;=6,HOUR(A624)&lt;=18),Assumptions!$B$8*SIN(PI()*(HOUR(A624)+MINUTE(A624)/60-6)/12),0))</f>
        <v>0</v>
      </c>
      <c r="D624">
        <f t="shared" si="9"/>
        <v>6.9</v>
      </c>
      <c r="E624">
        <f>MIN(B624,C624)*Assumptions!$B$2</f>
        <v>0</v>
      </c>
      <c r="F624">
        <f>MAX(C624-B624,0)*Assumptions!$B$2</f>
        <v>0</v>
      </c>
      <c r="G624">
        <f>MAX(B624-C624,0)*Assumptions!$B$2</f>
        <v>3.45</v>
      </c>
    </row>
    <row r="625" spans="1:7" x14ac:dyDescent="0.3">
      <c r="A625" s="5">
        <f>Raw_Load_Data!A625</f>
        <v>46216.979166668178</v>
      </c>
      <c r="B625">
        <f>Raw_Load_Data!B625</f>
        <v>4.5999999999999996</v>
      </c>
      <c r="C625">
        <f>MAX(0,IF(AND(HOUR(A625)&gt;=6,HOUR(A625)&lt;=18),Assumptions!$B$8*SIN(PI()*(HOUR(A625)+MINUTE(A625)/60-6)/12),0))</f>
        <v>0</v>
      </c>
      <c r="D625">
        <f t="shared" si="9"/>
        <v>4.5999999999999996</v>
      </c>
      <c r="E625">
        <f>MIN(B625,C625)*Assumptions!$B$2</f>
        <v>0</v>
      </c>
      <c r="F625">
        <f>MAX(C625-B625,0)*Assumptions!$B$2</f>
        <v>0</v>
      </c>
      <c r="G625">
        <f>MAX(B625-C625,0)*Assumptions!$B$2</f>
        <v>2.2999999999999998</v>
      </c>
    </row>
    <row r="626" spans="1:7" x14ac:dyDescent="0.3">
      <c r="A626" s="5">
        <f>Raw_Load_Data!A626</f>
        <v>46217.000000001513</v>
      </c>
      <c r="B626">
        <f>Raw_Load_Data!B626</f>
        <v>2.7</v>
      </c>
      <c r="C626">
        <f>MAX(0,IF(AND(HOUR(A626)&gt;=6,HOUR(A626)&lt;=18),Assumptions!$B$8*SIN(PI()*(HOUR(A626)+MINUTE(A626)/60-6)/12),0))</f>
        <v>0</v>
      </c>
      <c r="D626">
        <f t="shared" si="9"/>
        <v>2.7</v>
      </c>
      <c r="E626">
        <f>MIN(B626,C626)*Assumptions!$B$2</f>
        <v>0</v>
      </c>
      <c r="F626">
        <f>MAX(C626-B626,0)*Assumptions!$B$2</f>
        <v>0</v>
      </c>
      <c r="G626">
        <f>MAX(B626-C626,0)*Assumptions!$B$2</f>
        <v>1.35</v>
      </c>
    </row>
    <row r="627" spans="1:7" x14ac:dyDescent="0.3">
      <c r="A627" s="5">
        <f>Raw_Load_Data!A627</f>
        <v>46217.020833334849</v>
      </c>
      <c r="B627">
        <f>Raw_Load_Data!B627</f>
        <v>2.2000000000000002</v>
      </c>
      <c r="C627">
        <f>MAX(0,IF(AND(HOUR(A627)&gt;=6,HOUR(A627)&lt;=18),Assumptions!$B$8*SIN(PI()*(HOUR(A627)+MINUTE(A627)/60-6)/12),0))</f>
        <v>0</v>
      </c>
      <c r="D627">
        <f t="shared" si="9"/>
        <v>2.2000000000000002</v>
      </c>
      <c r="E627">
        <f>MIN(B627,C627)*Assumptions!$B$2</f>
        <v>0</v>
      </c>
      <c r="F627">
        <f>MAX(C627-B627,0)*Assumptions!$B$2</f>
        <v>0</v>
      </c>
      <c r="G627">
        <f>MAX(B627-C627,0)*Assumptions!$B$2</f>
        <v>1.1000000000000001</v>
      </c>
    </row>
    <row r="628" spans="1:7" x14ac:dyDescent="0.3">
      <c r="A628" s="5">
        <f>Raw_Load_Data!A628</f>
        <v>46217.041666668185</v>
      </c>
      <c r="B628">
        <f>Raw_Load_Data!B628</f>
        <v>2.5</v>
      </c>
      <c r="C628">
        <f>MAX(0,IF(AND(HOUR(A628)&gt;=6,HOUR(A628)&lt;=18),Assumptions!$B$8*SIN(PI()*(HOUR(A628)+MINUTE(A628)/60-6)/12),0))</f>
        <v>0</v>
      </c>
      <c r="D628">
        <f t="shared" si="9"/>
        <v>2.5</v>
      </c>
      <c r="E628">
        <f>MIN(B628,C628)*Assumptions!$B$2</f>
        <v>0</v>
      </c>
      <c r="F628">
        <f>MAX(C628-B628,0)*Assumptions!$B$2</f>
        <v>0</v>
      </c>
      <c r="G628">
        <f>MAX(B628-C628,0)*Assumptions!$B$2</f>
        <v>1.25</v>
      </c>
    </row>
    <row r="629" spans="1:7" x14ac:dyDescent="0.3">
      <c r="A629" s="5">
        <f>Raw_Load_Data!A629</f>
        <v>46217.062500001521</v>
      </c>
      <c r="B629">
        <f>Raw_Load_Data!B629</f>
        <v>2.9</v>
      </c>
      <c r="C629">
        <f>MAX(0,IF(AND(HOUR(A629)&gt;=6,HOUR(A629)&lt;=18),Assumptions!$B$8*SIN(PI()*(HOUR(A629)+MINUTE(A629)/60-6)/12),0))</f>
        <v>0</v>
      </c>
      <c r="D629">
        <f t="shared" si="9"/>
        <v>2.9</v>
      </c>
      <c r="E629">
        <f>MIN(B629,C629)*Assumptions!$B$2</f>
        <v>0</v>
      </c>
      <c r="F629">
        <f>MAX(C629-B629,0)*Assumptions!$B$2</f>
        <v>0</v>
      </c>
      <c r="G629">
        <f>MAX(B629-C629,0)*Assumptions!$B$2</f>
        <v>1.45</v>
      </c>
    </row>
    <row r="630" spans="1:7" x14ac:dyDescent="0.3">
      <c r="A630" s="5">
        <f>Raw_Load_Data!A630</f>
        <v>46217.083333334856</v>
      </c>
      <c r="B630">
        <f>Raw_Load_Data!B630</f>
        <v>2.2999999999999998</v>
      </c>
      <c r="C630">
        <f>MAX(0,IF(AND(HOUR(A630)&gt;=6,HOUR(A630)&lt;=18),Assumptions!$B$8*SIN(PI()*(HOUR(A630)+MINUTE(A630)/60-6)/12),0))</f>
        <v>0</v>
      </c>
      <c r="D630">
        <f t="shared" si="9"/>
        <v>2.2999999999999998</v>
      </c>
      <c r="E630">
        <f>MIN(B630,C630)*Assumptions!$B$2</f>
        <v>0</v>
      </c>
      <c r="F630">
        <f>MAX(C630-B630,0)*Assumptions!$B$2</f>
        <v>0</v>
      </c>
      <c r="G630">
        <f>MAX(B630-C630,0)*Assumptions!$B$2</f>
        <v>1.1499999999999999</v>
      </c>
    </row>
    <row r="631" spans="1:7" x14ac:dyDescent="0.3">
      <c r="A631" s="5">
        <f>Raw_Load_Data!A631</f>
        <v>46217.104166668192</v>
      </c>
      <c r="B631">
        <f>Raw_Load_Data!B631</f>
        <v>2.6</v>
      </c>
      <c r="C631">
        <f>MAX(0,IF(AND(HOUR(A631)&gt;=6,HOUR(A631)&lt;=18),Assumptions!$B$8*SIN(PI()*(HOUR(A631)+MINUTE(A631)/60-6)/12),0))</f>
        <v>0</v>
      </c>
      <c r="D631">
        <f t="shared" si="9"/>
        <v>2.6</v>
      </c>
      <c r="E631">
        <f>MIN(B631,C631)*Assumptions!$B$2</f>
        <v>0</v>
      </c>
      <c r="F631">
        <f>MAX(C631-B631,0)*Assumptions!$B$2</f>
        <v>0</v>
      </c>
      <c r="G631">
        <f>MAX(B631-C631,0)*Assumptions!$B$2</f>
        <v>1.3</v>
      </c>
    </row>
    <row r="632" spans="1:7" x14ac:dyDescent="0.3">
      <c r="A632" s="5">
        <f>Raw_Load_Data!A632</f>
        <v>46217.125000001528</v>
      </c>
      <c r="B632">
        <f>Raw_Load_Data!B632</f>
        <v>2.8</v>
      </c>
      <c r="C632">
        <f>MAX(0,IF(AND(HOUR(A632)&gt;=6,HOUR(A632)&lt;=18),Assumptions!$B$8*SIN(PI()*(HOUR(A632)+MINUTE(A632)/60-6)/12),0))</f>
        <v>0</v>
      </c>
      <c r="D632">
        <f t="shared" si="9"/>
        <v>2.8</v>
      </c>
      <c r="E632">
        <f>MIN(B632,C632)*Assumptions!$B$2</f>
        <v>0</v>
      </c>
      <c r="F632">
        <f>MAX(C632-B632,0)*Assumptions!$B$2</f>
        <v>0</v>
      </c>
      <c r="G632">
        <f>MAX(B632-C632,0)*Assumptions!$B$2</f>
        <v>1.4</v>
      </c>
    </row>
    <row r="633" spans="1:7" x14ac:dyDescent="0.3">
      <c r="A633" s="5">
        <f>Raw_Load_Data!A633</f>
        <v>46217.145833334864</v>
      </c>
      <c r="B633">
        <f>Raw_Load_Data!B633</f>
        <v>2.4</v>
      </c>
      <c r="C633">
        <f>MAX(0,IF(AND(HOUR(A633)&gt;=6,HOUR(A633)&lt;=18),Assumptions!$B$8*SIN(PI()*(HOUR(A633)+MINUTE(A633)/60-6)/12),0))</f>
        <v>0</v>
      </c>
      <c r="D633">
        <f t="shared" si="9"/>
        <v>2.4</v>
      </c>
      <c r="E633">
        <f>MIN(B633,C633)*Assumptions!$B$2</f>
        <v>0</v>
      </c>
      <c r="F633">
        <f>MAX(C633-B633,0)*Assumptions!$B$2</f>
        <v>0</v>
      </c>
      <c r="G633">
        <f>MAX(B633-C633,0)*Assumptions!$B$2</f>
        <v>1.2</v>
      </c>
    </row>
    <row r="634" spans="1:7" x14ac:dyDescent="0.3">
      <c r="A634" s="5">
        <f>Raw_Load_Data!A634</f>
        <v>46217.166666668199</v>
      </c>
      <c r="B634">
        <f>Raw_Load_Data!B634</f>
        <v>2</v>
      </c>
      <c r="C634">
        <f>MAX(0,IF(AND(HOUR(A634)&gt;=6,HOUR(A634)&lt;=18),Assumptions!$B$8*SIN(PI()*(HOUR(A634)+MINUTE(A634)/60-6)/12),0))</f>
        <v>0</v>
      </c>
      <c r="D634">
        <f t="shared" si="9"/>
        <v>2</v>
      </c>
      <c r="E634">
        <f>MIN(B634,C634)*Assumptions!$B$2</f>
        <v>0</v>
      </c>
      <c r="F634">
        <f>MAX(C634-B634,0)*Assumptions!$B$2</f>
        <v>0</v>
      </c>
      <c r="G634">
        <f>MAX(B634-C634,0)*Assumptions!$B$2</f>
        <v>1</v>
      </c>
    </row>
    <row r="635" spans="1:7" x14ac:dyDescent="0.3">
      <c r="A635" s="5">
        <f>Raw_Load_Data!A635</f>
        <v>46217.187500001535</v>
      </c>
      <c r="B635">
        <f>Raw_Load_Data!B635</f>
        <v>2.2999999999999998</v>
      </c>
      <c r="C635">
        <f>MAX(0,IF(AND(HOUR(A635)&gt;=6,HOUR(A635)&lt;=18),Assumptions!$B$8*SIN(PI()*(HOUR(A635)+MINUTE(A635)/60-6)/12),0))</f>
        <v>0</v>
      </c>
      <c r="D635">
        <f t="shared" si="9"/>
        <v>2.2999999999999998</v>
      </c>
      <c r="E635">
        <f>MIN(B635,C635)*Assumptions!$B$2</f>
        <v>0</v>
      </c>
      <c r="F635">
        <f>MAX(C635-B635,0)*Assumptions!$B$2</f>
        <v>0</v>
      </c>
      <c r="G635">
        <f>MAX(B635-C635,0)*Assumptions!$B$2</f>
        <v>1.1499999999999999</v>
      </c>
    </row>
    <row r="636" spans="1:7" x14ac:dyDescent="0.3">
      <c r="A636" s="5">
        <f>Raw_Load_Data!A636</f>
        <v>46217.208333334871</v>
      </c>
      <c r="B636">
        <f>Raw_Load_Data!B636</f>
        <v>2.9</v>
      </c>
      <c r="C636">
        <f>MAX(0,IF(AND(HOUR(A636)&gt;=6,HOUR(A636)&lt;=18),Assumptions!$B$8*SIN(PI()*(HOUR(A636)+MINUTE(A636)/60-6)/12),0))</f>
        <v>0</v>
      </c>
      <c r="D636">
        <f t="shared" si="9"/>
        <v>2.9</v>
      </c>
      <c r="E636">
        <f>MIN(B636,C636)*Assumptions!$B$2</f>
        <v>0</v>
      </c>
      <c r="F636">
        <f>MAX(C636-B636,0)*Assumptions!$B$2</f>
        <v>0</v>
      </c>
      <c r="G636">
        <f>MAX(B636-C636,0)*Assumptions!$B$2</f>
        <v>1.45</v>
      </c>
    </row>
    <row r="637" spans="1:7" x14ac:dyDescent="0.3">
      <c r="A637" s="5">
        <f>Raw_Load_Data!A637</f>
        <v>46217.229166668207</v>
      </c>
      <c r="B637">
        <f>Raw_Load_Data!B637</f>
        <v>1.9</v>
      </c>
      <c r="C637">
        <f>MAX(0,IF(AND(HOUR(A637)&gt;=6,HOUR(A637)&lt;=18),Assumptions!$B$8*SIN(PI()*(HOUR(A637)+MINUTE(A637)/60-6)/12),0))</f>
        <v>0</v>
      </c>
      <c r="D637">
        <f t="shared" si="9"/>
        <v>1.9</v>
      </c>
      <c r="E637">
        <f>MIN(B637,C637)*Assumptions!$B$2</f>
        <v>0</v>
      </c>
      <c r="F637">
        <f>MAX(C637-B637,0)*Assumptions!$B$2</f>
        <v>0</v>
      </c>
      <c r="G637">
        <f>MAX(B637-C637,0)*Assumptions!$B$2</f>
        <v>0.95</v>
      </c>
    </row>
    <row r="638" spans="1:7" x14ac:dyDescent="0.3">
      <c r="A638" s="5">
        <f>Raw_Load_Data!A638</f>
        <v>46217.250000001543</v>
      </c>
      <c r="B638">
        <f>Raw_Load_Data!B638</f>
        <v>6.9</v>
      </c>
      <c r="C638">
        <f>MAX(0,IF(AND(HOUR(A638)&gt;=6,HOUR(A638)&lt;=18),Assumptions!$B$8*SIN(PI()*(HOUR(A638)+MINUTE(A638)/60-6)/12),0))</f>
        <v>0</v>
      </c>
      <c r="D638">
        <f t="shared" si="9"/>
        <v>6.9</v>
      </c>
      <c r="E638">
        <f>MIN(B638,C638)*Assumptions!$B$2</f>
        <v>0</v>
      </c>
      <c r="F638">
        <f>MAX(C638-B638,0)*Assumptions!$B$2</f>
        <v>0</v>
      </c>
      <c r="G638">
        <f>MAX(B638-C638,0)*Assumptions!$B$2</f>
        <v>3.45</v>
      </c>
    </row>
    <row r="639" spans="1:7" x14ac:dyDescent="0.3">
      <c r="A639" s="5">
        <f>Raw_Load_Data!A639</f>
        <v>46217.270833334878</v>
      </c>
      <c r="B639">
        <f>Raw_Load_Data!B639</f>
        <v>6.2</v>
      </c>
      <c r="C639">
        <f>MAX(0,IF(AND(HOUR(A639)&gt;=6,HOUR(A639)&lt;=18),Assumptions!$B$8*SIN(PI()*(HOUR(A639)+MINUTE(A639)/60-6)/12),0))</f>
        <v>3.9157857666015472</v>
      </c>
      <c r="D639">
        <f t="shared" si="9"/>
        <v>2.284214233398453</v>
      </c>
      <c r="E639">
        <f>MIN(B639,C639)*Assumptions!$B$2</f>
        <v>1.9578928833007736</v>
      </c>
      <c r="F639">
        <f>MAX(C639-B639,0)*Assumptions!$B$2</f>
        <v>0</v>
      </c>
      <c r="G639">
        <f>MAX(B639-C639,0)*Assumptions!$B$2</f>
        <v>1.1421071166992265</v>
      </c>
    </row>
    <row r="640" spans="1:7" x14ac:dyDescent="0.3">
      <c r="A640" s="5">
        <f>Raw_Load_Data!A640</f>
        <v>46217.291666668214</v>
      </c>
      <c r="B640">
        <f>Raw_Load_Data!B640</f>
        <v>7.7</v>
      </c>
      <c r="C640">
        <f>MAX(0,IF(AND(HOUR(A640)&gt;=6,HOUR(A640)&lt;=18),Assumptions!$B$8*SIN(PI()*(HOUR(A640)+MINUTE(A640)/60-6)/12),0))</f>
        <v>7.7645713530756222</v>
      </c>
      <c r="D640">
        <f t="shared" si="9"/>
        <v>-6.4571353075622007E-2</v>
      </c>
      <c r="E640">
        <f>MIN(B640,C640)*Assumptions!$B$2</f>
        <v>3.85</v>
      </c>
      <c r="F640">
        <f>MAX(C640-B640,0)*Assumptions!$B$2</f>
        <v>3.2285676537811003E-2</v>
      </c>
      <c r="G640">
        <f>MAX(B640-C640,0)*Assumptions!$B$2</f>
        <v>0</v>
      </c>
    </row>
    <row r="641" spans="1:7" x14ac:dyDescent="0.3">
      <c r="A641" s="5">
        <f>Raw_Load_Data!A641</f>
        <v>46217.31250000155</v>
      </c>
      <c r="B641">
        <f>Raw_Load_Data!B641</f>
        <v>6</v>
      </c>
      <c r="C641">
        <f>MAX(0,IF(AND(HOUR(A641)&gt;=6,HOUR(A641)&lt;=18),Assumptions!$B$8*SIN(PI()*(HOUR(A641)+MINUTE(A641)/60-6)/12),0))</f>
        <v>11.480502970952694</v>
      </c>
      <c r="D641">
        <f t="shared" si="9"/>
        <v>-5.4805029709526938</v>
      </c>
      <c r="E641">
        <f>MIN(B641,C641)*Assumptions!$B$2</f>
        <v>3</v>
      </c>
      <c r="F641">
        <f>MAX(C641-B641,0)*Assumptions!$B$2</f>
        <v>2.7402514854763469</v>
      </c>
      <c r="G641">
        <f>MAX(B641-C641,0)*Assumptions!$B$2</f>
        <v>0</v>
      </c>
    </row>
    <row r="642" spans="1:7" x14ac:dyDescent="0.3">
      <c r="A642" s="5">
        <f>Raw_Load_Data!A642</f>
        <v>46217.333333334886</v>
      </c>
      <c r="B642">
        <f>Raw_Load_Data!B642</f>
        <v>13.5</v>
      </c>
      <c r="C642">
        <f>MAX(0,IF(AND(HOUR(A642)&gt;=6,HOUR(A642)&lt;=18),Assumptions!$B$8*SIN(PI()*(HOUR(A642)+MINUTE(A642)/60-6)/12),0))</f>
        <v>14.999999999999998</v>
      </c>
      <c r="D642">
        <f t="shared" si="9"/>
        <v>-1.4999999999999982</v>
      </c>
      <c r="E642">
        <f>MIN(B642,C642)*Assumptions!$B$2</f>
        <v>6.75</v>
      </c>
      <c r="F642">
        <f>MAX(C642-B642,0)*Assumptions!$B$2</f>
        <v>0.74999999999999911</v>
      </c>
      <c r="G642">
        <f>MAX(B642-C642,0)*Assumptions!$B$2</f>
        <v>0</v>
      </c>
    </row>
    <row r="643" spans="1:7" x14ac:dyDescent="0.3">
      <c r="A643" s="5">
        <f>Raw_Load_Data!A643</f>
        <v>46217.354166668221</v>
      </c>
      <c r="B643">
        <f>Raw_Load_Data!B643</f>
        <v>20.399999999999999</v>
      </c>
      <c r="C643">
        <f>MAX(0,IF(AND(HOUR(A643)&gt;=6,HOUR(A643)&lt;=18),Assumptions!$B$8*SIN(PI()*(HOUR(A643)+MINUTE(A643)/60-6)/12),0))</f>
        <v>18.262842870261618</v>
      </c>
      <c r="D643">
        <f t="shared" ref="D643:D706" si="10">B643-C643</f>
        <v>2.1371571297383802</v>
      </c>
      <c r="E643">
        <f>MIN(B643,C643)*Assumptions!$B$2</f>
        <v>9.1314214351308092</v>
      </c>
      <c r="F643">
        <f>MAX(C643-B643,0)*Assumptions!$B$2</f>
        <v>0</v>
      </c>
      <c r="G643">
        <f>MAX(B643-C643,0)*Assumptions!$B$2</f>
        <v>1.0685785648691901</v>
      </c>
    </row>
    <row r="644" spans="1:7" x14ac:dyDescent="0.3">
      <c r="A644" s="5">
        <f>Raw_Load_Data!A644</f>
        <v>46217.375000001557</v>
      </c>
      <c r="B644">
        <f>Raw_Load_Data!B644</f>
        <v>14.1</v>
      </c>
      <c r="C644">
        <f>MAX(0,IF(AND(HOUR(A644)&gt;=6,HOUR(A644)&lt;=18),Assumptions!$B$8*SIN(PI()*(HOUR(A644)+MINUTE(A644)/60-6)/12),0))</f>
        <v>21.213203435596423</v>
      </c>
      <c r="D644">
        <f t="shared" si="10"/>
        <v>-7.1132034355964233</v>
      </c>
      <c r="E644">
        <f>MIN(B644,C644)*Assumptions!$B$2</f>
        <v>7.05</v>
      </c>
      <c r="F644">
        <f>MAX(C644-B644,0)*Assumptions!$B$2</f>
        <v>3.5566017177982117</v>
      </c>
      <c r="G644">
        <f>MAX(B644-C644,0)*Assumptions!$B$2</f>
        <v>0</v>
      </c>
    </row>
    <row r="645" spans="1:7" x14ac:dyDescent="0.3">
      <c r="A645" s="5">
        <f>Raw_Load_Data!A645</f>
        <v>46217.395833334893</v>
      </c>
      <c r="B645">
        <f>Raw_Load_Data!B645</f>
        <v>19</v>
      </c>
      <c r="C645">
        <f>MAX(0,IF(AND(HOUR(A645)&gt;=6,HOUR(A645)&lt;=18),Assumptions!$B$8*SIN(PI()*(HOUR(A645)+MINUTE(A645)/60-6)/12),0))</f>
        <v>23.800600208737055</v>
      </c>
      <c r="D645">
        <f t="shared" si="10"/>
        <v>-4.8006002087370554</v>
      </c>
      <c r="E645">
        <f>MIN(B645,C645)*Assumptions!$B$2</f>
        <v>9.5</v>
      </c>
      <c r="F645">
        <f>MAX(C645-B645,0)*Assumptions!$B$2</f>
        <v>2.4003001043685277</v>
      </c>
      <c r="G645">
        <f>MAX(B645-C645,0)*Assumptions!$B$2</f>
        <v>0</v>
      </c>
    </row>
    <row r="646" spans="1:7" x14ac:dyDescent="0.3">
      <c r="A646" s="5">
        <f>Raw_Load_Data!A646</f>
        <v>46217.416666668229</v>
      </c>
      <c r="B646">
        <f>Raw_Load_Data!B646</f>
        <v>20.8</v>
      </c>
      <c r="C646">
        <f>MAX(0,IF(AND(HOUR(A646)&gt;=6,HOUR(A646)&lt;=18),Assumptions!$B$8*SIN(PI()*(HOUR(A646)+MINUTE(A646)/60-6)/12),0))</f>
        <v>25.980762113533157</v>
      </c>
      <c r="D646">
        <f t="shared" si="10"/>
        <v>-5.1807621135331559</v>
      </c>
      <c r="E646">
        <f>MIN(B646,C646)*Assumptions!$B$2</f>
        <v>10.4</v>
      </c>
      <c r="F646">
        <f>MAX(C646-B646,0)*Assumptions!$B$2</f>
        <v>2.5903810567665779</v>
      </c>
      <c r="G646">
        <f>MAX(B646-C646,0)*Assumptions!$B$2</f>
        <v>0</v>
      </c>
    </row>
    <row r="647" spans="1:7" x14ac:dyDescent="0.3">
      <c r="A647" s="5">
        <f>Raw_Load_Data!A647</f>
        <v>46217.437500001564</v>
      </c>
      <c r="B647">
        <f>Raw_Load_Data!B647</f>
        <v>16.5</v>
      </c>
      <c r="C647">
        <f>MAX(0,IF(AND(HOUR(A647)&gt;=6,HOUR(A647)&lt;=18),Assumptions!$B$8*SIN(PI()*(HOUR(A647)+MINUTE(A647)/60-6)/12),0))</f>
        <v>27.716385975338603</v>
      </c>
      <c r="D647">
        <f t="shared" si="10"/>
        <v>-11.216385975338603</v>
      </c>
      <c r="E647">
        <f>MIN(B647,C647)*Assumptions!$B$2</f>
        <v>8.25</v>
      </c>
      <c r="F647">
        <f>MAX(C647-B647,0)*Assumptions!$B$2</f>
        <v>5.6081929876693017</v>
      </c>
      <c r="G647">
        <f>MAX(B647-C647,0)*Assumptions!$B$2</f>
        <v>0</v>
      </c>
    </row>
    <row r="648" spans="1:7" x14ac:dyDescent="0.3">
      <c r="A648" s="5">
        <f>Raw_Load_Data!A648</f>
        <v>46217.4583333349</v>
      </c>
      <c r="B648">
        <f>Raw_Load_Data!B648</f>
        <v>20.399999999999999</v>
      </c>
      <c r="C648">
        <f>MAX(0,IF(AND(HOUR(A648)&gt;=6,HOUR(A648)&lt;=18),Assumptions!$B$8*SIN(PI()*(HOUR(A648)+MINUTE(A648)/60-6)/12),0))</f>
        <v>28.97777478867205</v>
      </c>
      <c r="D648">
        <f t="shared" si="10"/>
        <v>-8.5777747886720519</v>
      </c>
      <c r="E648">
        <f>MIN(B648,C648)*Assumptions!$B$2</f>
        <v>10.199999999999999</v>
      </c>
      <c r="F648">
        <f>MAX(C648-B648,0)*Assumptions!$B$2</f>
        <v>4.2888873943360259</v>
      </c>
      <c r="G648">
        <f>MAX(B648-C648,0)*Assumptions!$B$2</f>
        <v>0</v>
      </c>
    </row>
    <row r="649" spans="1:7" x14ac:dyDescent="0.3">
      <c r="A649" s="5">
        <f>Raw_Load_Data!A649</f>
        <v>46217.479166668236</v>
      </c>
      <c r="B649">
        <f>Raw_Load_Data!B649</f>
        <v>18.5</v>
      </c>
      <c r="C649">
        <f>MAX(0,IF(AND(HOUR(A649)&gt;=6,HOUR(A649)&lt;=18),Assumptions!$B$8*SIN(PI()*(HOUR(A649)+MINUTE(A649)/60-6)/12),0))</f>
        <v>29.74334584121431</v>
      </c>
      <c r="D649">
        <f t="shared" si="10"/>
        <v>-11.24334584121431</v>
      </c>
      <c r="E649">
        <f>MIN(B649,C649)*Assumptions!$B$2</f>
        <v>9.25</v>
      </c>
      <c r="F649">
        <f>MAX(C649-B649,0)*Assumptions!$B$2</f>
        <v>5.6216729206071552</v>
      </c>
      <c r="G649">
        <f>MAX(B649-C649,0)*Assumptions!$B$2</f>
        <v>0</v>
      </c>
    </row>
    <row r="650" spans="1:7" x14ac:dyDescent="0.3">
      <c r="A650" s="5">
        <f>Raw_Load_Data!A650</f>
        <v>46217.500000001572</v>
      </c>
      <c r="B650">
        <f>Raw_Load_Data!B650</f>
        <v>33</v>
      </c>
      <c r="C650">
        <f>MAX(0,IF(AND(HOUR(A650)&gt;=6,HOUR(A650)&lt;=18),Assumptions!$B$8*SIN(PI()*(HOUR(A650)+MINUTE(A650)/60-6)/12),0))</f>
        <v>30</v>
      </c>
      <c r="D650">
        <f t="shared" si="10"/>
        <v>3</v>
      </c>
      <c r="E650">
        <f>MIN(B650,C650)*Assumptions!$B$2</f>
        <v>15</v>
      </c>
      <c r="F650">
        <f>MAX(C650-B650,0)*Assumptions!$B$2</f>
        <v>0</v>
      </c>
      <c r="G650">
        <f>MAX(B650-C650,0)*Assumptions!$B$2</f>
        <v>1.5</v>
      </c>
    </row>
    <row r="651" spans="1:7" x14ac:dyDescent="0.3">
      <c r="A651" s="5">
        <f>Raw_Load_Data!A651</f>
        <v>46217.520833334907</v>
      </c>
      <c r="B651">
        <f>Raw_Load_Data!B651</f>
        <v>30</v>
      </c>
      <c r="C651">
        <f>MAX(0,IF(AND(HOUR(A651)&gt;=6,HOUR(A651)&lt;=18),Assumptions!$B$8*SIN(PI()*(HOUR(A651)+MINUTE(A651)/60-6)/12),0))</f>
        <v>29.74334584121431</v>
      </c>
      <c r="D651">
        <f t="shared" si="10"/>
        <v>0.25665415878568965</v>
      </c>
      <c r="E651">
        <f>MIN(B651,C651)*Assumptions!$B$2</f>
        <v>14.871672920607155</v>
      </c>
      <c r="F651">
        <f>MAX(C651-B651,0)*Assumptions!$B$2</f>
        <v>0</v>
      </c>
      <c r="G651">
        <f>MAX(B651-C651,0)*Assumptions!$B$2</f>
        <v>0.12832707939284482</v>
      </c>
    </row>
    <row r="652" spans="1:7" x14ac:dyDescent="0.3">
      <c r="A652" s="5">
        <f>Raw_Load_Data!A652</f>
        <v>46217.541666668243</v>
      </c>
      <c r="B652">
        <f>Raw_Load_Data!B652</f>
        <v>22.3</v>
      </c>
      <c r="C652">
        <f>MAX(0,IF(AND(HOUR(A652)&gt;=6,HOUR(A652)&lt;=18),Assumptions!$B$8*SIN(PI()*(HOUR(A652)+MINUTE(A652)/60-6)/12),0))</f>
        <v>28.97777478867205</v>
      </c>
      <c r="D652">
        <f t="shared" si="10"/>
        <v>-6.6777747886720498</v>
      </c>
      <c r="E652">
        <f>MIN(B652,C652)*Assumptions!$B$2</f>
        <v>11.15</v>
      </c>
      <c r="F652">
        <f>MAX(C652-B652,0)*Assumptions!$B$2</f>
        <v>3.3388873943360249</v>
      </c>
      <c r="G652">
        <f>MAX(B652-C652,0)*Assumptions!$B$2</f>
        <v>0</v>
      </c>
    </row>
    <row r="653" spans="1:7" x14ac:dyDescent="0.3">
      <c r="A653" s="5">
        <f>Raw_Load_Data!A653</f>
        <v>46217.562500001579</v>
      </c>
      <c r="B653">
        <f>Raw_Load_Data!B653</f>
        <v>34.1</v>
      </c>
      <c r="C653">
        <f>MAX(0,IF(AND(HOUR(A653)&gt;=6,HOUR(A653)&lt;=18),Assumptions!$B$8*SIN(PI()*(HOUR(A653)+MINUTE(A653)/60-6)/12),0))</f>
        <v>27.716385975338607</v>
      </c>
      <c r="D653">
        <f t="shared" si="10"/>
        <v>6.3836140246613944</v>
      </c>
      <c r="E653">
        <f>MIN(B653,C653)*Assumptions!$B$2</f>
        <v>13.858192987669304</v>
      </c>
      <c r="F653">
        <f>MAX(C653-B653,0)*Assumptions!$B$2</f>
        <v>0</v>
      </c>
      <c r="G653">
        <f>MAX(B653-C653,0)*Assumptions!$B$2</f>
        <v>3.1918070123306972</v>
      </c>
    </row>
    <row r="654" spans="1:7" x14ac:dyDescent="0.3">
      <c r="A654" s="5">
        <f>Raw_Load_Data!A654</f>
        <v>46217.583333334915</v>
      </c>
      <c r="B654">
        <f>Raw_Load_Data!B654</f>
        <v>33.5</v>
      </c>
      <c r="C654">
        <f>MAX(0,IF(AND(HOUR(A654)&gt;=6,HOUR(A654)&lt;=18),Assumptions!$B$8*SIN(PI()*(HOUR(A654)+MINUTE(A654)/60-6)/12),0))</f>
        <v>25.98076211353316</v>
      </c>
      <c r="D654">
        <f t="shared" si="10"/>
        <v>7.5192378864668399</v>
      </c>
      <c r="E654">
        <f>MIN(B654,C654)*Assumptions!$B$2</f>
        <v>12.99038105676658</v>
      </c>
      <c r="F654">
        <f>MAX(C654-B654,0)*Assumptions!$B$2</f>
        <v>0</v>
      </c>
      <c r="G654">
        <f>MAX(B654-C654,0)*Assumptions!$B$2</f>
        <v>3.7596189432334199</v>
      </c>
    </row>
    <row r="655" spans="1:7" x14ac:dyDescent="0.3">
      <c r="A655" s="5">
        <f>Raw_Load_Data!A655</f>
        <v>46217.60416666825</v>
      </c>
      <c r="B655">
        <f>Raw_Load_Data!B655</f>
        <v>27.6</v>
      </c>
      <c r="C655">
        <f>MAX(0,IF(AND(HOUR(A655)&gt;=6,HOUR(A655)&lt;=18),Assumptions!$B$8*SIN(PI()*(HOUR(A655)+MINUTE(A655)/60-6)/12),0))</f>
        <v>23.800600208737055</v>
      </c>
      <c r="D655">
        <f t="shared" si="10"/>
        <v>3.799399791262946</v>
      </c>
      <c r="E655">
        <f>MIN(B655,C655)*Assumptions!$B$2</f>
        <v>11.900300104368528</v>
      </c>
      <c r="F655">
        <f>MAX(C655-B655,0)*Assumptions!$B$2</f>
        <v>0</v>
      </c>
      <c r="G655">
        <f>MAX(B655-C655,0)*Assumptions!$B$2</f>
        <v>1.899699895631473</v>
      </c>
    </row>
    <row r="656" spans="1:7" x14ac:dyDescent="0.3">
      <c r="A656" s="5">
        <f>Raw_Load_Data!A656</f>
        <v>46217.625000001586</v>
      </c>
      <c r="B656">
        <f>Raw_Load_Data!B656</f>
        <v>23.6</v>
      </c>
      <c r="C656">
        <f>MAX(0,IF(AND(HOUR(A656)&gt;=6,HOUR(A656)&lt;=18),Assumptions!$B$8*SIN(PI()*(HOUR(A656)+MINUTE(A656)/60-6)/12),0))</f>
        <v>21.213203435596427</v>
      </c>
      <c r="D656">
        <f t="shared" si="10"/>
        <v>2.3867965644035749</v>
      </c>
      <c r="E656">
        <f>MIN(B656,C656)*Assumptions!$B$2</f>
        <v>10.606601717798213</v>
      </c>
      <c r="F656">
        <f>MAX(C656-B656,0)*Assumptions!$B$2</f>
        <v>0</v>
      </c>
      <c r="G656">
        <f>MAX(B656-C656,0)*Assumptions!$B$2</f>
        <v>1.1933982822017875</v>
      </c>
    </row>
    <row r="657" spans="1:7" x14ac:dyDescent="0.3">
      <c r="A657" s="5">
        <f>Raw_Load_Data!A657</f>
        <v>46217.645833334922</v>
      </c>
      <c r="B657">
        <f>Raw_Load_Data!B657</f>
        <v>18.3</v>
      </c>
      <c r="C657">
        <f>MAX(0,IF(AND(HOUR(A657)&gt;=6,HOUR(A657)&lt;=18),Assumptions!$B$8*SIN(PI()*(HOUR(A657)+MINUTE(A657)/60-6)/12),0))</f>
        <v>18.262842870261625</v>
      </c>
      <c r="D657">
        <f t="shared" si="10"/>
        <v>3.7157129738375261E-2</v>
      </c>
      <c r="E657">
        <f>MIN(B657,C657)*Assumptions!$B$2</f>
        <v>9.1314214351308127</v>
      </c>
      <c r="F657">
        <f>MAX(C657-B657,0)*Assumptions!$B$2</f>
        <v>0</v>
      </c>
      <c r="G657">
        <f>MAX(B657-C657,0)*Assumptions!$B$2</f>
        <v>1.857856486918763E-2</v>
      </c>
    </row>
    <row r="658" spans="1:7" x14ac:dyDescent="0.3">
      <c r="A658" s="5">
        <f>Raw_Load_Data!A658</f>
        <v>46217.666666668258</v>
      </c>
      <c r="B658">
        <f>Raw_Load_Data!B658</f>
        <v>12.5</v>
      </c>
      <c r="C658">
        <f>MAX(0,IF(AND(HOUR(A658)&gt;=6,HOUR(A658)&lt;=18),Assumptions!$B$8*SIN(PI()*(HOUR(A658)+MINUTE(A658)/60-6)/12),0))</f>
        <v>14.999999999999998</v>
      </c>
      <c r="D658">
        <f t="shared" si="10"/>
        <v>-2.4999999999999982</v>
      </c>
      <c r="E658">
        <f>MIN(B658,C658)*Assumptions!$B$2</f>
        <v>6.25</v>
      </c>
      <c r="F658">
        <f>MAX(C658-B658,0)*Assumptions!$B$2</f>
        <v>1.2499999999999991</v>
      </c>
      <c r="G658">
        <f>MAX(B658-C658,0)*Assumptions!$B$2</f>
        <v>0</v>
      </c>
    </row>
    <row r="659" spans="1:7" x14ac:dyDescent="0.3">
      <c r="A659" s="5">
        <f>Raw_Load_Data!A659</f>
        <v>46217.687500001593</v>
      </c>
      <c r="B659">
        <f>Raw_Load_Data!B659</f>
        <v>19.8</v>
      </c>
      <c r="C659">
        <f>MAX(0,IF(AND(HOUR(A659)&gt;=6,HOUR(A659)&lt;=18),Assumptions!$B$8*SIN(PI()*(HOUR(A659)+MINUTE(A659)/60-6)/12),0))</f>
        <v>11.480502970952697</v>
      </c>
      <c r="D659">
        <f t="shared" si="10"/>
        <v>8.3194970290473034</v>
      </c>
      <c r="E659">
        <f>MIN(B659,C659)*Assumptions!$B$2</f>
        <v>5.7402514854763487</v>
      </c>
      <c r="F659">
        <f>MAX(C659-B659,0)*Assumptions!$B$2</f>
        <v>0</v>
      </c>
      <c r="G659">
        <f>MAX(B659-C659,0)*Assumptions!$B$2</f>
        <v>4.1597485145236517</v>
      </c>
    </row>
    <row r="660" spans="1:7" x14ac:dyDescent="0.3">
      <c r="A660" s="5">
        <f>Raw_Load_Data!A660</f>
        <v>46217.708333334929</v>
      </c>
      <c r="B660">
        <f>Raw_Load_Data!B660</f>
        <v>17.8</v>
      </c>
      <c r="C660">
        <f>MAX(0,IF(AND(HOUR(A660)&gt;=6,HOUR(A660)&lt;=18),Assumptions!$B$8*SIN(PI()*(HOUR(A660)+MINUTE(A660)/60-6)/12),0))</f>
        <v>7.7645713530756302</v>
      </c>
      <c r="D660">
        <f t="shared" si="10"/>
        <v>10.03542864692437</v>
      </c>
      <c r="E660">
        <f>MIN(B660,C660)*Assumptions!$B$2</f>
        <v>3.8822856765378151</v>
      </c>
      <c r="F660">
        <f>MAX(C660-B660,0)*Assumptions!$B$2</f>
        <v>0</v>
      </c>
      <c r="G660">
        <f>MAX(B660-C660,0)*Assumptions!$B$2</f>
        <v>5.0177143234621848</v>
      </c>
    </row>
    <row r="661" spans="1:7" x14ac:dyDescent="0.3">
      <c r="A661" s="5">
        <f>Raw_Load_Data!A661</f>
        <v>46217.729166668265</v>
      </c>
      <c r="B661">
        <f>Raw_Load_Data!B661</f>
        <v>12.3</v>
      </c>
      <c r="C661">
        <f>MAX(0,IF(AND(HOUR(A661)&gt;=6,HOUR(A661)&lt;=18),Assumptions!$B$8*SIN(PI()*(HOUR(A661)+MINUTE(A661)/60-6)/12),0))</f>
        <v>3.9157857666015596</v>
      </c>
      <c r="D661">
        <f t="shared" si="10"/>
        <v>8.384214233398442</v>
      </c>
      <c r="E661">
        <f>MIN(B661,C661)*Assumptions!$B$2</f>
        <v>1.9578928833007798</v>
      </c>
      <c r="F661">
        <f>MAX(C661-B661,0)*Assumptions!$B$2</f>
        <v>0</v>
      </c>
      <c r="G661">
        <f>MAX(B661-C661,0)*Assumptions!$B$2</f>
        <v>4.192107116699221</v>
      </c>
    </row>
    <row r="662" spans="1:7" x14ac:dyDescent="0.3">
      <c r="A662" s="5">
        <f>Raw_Load_Data!A662</f>
        <v>46217.750000001601</v>
      </c>
      <c r="B662">
        <f>Raw_Load_Data!B662</f>
        <v>12.3</v>
      </c>
      <c r="C662">
        <f>MAX(0,IF(AND(HOUR(A662)&gt;=6,HOUR(A662)&lt;=18),Assumptions!$B$8*SIN(PI()*(HOUR(A662)+MINUTE(A662)/60-6)/12),0))</f>
        <v>3.67544536472586E-15</v>
      </c>
      <c r="D662">
        <f t="shared" si="10"/>
        <v>12.299999999999997</v>
      </c>
      <c r="E662">
        <f>MIN(B662,C662)*Assumptions!$B$2</f>
        <v>1.83772268236293E-15</v>
      </c>
      <c r="F662">
        <f>MAX(C662-B662,0)*Assumptions!$B$2</f>
        <v>0</v>
      </c>
      <c r="G662">
        <f>MAX(B662-C662,0)*Assumptions!$B$2</f>
        <v>6.1499999999999986</v>
      </c>
    </row>
    <row r="663" spans="1:7" x14ac:dyDescent="0.3">
      <c r="A663" s="5">
        <f>Raw_Load_Data!A663</f>
        <v>46217.770833334936</v>
      </c>
      <c r="B663">
        <f>Raw_Load_Data!B663</f>
        <v>12.2</v>
      </c>
      <c r="C663">
        <f>MAX(0,IF(AND(HOUR(A663)&gt;=6,HOUR(A663)&lt;=18),Assumptions!$B$8*SIN(PI()*(HOUR(A663)+MINUTE(A663)/60-6)/12),0))</f>
        <v>0</v>
      </c>
      <c r="D663">
        <f t="shared" si="10"/>
        <v>12.2</v>
      </c>
      <c r="E663">
        <f>MIN(B663,C663)*Assumptions!$B$2</f>
        <v>0</v>
      </c>
      <c r="F663">
        <f>MAX(C663-B663,0)*Assumptions!$B$2</f>
        <v>0</v>
      </c>
      <c r="G663">
        <f>MAX(B663-C663,0)*Assumptions!$B$2</f>
        <v>6.1</v>
      </c>
    </row>
    <row r="664" spans="1:7" x14ac:dyDescent="0.3">
      <c r="A664" s="5">
        <f>Raw_Load_Data!A664</f>
        <v>46217.791666668272</v>
      </c>
      <c r="B664">
        <f>Raw_Load_Data!B664</f>
        <v>3.1</v>
      </c>
      <c r="C664">
        <f>MAX(0,IF(AND(HOUR(A664)&gt;=6,HOUR(A664)&lt;=18),Assumptions!$B$8*SIN(PI()*(HOUR(A664)+MINUTE(A664)/60-6)/12),0))</f>
        <v>0</v>
      </c>
      <c r="D664">
        <f t="shared" si="10"/>
        <v>3.1</v>
      </c>
      <c r="E664">
        <f>MIN(B664,C664)*Assumptions!$B$2</f>
        <v>0</v>
      </c>
      <c r="F664">
        <f>MAX(C664-B664,0)*Assumptions!$B$2</f>
        <v>0</v>
      </c>
      <c r="G664">
        <f>MAX(B664-C664,0)*Assumptions!$B$2</f>
        <v>1.55</v>
      </c>
    </row>
    <row r="665" spans="1:7" x14ac:dyDescent="0.3">
      <c r="A665" s="5">
        <f>Raw_Load_Data!A665</f>
        <v>46217.812500001608</v>
      </c>
      <c r="B665">
        <f>Raw_Load_Data!B665</f>
        <v>5.4</v>
      </c>
      <c r="C665">
        <f>MAX(0,IF(AND(HOUR(A665)&gt;=6,HOUR(A665)&lt;=18),Assumptions!$B$8*SIN(PI()*(HOUR(A665)+MINUTE(A665)/60-6)/12),0))</f>
        <v>0</v>
      </c>
      <c r="D665">
        <f t="shared" si="10"/>
        <v>5.4</v>
      </c>
      <c r="E665">
        <f>MIN(B665,C665)*Assumptions!$B$2</f>
        <v>0</v>
      </c>
      <c r="F665">
        <f>MAX(C665-B665,0)*Assumptions!$B$2</f>
        <v>0</v>
      </c>
      <c r="G665">
        <f>MAX(B665-C665,0)*Assumptions!$B$2</f>
        <v>2.7</v>
      </c>
    </row>
    <row r="666" spans="1:7" x14ac:dyDescent="0.3">
      <c r="A666" s="5">
        <f>Raw_Load_Data!A666</f>
        <v>46217.833333334944</v>
      </c>
      <c r="B666">
        <f>Raw_Load_Data!B666</f>
        <v>5.6</v>
      </c>
      <c r="C666">
        <f>MAX(0,IF(AND(HOUR(A666)&gt;=6,HOUR(A666)&lt;=18),Assumptions!$B$8*SIN(PI()*(HOUR(A666)+MINUTE(A666)/60-6)/12),0))</f>
        <v>0</v>
      </c>
      <c r="D666">
        <f t="shared" si="10"/>
        <v>5.6</v>
      </c>
      <c r="E666">
        <f>MIN(B666,C666)*Assumptions!$B$2</f>
        <v>0</v>
      </c>
      <c r="F666">
        <f>MAX(C666-B666,0)*Assumptions!$B$2</f>
        <v>0</v>
      </c>
      <c r="G666">
        <f>MAX(B666-C666,0)*Assumptions!$B$2</f>
        <v>2.8</v>
      </c>
    </row>
    <row r="667" spans="1:7" x14ac:dyDescent="0.3">
      <c r="A667" s="5">
        <f>Raw_Load_Data!A667</f>
        <v>46217.85416666828</v>
      </c>
      <c r="B667">
        <f>Raw_Load_Data!B667</f>
        <v>6.6</v>
      </c>
      <c r="C667">
        <f>MAX(0,IF(AND(HOUR(A667)&gt;=6,HOUR(A667)&lt;=18),Assumptions!$B$8*SIN(PI()*(HOUR(A667)+MINUTE(A667)/60-6)/12),0))</f>
        <v>0</v>
      </c>
      <c r="D667">
        <f t="shared" si="10"/>
        <v>6.6</v>
      </c>
      <c r="E667">
        <f>MIN(B667,C667)*Assumptions!$B$2</f>
        <v>0</v>
      </c>
      <c r="F667">
        <f>MAX(C667-B667,0)*Assumptions!$B$2</f>
        <v>0</v>
      </c>
      <c r="G667">
        <f>MAX(B667-C667,0)*Assumptions!$B$2</f>
        <v>3.3</v>
      </c>
    </row>
    <row r="668" spans="1:7" x14ac:dyDescent="0.3">
      <c r="A668" s="5">
        <f>Raw_Load_Data!A668</f>
        <v>46217.875000001615</v>
      </c>
      <c r="B668">
        <f>Raw_Load_Data!B668</f>
        <v>3.9</v>
      </c>
      <c r="C668">
        <f>MAX(0,IF(AND(HOUR(A668)&gt;=6,HOUR(A668)&lt;=18),Assumptions!$B$8*SIN(PI()*(HOUR(A668)+MINUTE(A668)/60-6)/12),0))</f>
        <v>0</v>
      </c>
      <c r="D668">
        <f t="shared" si="10"/>
        <v>3.9</v>
      </c>
      <c r="E668">
        <f>MIN(B668,C668)*Assumptions!$B$2</f>
        <v>0</v>
      </c>
      <c r="F668">
        <f>MAX(C668-B668,0)*Assumptions!$B$2</f>
        <v>0</v>
      </c>
      <c r="G668">
        <f>MAX(B668-C668,0)*Assumptions!$B$2</f>
        <v>1.95</v>
      </c>
    </row>
    <row r="669" spans="1:7" x14ac:dyDescent="0.3">
      <c r="A669" s="5">
        <f>Raw_Load_Data!A669</f>
        <v>46217.895833334951</v>
      </c>
      <c r="B669">
        <f>Raw_Load_Data!B669</f>
        <v>7.5</v>
      </c>
      <c r="C669">
        <f>MAX(0,IF(AND(HOUR(A669)&gt;=6,HOUR(A669)&lt;=18),Assumptions!$B$8*SIN(PI()*(HOUR(A669)+MINUTE(A669)/60-6)/12),0))</f>
        <v>0</v>
      </c>
      <c r="D669">
        <f t="shared" si="10"/>
        <v>7.5</v>
      </c>
      <c r="E669">
        <f>MIN(B669,C669)*Assumptions!$B$2</f>
        <v>0</v>
      </c>
      <c r="F669">
        <f>MAX(C669-B669,0)*Assumptions!$B$2</f>
        <v>0</v>
      </c>
      <c r="G669">
        <f>MAX(B669-C669,0)*Assumptions!$B$2</f>
        <v>3.75</v>
      </c>
    </row>
    <row r="670" spans="1:7" x14ac:dyDescent="0.3">
      <c r="A670" s="5">
        <f>Raw_Load_Data!A670</f>
        <v>46217.916666668287</v>
      </c>
      <c r="B670">
        <f>Raw_Load_Data!B670</f>
        <v>4.5999999999999996</v>
      </c>
      <c r="C670">
        <f>MAX(0,IF(AND(HOUR(A670)&gt;=6,HOUR(A670)&lt;=18),Assumptions!$B$8*SIN(PI()*(HOUR(A670)+MINUTE(A670)/60-6)/12),0))</f>
        <v>0</v>
      </c>
      <c r="D670">
        <f t="shared" si="10"/>
        <v>4.5999999999999996</v>
      </c>
      <c r="E670">
        <f>MIN(B670,C670)*Assumptions!$B$2</f>
        <v>0</v>
      </c>
      <c r="F670">
        <f>MAX(C670-B670,0)*Assumptions!$B$2</f>
        <v>0</v>
      </c>
      <c r="G670">
        <f>MAX(B670-C670,0)*Assumptions!$B$2</f>
        <v>2.2999999999999998</v>
      </c>
    </row>
    <row r="671" spans="1:7" x14ac:dyDescent="0.3">
      <c r="A671" s="5">
        <f>Raw_Load_Data!A671</f>
        <v>46217.937500001623</v>
      </c>
      <c r="B671">
        <f>Raw_Load_Data!B671</f>
        <v>3.7</v>
      </c>
      <c r="C671">
        <f>MAX(0,IF(AND(HOUR(A671)&gt;=6,HOUR(A671)&lt;=18),Assumptions!$B$8*SIN(PI()*(HOUR(A671)+MINUTE(A671)/60-6)/12),0))</f>
        <v>0</v>
      </c>
      <c r="D671">
        <f t="shared" si="10"/>
        <v>3.7</v>
      </c>
      <c r="E671">
        <f>MIN(B671,C671)*Assumptions!$B$2</f>
        <v>0</v>
      </c>
      <c r="F671">
        <f>MAX(C671-B671,0)*Assumptions!$B$2</f>
        <v>0</v>
      </c>
      <c r="G671">
        <f>MAX(B671-C671,0)*Assumptions!$B$2</f>
        <v>1.85</v>
      </c>
    </row>
    <row r="672" spans="1:7" x14ac:dyDescent="0.3">
      <c r="A672" s="5">
        <f>Raw_Load_Data!A672</f>
        <v>46217.958333334958</v>
      </c>
      <c r="B672">
        <f>Raw_Load_Data!B672</f>
        <v>5.9</v>
      </c>
      <c r="C672">
        <f>MAX(0,IF(AND(HOUR(A672)&gt;=6,HOUR(A672)&lt;=18),Assumptions!$B$8*SIN(PI()*(HOUR(A672)+MINUTE(A672)/60-6)/12),0))</f>
        <v>0</v>
      </c>
      <c r="D672">
        <f t="shared" si="10"/>
        <v>5.9</v>
      </c>
      <c r="E672">
        <f>MIN(B672,C672)*Assumptions!$B$2</f>
        <v>0</v>
      </c>
      <c r="F672">
        <f>MAX(C672-B672,0)*Assumptions!$B$2</f>
        <v>0</v>
      </c>
      <c r="G672">
        <f>MAX(B672-C672,0)*Assumptions!$B$2</f>
        <v>2.95</v>
      </c>
    </row>
    <row r="673" spans="1:7" x14ac:dyDescent="0.3">
      <c r="A673" s="5">
        <f>Raw_Load_Data!A673</f>
        <v>46217.979166668294</v>
      </c>
      <c r="B673">
        <f>Raw_Load_Data!B673</f>
        <v>3.9</v>
      </c>
      <c r="C673">
        <f>MAX(0,IF(AND(HOUR(A673)&gt;=6,HOUR(A673)&lt;=18),Assumptions!$B$8*SIN(PI()*(HOUR(A673)+MINUTE(A673)/60-6)/12),0))</f>
        <v>0</v>
      </c>
      <c r="D673">
        <f t="shared" si="10"/>
        <v>3.9</v>
      </c>
      <c r="E673">
        <f>MIN(B673,C673)*Assumptions!$B$2</f>
        <v>0</v>
      </c>
      <c r="F673">
        <f>MAX(C673-B673,0)*Assumptions!$B$2</f>
        <v>0</v>
      </c>
      <c r="G673">
        <f>MAX(B673-C673,0)*Assumptions!$B$2</f>
        <v>1.95</v>
      </c>
    </row>
    <row r="674" spans="1:7" x14ac:dyDescent="0.3">
      <c r="A674" s="5">
        <f>Raw_Load_Data!A674</f>
        <v>46218.00000000163</v>
      </c>
      <c r="B674">
        <f>Raw_Load_Data!B674</f>
        <v>1.9</v>
      </c>
      <c r="C674">
        <f>MAX(0,IF(AND(HOUR(A674)&gt;=6,HOUR(A674)&lt;=18),Assumptions!$B$8*SIN(PI()*(HOUR(A674)+MINUTE(A674)/60-6)/12),0))</f>
        <v>0</v>
      </c>
      <c r="D674">
        <f t="shared" si="10"/>
        <v>1.9</v>
      </c>
      <c r="E674">
        <f>MIN(B674,C674)*Assumptions!$B$2</f>
        <v>0</v>
      </c>
      <c r="F674">
        <f>MAX(C674-B674,0)*Assumptions!$B$2</f>
        <v>0</v>
      </c>
      <c r="G674">
        <f>MAX(B674-C674,0)*Assumptions!$B$2</f>
        <v>0.95</v>
      </c>
    </row>
    <row r="675" spans="1:7" x14ac:dyDescent="0.3">
      <c r="A675" s="5">
        <f>Raw_Load_Data!A675</f>
        <v>46218.020833334966</v>
      </c>
      <c r="B675">
        <f>Raw_Load_Data!B675</f>
        <v>1.9</v>
      </c>
      <c r="C675">
        <f>MAX(0,IF(AND(HOUR(A675)&gt;=6,HOUR(A675)&lt;=18),Assumptions!$B$8*SIN(PI()*(HOUR(A675)+MINUTE(A675)/60-6)/12),0))</f>
        <v>0</v>
      </c>
      <c r="D675">
        <f t="shared" si="10"/>
        <v>1.9</v>
      </c>
      <c r="E675">
        <f>MIN(B675,C675)*Assumptions!$B$2</f>
        <v>0</v>
      </c>
      <c r="F675">
        <f>MAX(C675-B675,0)*Assumptions!$B$2</f>
        <v>0</v>
      </c>
      <c r="G675">
        <f>MAX(B675-C675,0)*Assumptions!$B$2</f>
        <v>0.95</v>
      </c>
    </row>
    <row r="676" spans="1:7" x14ac:dyDescent="0.3">
      <c r="A676" s="5">
        <f>Raw_Load_Data!A676</f>
        <v>46218.041666668301</v>
      </c>
      <c r="B676">
        <f>Raw_Load_Data!B676</f>
        <v>2.2999999999999998</v>
      </c>
      <c r="C676">
        <f>MAX(0,IF(AND(HOUR(A676)&gt;=6,HOUR(A676)&lt;=18),Assumptions!$B$8*SIN(PI()*(HOUR(A676)+MINUTE(A676)/60-6)/12),0))</f>
        <v>0</v>
      </c>
      <c r="D676">
        <f t="shared" si="10"/>
        <v>2.2999999999999998</v>
      </c>
      <c r="E676">
        <f>MIN(B676,C676)*Assumptions!$B$2</f>
        <v>0</v>
      </c>
      <c r="F676">
        <f>MAX(C676-B676,0)*Assumptions!$B$2</f>
        <v>0</v>
      </c>
      <c r="G676">
        <f>MAX(B676-C676,0)*Assumptions!$B$2</f>
        <v>1.1499999999999999</v>
      </c>
    </row>
    <row r="677" spans="1:7" x14ac:dyDescent="0.3">
      <c r="A677" s="5">
        <f>Raw_Load_Data!A677</f>
        <v>46218.062500001637</v>
      </c>
      <c r="B677">
        <f>Raw_Load_Data!B677</f>
        <v>2.9</v>
      </c>
      <c r="C677">
        <f>MAX(0,IF(AND(HOUR(A677)&gt;=6,HOUR(A677)&lt;=18),Assumptions!$B$8*SIN(PI()*(HOUR(A677)+MINUTE(A677)/60-6)/12),0))</f>
        <v>0</v>
      </c>
      <c r="D677">
        <f t="shared" si="10"/>
        <v>2.9</v>
      </c>
      <c r="E677">
        <f>MIN(B677,C677)*Assumptions!$B$2</f>
        <v>0</v>
      </c>
      <c r="F677">
        <f>MAX(C677-B677,0)*Assumptions!$B$2</f>
        <v>0</v>
      </c>
      <c r="G677">
        <f>MAX(B677-C677,0)*Assumptions!$B$2</f>
        <v>1.45</v>
      </c>
    </row>
    <row r="678" spans="1:7" x14ac:dyDescent="0.3">
      <c r="A678" s="5">
        <f>Raw_Load_Data!A678</f>
        <v>46218.083333334973</v>
      </c>
      <c r="B678">
        <f>Raw_Load_Data!B678</f>
        <v>3</v>
      </c>
      <c r="C678">
        <f>MAX(0,IF(AND(HOUR(A678)&gt;=6,HOUR(A678)&lt;=18),Assumptions!$B$8*SIN(PI()*(HOUR(A678)+MINUTE(A678)/60-6)/12),0))</f>
        <v>0</v>
      </c>
      <c r="D678">
        <f t="shared" si="10"/>
        <v>3</v>
      </c>
      <c r="E678">
        <f>MIN(B678,C678)*Assumptions!$B$2</f>
        <v>0</v>
      </c>
      <c r="F678">
        <f>MAX(C678-B678,0)*Assumptions!$B$2</f>
        <v>0</v>
      </c>
      <c r="G678">
        <f>MAX(B678-C678,0)*Assumptions!$B$2</f>
        <v>1.5</v>
      </c>
    </row>
    <row r="679" spans="1:7" x14ac:dyDescent="0.3">
      <c r="A679" s="5">
        <f>Raw_Load_Data!A679</f>
        <v>46218.104166668309</v>
      </c>
      <c r="B679">
        <f>Raw_Load_Data!B679</f>
        <v>2.5</v>
      </c>
      <c r="C679">
        <f>MAX(0,IF(AND(HOUR(A679)&gt;=6,HOUR(A679)&lt;=18),Assumptions!$B$8*SIN(PI()*(HOUR(A679)+MINUTE(A679)/60-6)/12),0))</f>
        <v>0</v>
      </c>
      <c r="D679">
        <f t="shared" si="10"/>
        <v>2.5</v>
      </c>
      <c r="E679">
        <f>MIN(B679,C679)*Assumptions!$B$2</f>
        <v>0</v>
      </c>
      <c r="F679">
        <f>MAX(C679-B679,0)*Assumptions!$B$2</f>
        <v>0</v>
      </c>
      <c r="G679">
        <f>MAX(B679-C679,0)*Assumptions!$B$2</f>
        <v>1.25</v>
      </c>
    </row>
    <row r="680" spans="1:7" x14ac:dyDescent="0.3">
      <c r="A680" s="5">
        <f>Raw_Load_Data!A680</f>
        <v>46218.125000001644</v>
      </c>
      <c r="B680">
        <f>Raw_Load_Data!B680</f>
        <v>2.2999999999999998</v>
      </c>
      <c r="C680">
        <f>MAX(0,IF(AND(HOUR(A680)&gt;=6,HOUR(A680)&lt;=18),Assumptions!$B$8*SIN(PI()*(HOUR(A680)+MINUTE(A680)/60-6)/12),0))</f>
        <v>0</v>
      </c>
      <c r="D680">
        <f t="shared" si="10"/>
        <v>2.2999999999999998</v>
      </c>
      <c r="E680">
        <f>MIN(B680,C680)*Assumptions!$B$2</f>
        <v>0</v>
      </c>
      <c r="F680">
        <f>MAX(C680-B680,0)*Assumptions!$B$2</f>
        <v>0</v>
      </c>
      <c r="G680">
        <f>MAX(B680-C680,0)*Assumptions!$B$2</f>
        <v>1.1499999999999999</v>
      </c>
    </row>
    <row r="681" spans="1:7" x14ac:dyDescent="0.3">
      <c r="A681" s="5">
        <f>Raw_Load_Data!A681</f>
        <v>46218.14583333498</v>
      </c>
      <c r="B681">
        <f>Raw_Load_Data!B681</f>
        <v>2</v>
      </c>
      <c r="C681">
        <f>MAX(0,IF(AND(HOUR(A681)&gt;=6,HOUR(A681)&lt;=18),Assumptions!$B$8*SIN(PI()*(HOUR(A681)+MINUTE(A681)/60-6)/12),0))</f>
        <v>0</v>
      </c>
      <c r="D681">
        <f t="shared" si="10"/>
        <v>2</v>
      </c>
      <c r="E681">
        <f>MIN(B681,C681)*Assumptions!$B$2</f>
        <v>0</v>
      </c>
      <c r="F681">
        <f>MAX(C681-B681,0)*Assumptions!$B$2</f>
        <v>0</v>
      </c>
      <c r="G681">
        <f>MAX(B681-C681,0)*Assumptions!$B$2</f>
        <v>1</v>
      </c>
    </row>
    <row r="682" spans="1:7" x14ac:dyDescent="0.3">
      <c r="A682" s="5">
        <f>Raw_Load_Data!A682</f>
        <v>46218.166666668316</v>
      </c>
      <c r="B682">
        <f>Raw_Load_Data!B682</f>
        <v>2.2000000000000002</v>
      </c>
      <c r="C682">
        <f>MAX(0,IF(AND(HOUR(A682)&gt;=6,HOUR(A682)&lt;=18),Assumptions!$B$8*SIN(PI()*(HOUR(A682)+MINUTE(A682)/60-6)/12),0))</f>
        <v>0</v>
      </c>
      <c r="D682">
        <f t="shared" si="10"/>
        <v>2.2000000000000002</v>
      </c>
      <c r="E682">
        <f>MIN(B682,C682)*Assumptions!$B$2</f>
        <v>0</v>
      </c>
      <c r="F682">
        <f>MAX(C682-B682,0)*Assumptions!$B$2</f>
        <v>0</v>
      </c>
      <c r="G682">
        <f>MAX(B682-C682,0)*Assumptions!$B$2</f>
        <v>1.1000000000000001</v>
      </c>
    </row>
    <row r="683" spans="1:7" x14ac:dyDescent="0.3">
      <c r="A683" s="5">
        <f>Raw_Load_Data!A683</f>
        <v>46218.187500001652</v>
      </c>
      <c r="B683">
        <f>Raw_Load_Data!B683</f>
        <v>2</v>
      </c>
      <c r="C683">
        <f>MAX(0,IF(AND(HOUR(A683)&gt;=6,HOUR(A683)&lt;=18),Assumptions!$B$8*SIN(PI()*(HOUR(A683)+MINUTE(A683)/60-6)/12),0))</f>
        <v>0</v>
      </c>
      <c r="D683">
        <f t="shared" si="10"/>
        <v>2</v>
      </c>
      <c r="E683">
        <f>MIN(B683,C683)*Assumptions!$B$2</f>
        <v>0</v>
      </c>
      <c r="F683">
        <f>MAX(C683-B683,0)*Assumptions!$B$2</f>
        <v>0</v>
      </c>
      <c r="G683">
        <f>MAX(B683-C683,0)*Assumptions!$B$2</f>
        <v>1</v>
      </c>
    </row>
    <row r="684" spans="1:7" x14ac:dyDescent="0.3">
      <c r="A684" s="5">
        <f>Raw_Load_Data!A684</f>
        <v>46218.208333334987</v>
      </c>
      <c r="B684">
        <f>Raw_Load_Data!B684</f>
        <v>2.5</v>
      </c>
      <c r="C684">
        <f>MAX(0,IF(AND(HOUR(A684)&gt;=6,HOUR(A684)&lt;=18),Assumptions!$B$8*SIN(PI()*(HOUR(A684)+MINUTE(A684)/60-6)/12),0))</f>
        <v>0</v>
      </c>
      <c r="D684">
        <f t="shared" si="10"/>
        <v>2.5</v>
      </c>
      <c r="E684">
        <f>MIN(B684,C684)*Assumptions!$B$2</f>
        <v>0</v>
      </c>
      <c r="F684">
        <f>MAX(C684-B684,0)*Assumptions!$B$2</f>
        <v>0</v>
      </c>
      <c r="G684">
        <f>MAX(B684-C684,0)*Assumptions!$B$2</f>
        <v>1.25</v>
      </c>
    </row>
    <row r="685" spans="1:7" x14ac:dyDescent="0.3">
      <c r="A685" s="5">
        <f>Raw_Load_Data!A685</f>
        <v>46218.229166668323</v>
      </c>
      <c r="B685">
        <f>Raw_Load_Data!B685</f>
        <v>2</v>
      </c>
      <c r="C685">
        <f>MAX(0,IF(AND(HOUR(A685)&gt;=6,HOUR(A685)&lt;=18),Assumptions!$B$8*SIN(PI()*(HOUR(A685)+MINUTE(A685)/60-6)/12),0))</f>
        <v>0</v>
      </c>
      <c r="D685">
        <f t="shared" si="10"/>
        <v>2</v>
      </c>
      <c r="E685">
        <f>MIN(B685,C685)*Assumptions!$B$2</f>
        <v>0</v>
      </c>
      <c r="F685">
        <f>MAX(C685-B685,0)*Assumptions!$B$2</f>
        <v>0</v>
      </c>
      <c r="G685">
        <f>MAX(B685-C685,0)*Assumptions!$B$2</f>
        <v>1</v>
      </c>
    </row>
    <row r="686" spans="1:7" x14ac:dyDescent="0.3">
      <c r="A686" s="5">
        <f>Raw_Load_Data!A686</f>
        <v>46218.250000001659</v>
      </c>
      <c r="B686">
        <f>Raw_Load_Data!B686</f>
        <v>6.6</v>
      </c>
      <c r="C686">
        <f>MAX(0,IF(AND(HOUR(A686)&gt;=6,HOUR(A686)&lt;=18),Assumptions!$B$8*SIN(PI()*(HOUR(A686)+MINUTE(A686)/60-6)/12),0))</f>
        <v>0</v>
      </c>
      <c r="D686">
        <f t="shared" si="10"/>
        <v>6.6</v>
      </c>
      <c r="E686">
        <f>MIN(B686,C686)*Assumptions!$B$2</f>
        <v>0</v>
      </c>
      <c r="F686">
        <f>MAX(C686-B686,0)*Assumptions!$B$2</f>
        <v>0</v>
      </c>
      <c r="G686">
        <f>MAX(B686-C686,0)*Assumptions!$B$2</f>
        <v>3.3</v>
      </c>
    </row>
    <row r="687" spans="1:7" x14ac:dyDescent="0.3">
      <c r="A687" s="5">
        <f>Raw_Load_Data!A687</f>
        <v>46218.270833334995</v>
      </c>
      <c r="B687">
        <f>Raw_Load_Data!B687</f>
        <v>5.2</v>
      </c>
      <c r="C687">
        <f>MAX(0,IF(AND(HOUR(A687)&gt;=6,HOUR(A687)&lt;=18),Assumptions!$B$8*SIN(PI()*(HOUR(A687)+MINUTE(A687)/60-6)/12),0))</f>
        <v>3.9157857666015472</v>
      </c>
      <c r="D687">
        <f t="shared" si="10"/>
        <v>1.284214233398453</v>
      </c>
      <c r="E687">
        <f>MIN(B687,C687)*Assumptions!$B$2</f>
        <v>1.9578928833007736</v>
      </c>
      <c r="F687">
        <f>MAX(C687-B687,0)*Assumptions!$B$2</f>
        <v>0</v>
      </c>
      <c r="G687">
        <f>MAX(B687-C687,0)*Assumptions!$B$2</f>
        <v>0.64210711669922649</v>
      </c>
    </row>
    <row r="688" spans="1:7" x14ac:dyDescent="0.3">
      <c r="A688" s="5">
        <f>Raw_Load_Data!A688</f>
        <v>46218.29166666833</v>
      </c>
      <c r="B688">
        <f>Raw_Load_Data!B688</f>
        <v>7.7</v>
      </c>
      <c r="C688">
        <f>MAX(0,IF(AND(HOUR(A688)&gt;=6,HOUR(A688)&lt;=18),Assumptions!$B$8*SIN(PI()*(HOUR(A688)+MINUTE(A688)/60-6)/12),0))</f>
        <v>7.7645713530756222</v>
      </c>
      <c r="D688">
        <f t="shared" si="10"/>
        <v>-6.4571353075622007E-2</v>
      </c>
      <c r="E688">
        <f>MIN(B688,C688)*Assumptions!$B$2</f>
        <v>3.85</v>
      </c>
      <c r="F688">
        <f>MAX(C688-B688,0)*Assumptions!$B$2</f>
        <v>3.2285676537811003E-2</v>
      </c>
      <c r="G688">
        <f>MAX(B688-C688,0)*Assumptions!$B$2</f>
        <v>0</v>
      </c>
    </row>
    <row r="689" spans="1:7" x14ac:dyDescent="0.3">
      <c r="A689" s="5">
        <f>Raw_Load_Data!A689</f>
        <v>46218.312500001666</v>
      </c>
      <c r="B689">
        <f>Raw_Load_Data!B689</f>
        <v>4</v>
      </c>
      <c r="C689">
        <f>MAX(0,IF(AND(HOUR(A689)&gt;=6,HOUR(A689)&lt;=18),Assumptions!$B$8*SIN(PI()*(HOUR(A689)+MINUTE(A689)/60-6)/12),0))</f>
        <v>11.480502970952694</v>
      </c>
      <c r="D689">
        <f t="shared" si="10"/>
        <v>-7.4805029709526938</v>
      </c>
      <c r="E689">
        <f>MIN(B689,C689)*Assumptions!$B$2</f>
        <v>2</v>
      </c>
      <c r="F689">
        <f>MAX(C689-B689,0)*Assumptions!$B$2</f>
        <v>3.7402514854763469</v>
      </c>
      <c r="G689">
        <f>MAX(B689-C689,0)*Assumptions!$B$2</f>
        <v>0</v>
      </c>
    </row>
    <row r="690" spans="1:7" x14ac:dyDescent="0.3">
      <c r="A690" s="5">
        <f>Raw_Load_Data!A690</f>
        <v>46218.333333335002</v>
      </c>
      <c r="B690">
        <f>Raw_Load_Data!B690</f>
        <v>20</v>
      </c>
      <c r="C690">
        <f>MAX(0,IF(AND(HOUR(A690)&gt;=6,HOUR(A690)&lt;=18),Assumptions!$B$8*SIN(PI()*(HOUR(A690)+MINUTE(A690)/60-6)/12),0))</f>
        <v>14.999999999999998</v>
      </c>
      <c r="D690">
        <f t="shared" si="10"/>
        <v>5.0000000000000018</v>
      </c>
      <c r="E690">
        <f>MIN(B690,C690)*Assumptions!$B$2</f>
        <v>7.4999999999999991</v>
      </c>
      <c r="F690">
        <f>MAX(C690-B690,0)*Assumptions!$B$2</f>
        <v>0</v>
      </c>
      <c r="G690">
        <f>MAX(B690-C690,0)*Assumptions!$B$2</f>
        <v>2.5000000000000009</v>
      </c>
    </row>
    <row r="691" spans="1:7" x14ac:dyDescent="0.3">
      <c r="A691" s="5">
        <f>Raw_Load_Data!A691</f>
        <v>46218.354166668338</v>
      </c>
      <c r="B691">
        <f>Raw_Load_Data!B691</f>
        <v>13</v>
      </c>
      <c r="C691">
        <f>MAX(0,IF(AND(HOUR(A691)&gt;=6,HOUR(A691)&lt;=18),Assumptions!$B$8*SIN(PI()*(HOUR(A691)+MINUTE(A691)/60-6)/12),0))</f>
        <v>18.262842870261618</v>
      </c>
      <c r="D691">
        <f t="shared" si="10"/>
        <v>-5.2628428702616183</v>
      </c>
      <c r="E691">
        <f>MIN(B691,C691)*Assumptions!$B$2</f>
        <v>6.5</v>
      </c>
      <c r="F691">
        <f>MAX(C691-B691,0)*Assumptions!$B$2</f>
        <v>2.6314214351308092</v>
      </c>
      <c r="G691">
        <f>MAX(B691-C691,0)*Assumptions!$B$2</f>
        <v>0</v>
      </c>
    </row>
    <row r="692" spans="1:7" x14ac:dyDescent="0.3">
      <c r="A692" s="5">
        <f>Raw_Load_Data!A692</f>
        <v>46218.375000001673</v>
      </c>
      <c r="B692">
        <f>Raw_Load_Data!B692</f>
        <v>12.7</v>
      </c>
      <c r="C692">
        <f>MAX(0,IF(AND(HOUR(A692)&gt;=6,HOUR(A692)&lt;=18),Assumptions!$B$8*SIN(PI()*(HOUR(A692)+MINUTE(A692)/60-6)/12),0))</f>
        <v>21.213203435596423</v>
      </c>
      <c r="D692">
        <f t="shared" si="10"/>
        <v>-8.5132034355964237</v>
      </c>
      <c r="E692">
        <f>MIN(B692,C692)*Assumptions!$B$2</f>
        <v>6.35</v>
      </c>
      <c r="F692">
        <f>MAX(C692-B692,0)*Assumptions!$B$2</f>
        <v>4.2566017177982118</v>
      </c>
      <c r="G692">
        <f>MAX(B692-C692,0)*Assumptions!$B$2</f>
        <v>0</v>
      </c>
    </row>
    <row r="693" spans="1:7" x14ac:dyDescent="0.3">
      <c r="A693" s="5">
        <f>Raw_Load_Data!A693</f>
        <v>46218.395833335009</v>
      </c>
      <c r="B693">
        <f>Raw_Load_Data!B693</f>
        <v>14</v>
      </c>
      <c r="C693">
        <f>MAX(0,IF(AND(HOUR(A693)&gt;=6,HOUR(A693)&lt;=18),Assumptions!$B$8*SIN(PI()*(HOUR(A693)+MINUTE(A693)/60-6)/12),0))</f>
        <v>23.800600208737055</v>
      </c>
      <c r="D693">
        <f t="shared" si="10"/>
        <v>-9.8006002087370554</v>
      </c>
      <c r="E693">
        <f>MIN(B693,C693)*Assumptions!$B$2</f>
        <v>7</v>
      </c>
      <c r="F693">
        <f>MAX(C693-B693,0)*Assumptions!$B$2</f>
        <v>4.9003001043685277</v>
      </c>
      <c r="G693">
        <f>MAX(B693-C693,0)*Assumptions!$B$2</f>
        <v>0</v>
      </c>
    </row>
    <row r="694" spans="1:7" x14ac:dyDescent="0.3">
      <c r="A694" s="5">
        <f>Raw_Load_Data!A694</f>
        <v>46218.416666668345</v>
      </c>
      <c r="B694">
        <f>Raw_Load_Data!B694</f>
        <v>18.399999999999999</v>
      </c>
      <c r="C694">
        <f>MAX(0,IF(AND(HOUR(A694)&gt;=6,HOUR(A694)&lt;=18),Assumptions!$B$8*SIN(PI()*(HOUR(A694)+MINUTE(A694)/60-6)/12),0))</f>
        <v>25.980762113533157</v>
      </c>
      <c r="D694">
        <f t="shared" si="10"/>
        <v>-7.580762113533158</v>
      </c>
      <c r="E694">
        <f>MIN(B694,C694)*Assumptions!$B$2</f>
        <v>9.1999999999999993</v>
      </c>
      <c r="F694">
        <f>MAX(C694-B694,0)*Assumptions!$B$2</f>
        <v>3.790381056766579</v>
      </c>
      <c r="G694">
        <f>MAX(B694-C694,0)*Assumptions!$B$2</f>
        <v>0</v>
      </c>
    </row>
    <row r="695" spans="1:7" x14ac:dyDescent="0.3">
      <c r="A695" s="5">
        <f>Raw_Load_Data!A695</f>
        <v>46218.437500001681</v>
      </c>
      <c r="B695">
        <f>Raw_Load_Data!B695</f>
        <v>17.3</v>
      </c>
      <c r="C695">
        <f>MAX(0,IF(AND(HOUR(A695)&gt;=6,HOUR(A695)&lt;=18),Assumptions!$B$8*SIN(PI()*(HOUR(A695)+MINUTE(A695)/60-6)/12),0))</f>
        <v>27.716385975338603</v>
      </c>
      <c r="D695">
        <f t="shared" si="10"/>
        <v>-10.416385975338603</v>
      </c>
      <c r="E695">
        <f>MIN(B695,C695)*Assumptions!$B$2</f>
        <v>8.65</v>
      </c>
      <c r="F695">
        <f>MAX(C695-B695,0)*Assumptions!$B$2</f>
        <v>5.2081929876693014</v>
      </c>
      <c r="G695">
        <f>MAX(B695-C695,0)*Assumptions!$B$2</f>
        <v>0</v>
      </c>
    </row>
    <row r="696" spans="1:7" x14ac:dyDescent="0.3">
      <c r="A696" s="5">
        <f>Raw_Load_Data!A696</f>
        <v>46218.458333335017</v>
      </c>
      <c r="B696">
        <f>Raw_Load_Data!B696</f>
        <v>16.600000000000001</v>
      </c>
      <c r="C696">
        <f>MAX(0,IF(AND(HOUR(A696)&gt;=6,HOUR(A696)&lt;=18),Assumptions!$B$8*SIN(PI()*(HOUR(A696)+MINUTE(A696)/60-6)/12),0))</f>
        <v>28.97777478867205</v>
      </c>
      <c r="D696">
        <f t="shared" si="10"/>
        <v>-12.377774788672049</v>
      </c>
      <c r="E696">
        <f>MIN(B696,C696)*Assumptions!$B$2</f>
        <v>8.3000000000000007</v>
      </c>
      <c r="F696">
        <f>MAX(C696-B696,0)*Assumptions!$B$2</f>
        <v>6.1888873943360245</v>
      </c>
      <c r="G696">
        <f>MAX(B696-C696,0)*Assumptions!$B$2</f>
        <v>0</v>
      </c>
    </row>
    <row r="697" spans="1:7" x14ac:dyDescent="0.3">
      <c r="A697" s="5">
        <f>Raw_Load_Data!A697</f>
        <v>46218.479166668352</v>
      </c>
      <c r="B697">
        <f>Raw_Load_Data!B697</f>
        <v>15.1</v>
      </c>
      <c r="C697">
        <f>MAX(0,IF(AND(HOUR(A697)&gt;=6,HOUR(A697)&lt;=18),Assumptions!$B$8*SIN(PI()*(HOUR(A697)+MINUTE(A697)/60-6)/12),0))</f>
        <v>29.74334584121431</v>
      </c>
      <c r="D697">
        <f t="shared" si="10"/>
        <v>-14.643345841214311</v>
      </c>
      <c r="E697">
        <f>MIN(B697,C697)*Assumptions!$B$2</f>
        <v>7.55</v>
      </c>
      <c r="F697">
        <f>MAX(C697-B697,0)*Assumptions!$B$2</f>
        <v>7.3216729206071554</v>
      </c>
      <c r="G697">
        <f>MAX(B697-C697,0)*Assumptions!$B$2</f>
        <v>0</v>
      </c>
    </row>
    <row r="698" spans="1:7" x14ac:dyDescent="0.3">
      <c r="A698" s="5">
        <f>Raw_Load_Data!A698</f>
        <v>46218.500000001688</v>
      </c>
      <c r="B698">
        <f>Raw_Load_Data!B698</f>
        <v>20.399999999999999</v>
      </c>
      <c r="C698">
        <f>MAX(0,IF(AND(HOUR(A698)&gt;=6,HOUR(A698)&lt;=18),Assumptions!$B$8*SIN(PI()*(HOUR(A698)+MINUTE(A698)/60-6)/12),0))</f>
        <v>30</v>
      </c>
      <c r="D698">
        <f t="shared" si="10"/>
        <v>-9.6000000000000014</v>
      </c>
      <c r="E698">
        <f>MIN(B698,C698)*Assumptions!$B$2</f>
        <v>10.199999999999999</v>
      </c>
      <c r="F698">
        <f>MAX(C698-B698,0)*Assumptions!$B$2</f>
        <v>4.8000000000000007</v>
      </c>
      <c r="G698">
        <f>MAX(B698-C698,0)*Assumptions!$B$2</f>
        <v>0</v>
      </c>
    </row>
    <row r="699" spans="1:7" x14ac:dyDescent="0.3">
      <c r="A699" s="5">
        <f>Raw_Load_Data!A699</f>
        <v>46218.520833335024</v>
      </c>
      <c r="B699">
        <f>Raw_Load_Data!B699</f>
        <v>32.700000000000003</v>
      </c>
      <c r="C699">
        <f>MAX(0,IF(AND(HOUR(A699)&gt;=6,HOUR(A699)&lt;=18),Assumptions!$B$8*SIN(PI()*(HOUR(A699)+MINUTE(A699)/60-6)/12),0))</f>
        <v>29.74334584121431</v>
      </c>
      <c r="D699">
        <f t="shared" si="10"/>
        <v>2.9566541587856925</v>
      </c>
      <c r="E699">
        <f>MIN(B699,C699)*Assumptions!$B$2</f>
        <v>14.871672920607155</v>
      </c>
      <c r="F699">
        <f>MAX(C699-B699,0)*Assumptions!$B$2</f>
        <v>0</v>
      </c>
      <c r="G699">
        <f>MAX(B699-C699,0)*Assumptions!$B$2</f>
        <v>1.4783270793928462</v>
      </c>
    </row>
    <row r="700" spans="1:7" x14ac:dyDescent="0.3">
      <c r="A700" s="5">
        <f>Raw_Load_Data!A700</f>
        <v>46218.54166666836</v>
      </c>
      <c r="B700">
        <f>Raw_Load_Data!B700</f>
        <v>33.200000000000003</v>
      </c>
      <c r="C700">
        <f>MAX(0,IF(AND(HOUR(A700)&gt;=6,HOUR(A700)&lt;=18),Assumptions!$B$8*SIN(PI()*(HOUR(A700)+MINUTE(A700)/60-6)/12),0))</f>
        <v>28.97777478867205</v>
      </c>
      <c r="D700">
        <f t="shared" si="10"/>
        <v>4.2222252113279524</v>
      </c>
      <c r="E700">
        <f>MIN(B700,C700)*Assumptions!$B$2</f>
        <v>14.488887394336025</v>
      </c>
      <c r="F700">
        <f>MAX(C700-B700,0)*Assumptions!$B$2</f>
        <v>0</v>
      </c>
      <c r="G700">
        <f>MAX(B700-C700,0)*Assumptions!$B$2</f>
        <v>2.1111126056639762</v>
      </c>
    </row>
    <row r="701" spans="1:7" x14ac:dyDescent="0.3">
      <c r="A701" s="5">
        <f>Raw_Load_Data!A701</f>
        <v>46218.562500001695</v>
      </c>
      <c r="B701">
        <f>Raw_Load_Data!B701</f>
        <v>21.6</v>
      </c>
      <c r="C701">
        <f>MAX(0,IF(AND(HOUR(A701)&gt;=6,HOUR(A701)&lt;=18),Assumptions!$B$8*SIN(PI()*(HOUR(A701)+MINUTE(A701)/60-6)/12),0))</f>
        <v>27.716385975338607</v>
      </c>
      <c r="D701">
        <f t="shared" si="10"/>
        <v>-6.1163859753386056</v>
      </c>
      <c r="E701">
        <f>MIN(B701,C701)*Assumptions!$B$2</f>
        <v>10.8</v>
      </c>
      <c r="F701">
        <f>MAX(C701-B701,0)*Assumptions!$B$2</f>
        <v>3.0581929876693028</v>
      </c>
      <c r="G701">
        <f>MAX(B701-C701,0)*Assumptions!$B$2</f>
        <v>0</v>
      </c>
    </row>
    <row r="702" spans="1:7" x14ac:dyDescent="0.3">
      <c r="A702" s="5">
        <f>Raw_Load_Data!A702</f>
        <v>46218.583333335031</v>
      </c>
      <c r="B702">
        <f>Raw_Load_Data!B702</f>
        <v>21.6</v>
      </c>
      <c r="C702">
        <f>MAX(0,IF(AND(HOUR(A702)&gt;=6,HOUR(A702)&lt;=18),Assumptions!$B$8*SIN(PI()*(HOUR(A702)+MINUTE(A702)/60-6)/12),0))</f>
        <v>25.98076211353316</v>
      </c>
      <c r="D702">
        <f t="shared" si="10"/>
        <v>-4.3807621135331587</v>
      </c>
      <c r="E702">
        <f>MIN(B702,C702)*Assumptions!$B$2</f>
        <v>10.8</v>
      </c>
      <c r="F702">
        <f>MAX(C702-B702,0)*Assumptions!$B$2</f>
        <v>2.1903810567665793</v>
      </c>
      <c r="G702">
        <f>MAX(B702-C702,0)*Assumptions!$B$2</f>
        <v>0</v>
      </c>
    </row>
    <row r="703" spans="1:7" x14ac:dyDescent="0.3">
      <c r="A703" s="5">
        <f>Raw_Load_Data!A703</f>
        <v>46218.604166668367</v>
      </c>
      <c r="B703">
        <f>Raw_Load_Data!B703</f>
        <v>26.1</v>
      </c>
      <c r="C703">
        <f>MAX(0,IF(AND(HOUR(A703)&gt;=6,HOUR(A703)&lt;=18),Assumptions!$B$8*SIN(PI()*(HOUR(A703)+MINUTE(A703)/60-6)/12),0))</f>
        <v>23.800600208737055</v>
      </c>
      <c r="D703">
        <f t="shared" si="10"/>
        <v>2.299399791262946</v>
      </c>
      <c r="E703">
        <f>MIN(B703,C703)*Assumptions!$B$2</f>
        <v>11.900300104368528</v>
      </c>
      <c r="F703">
        <f>MAX(C703-B703,0)*Assumptions!$B$2</f>
        <v>0</v>
      </c>
      <c r="G703">
        <f>MAX(B703-C703,0)*Assumptions!$B$2</f>
        <v>1.149699895631473</v>
      </c>
    </row>
    <row r="704" spans="1:7" x14ac:dyDescent="0.3">
      <c r="A704" s="5">
        <f>Raw_Load_Data!A704</f>
        <v>46218.625000001703</v>
      </c>
      <c r="B704">
        <f>Raw_Load_Data!B704</f>
        <v>26.2</v>
      </c>
      <c r="C704">
        <f>MAX(0,IF(AND(HOUR(A704)&gt;=6,HOUR(A704)&lt;=18),Assumptions!$B$8*SIN(PI()*(HOUR(A704)+MINUTE(A704)/60-6)/12),0))</f>
        <v>21.213203435596427</v>
      </c>
      <c r="D704">
        <f t="shared" si="10"/>
        <v>4.9867965644035728</v>
      </c>
      <c r="E704">
        <f>MIN(B704,C704)*Assumptions!$B$2</f>
        <v>10.606601717798213</v>
      </c>
      <c r="F704">
        <f>MAX(C704-B704,0)*Assumptions!$B$2</f>
        <v>0</v>
      </c>
      <c r="G704">
        <f>MAX(B704-C704,0)*Assumptions!$B$2</f>
        <v>2.4933982822017864</v>
      </c>
    </row>
    <row r="705" spans="1:7" x14ac:dyDescent="0.3">
      <c r="A705" s="5">
        <f>Raw_Load_Data!A705</f>
        <v>46218.645833335038</v>
      </c>
      <c r="B705">
        <f>Raw_Load_Data!B705</f>
        <v>34.6</v>
      </c>
      <c r="C705">
        <f>MAX(0,IF(AND(HOUR(A705)&gt;=6,HOUR(A705)&lt;=18),Assumptions!$B$8*SIN(PI()*(HOUR(A705)+MINUTE(A705)/60-6)/12),0))</f>
        <v>18.262842870261625</v>
      </c>
      <c r="D705">
        <f t="shared" si="10"/>
        <v>16.337157129738376</v>
      </c>
      <c r="E705">
        <f>MIN(B705,C705)*Assumptions!$B$2</f>
        <v>9.1314214351308127</v>
      </c>
      <c r="F705">
        <f>MAX(C705-B705,0)*Assumptions!$B$2</f>
        <v>0</v>
      </c>
      <c r="G705">
        <f>MAX(B705-C705,0)*Assumptions!$B$2</f>
        <v>8.168578564869188</v>
      </c>
    </row>
    <row r="706" spans="1:7" x14ac:dyDescent="0.3">
      <c r="A706" s="5">
        <f>Raw_Load_Data!A706</f>
        <v>46218.666666668374</v>
      </c>
      <c r="B706">
        <f>Raw_Load_Data!B706</f>
        <v>16.5</v>
      </c>
      <c r="C706">
        <f>MAX(0,IF(AND(HOUR(A706)&gt;=6,HOUR(A706)&lt;=18),Assumptions!$B$8*SIN(PI()*(HOUR(A706)+MINUTE(A706)/60-6)/12),0))</f>
        <v>14.999999999999998</v>
      </c>
      <c r="D706">
        <f t="shared" si="10"/>
        <v>1.5000000000000018</v>
      </c>
      <c r="E706">
        <f>MIN(B706,C706)*Assumptions!$B$2</f>
        <v>7.4999999999999991</v>
      </c>
      <c r="F706">
        <f>MAX(C706-B706,0)*Assumptions!$B$2</f>
        <v>0</v>
      </c>
      <c r="G706">
        <f>MAX(B706-C706,0)*Assumptions!$B$2</f>
        <v>0.75000000000000089</v>
      </c>
    </row>
    <row r="707" spans="1:7" x14ac:dyDescent="0.3">
      <c r="A707" s="5">
        <f>Raw_Load_Data!A707</f>
        <v>46218.68750000171</v>
      </c>
      <c r="B707">
        <f>Raw_Load_Data!B707</f>
        <v>10.4</v>
      </c>
      <c r="C707">
        <f>MAX(0,IF(AND(HOUR(A707)&gt;=6,HOUR(A707)&lt;=18),Assumptions!$B$8*SIN(PI()*(HOUR(A707)+MINUTE(A707)/60-6)/12),0))</f>
        <v>11.480502970952697</v>
      </c>
      <c r="D707">
        <f t="shared" ref="D707:D770" si="11">B707-C707</f>
        <v>-1.080502970952697</v>
      </c>
      <c r="E707">
        <f>MIN(B707,C707)*Assumptions!$B$2</f>
        <v>5.2</v>
      </c>
      <c r="F707">
        <f>MAX(C707-B707,0)*Assumptions!$B$2</f>
        <v>0.54025148547634849</v>
      </c>
      <c r="G707">
        <f>MAX(B707-C707,0)*Assumptions!$B$2</f>
        <v>0</v>
      </c>
    </row>
    <row r="708" spans="1:7" x14ac:dyDescent="0.3">
      <c r="A708" s="5">
        <f>Raw_Load_Data!A708</f>
        <v>46218.708333335046</v>
      </c>
      <c r="B708">
        <f>Raw_Load_Data!B708</f>
        <v>19.2</v>
      </c>
      <c r="C708">
        <f>MAX(0,IF(AND(HOUR(A708)&gt;=6,HOUR(A708)&lt;=18),Assumptions!$B$8*SIN(PI()*(HOUR(A708)+MINUTE(A708)/60-6)/12),0))</f>
        <v>7.7645713530756302</v>
      </c>
      <c r="D708">
        <f t="shared" si="11"/>
        <v>11.435428646924368</v>
      </c>
      <c r="E708">
        <f>MIN(B708,C708)*Assumptions!$B$2</f>
        <v>3.8822856765378151</v>
      </c>
      <c r="F708">
        <f>MAX(C708-B708,0)*Assumptions!$B$2</f>
        <v>0</v>
      </c>
      <c r="G708">
        <f>MAX(B708-C708,0)*Assumptions!$B$2</f>
        <v>5.7177143234621841</v>
      </c>
    </row>
    <row r="709" spans="1:7" x14ac:dyDescent="0.3">
      <c r="A709" s="5">
        <f>Raw_Load_Data!A709</f>
        <v>46218.729166668381</v>
      </c>
      <c r="B709">
        <f>Raw_Load_Data!B709</f>
        <v>16</v>
      </c>
      <c r="C709">
        <f>MAX(0,IF(AND(HOUR(A709)&gt;=6,HOUR(A709)&lt;=18),Assumptions!$B$8*SIN(PI()*(HOUR(A709)+MINUTE(A709)/60-6)/12),0))</f>
        <v>3.9157857666015596</v>
      </c>
      <c r="D709">
        <f t="shared" si="11"/>
        <v>12.084214233398441</v>
      </c>
      <c r="E709">
        <f>MIN(B709,C709)*Assumptions!$B$2</f>
        <v>1.9578928833007798</v>
      </c>
      <c r="F709">
        <f>MAX(C709-B709,0)*Assumptions!$B$2</f>
        <v>0</v>
      </c>
      <c r="G709">
        <f>MAX(B709-C709,0)*Assumptions!$B$2</f>
        <v>6.0421071166992206</v>
      </c>
    </row>
    <row r="710" spans="1:7" x14ac:dyDescent="0.3">
      <c r="A710" s="5">
        <f>Raw_Load_Data!A710</f>
        <v>46218.750000001717</v>
      </c>
      <c r="B710">
        <f>Raw_Load_Data!B710</f>
        <v>16.100000000000001</v>
      </c>
      <c r="C710">
        <f>MAX(0,IF(AND(HOUR(A710)&gt;=6,HOUR(A710)&lt;=18),Assumptions!$B$8*SIN(PI()*(HOUR(A710)+MINUTE(A710)/60-6)/12),0))</f>
        <v>3.67544536472586E-15</v>
      </c>
      <c r="D710">
        <f t="shared" si="11"/>
        <v>16.099999999999998</v>
      </c>
      <c r="E710">
        <f>MIN(B710,C710)*Assumptions!$B$2</f>
        <v>1.83772268236293E-15</v>
      </c>
      <c r="F710">
        <f>MAX(C710-B710,0)*Assumptions!$B$2</f>
        <v>0</v>
      </c>
      <c r="G710">
        <f>MAX(B710-C710,0)*Assumptions!$B$2</f>
        <v>8.0499999999999989</v>
      </c>
    </row>
    <row r="711" spans="1:7" x14ac:dyDescent="0.3">
      <c r="A711" s="5">
        <f>Raw_Load_Data!A711</f>
        <v>46218.770833335053</v>
      </c>
      <c r="B711">
        <f>Raw_Load_Data!B711</f>
        <v>16.2</v>
      </c>
      <c r="C711">
        <f>MAX(0,IF(AND(HOUR(A711)&gt;=6,HOUR(A711)&lt;=18),Assumptions!$B$8*SIN(PI()*(HOUR(A711)+MINUTE(A711)/60-6)/12),0))</f>
        <v>0</v>
      </c>
      <c r="D711">
        <f t="shared" si="11"/>
        <v>16.2</v>
      </c>
      <c r="E711">
        <f>MIN(B711,C711)*Assumptions!$B$2</f>
        <v>0</v>
      </c>
      <c r="F711">
        <f>MAX(C711-B711,0)*Assumptions!$B$2</f>
        <v>0</v>
      </c>
      <c r="G711">
        <f>MAX(B711-C711,0)*Assumptions!$B$2</f>
        <v>8.1</v>
      </c>
    </row>
    <row r="712" spans="1:7" x14ac:dyDescent="0.3">
      <c r="A712" s="5">
        <f>Raw_Load_Data!A712</f>
        <v>46218.791666668389</v>
      </c>
      <c r="B712">
        <f>Raw_Load_Data!B712</f>
        <v>3.7</v>
      </c>
      <c r="C712">
        <f>MAX(0,IF(AND(HOUR(A712)&gt;=6,HOUR(A712)&lt;=18),Assumptions!$B$8*SIN(PI()*(HOUR(A712)+MINUTE(A712)/60-6)/12),0))</f>
        <v>0</v>
      </c>
      <c r="D712">
        <f t="shared" si="11"/>
        <v>3.7</v>
      </c>
      <c r="E712">
        <f>MIN(B712,C712)*Assumptions!$B$2</f>
        <v>0</v>
      </c>
      <c r="F712">
        <f>MAX(C712-B712,0)*Assumptions!$B$2</f>
        <v>0</v>
      </c>
      <c r="G712">
        <f>MAX(B712-C712,0)*Assumptions!$B$2</f>
        <v>1.85</v>
      </c>
    </row>
    <row r="713" spans="1:7" x14ac:dyDescent="0.3">
      <c r="A713" s="5">
        <f>Raw_Load_Data!A713</f>
        <v>46218.812500001724</v>
      </c>
      <c r="B713">
        <f>Raw_Load_Data!B713</f>
        <v>5.5</v>
      </c>
      <c r="C713">
        <f>MAX(0,IF(AND(HOUR(A713)&gt;=6,HOUR(A713)&lt;=18),Assumptions!$B$8*SIN(PI()*(HOUR(A713)+MINUTE(A713)/60-6)/12),0))</f>
        <v>0</v>
      </c>
      <c r="D713">
        <f t="shared" si="11"/>
        <v>5.5</v>
      </c>
      <c r="E713">
        <f>MIN(B713,C713)*Assumptions!$B$2</f>
        <v>0</v>
      </c>
      <c r="F713">
        <f>MAX(C713-B713,0)*Assumptions!$B$2</f>
        <v>0</v>
      </c>
      <c r="G713">
        <f>MAX(B713-C713,0)*Assumptions!$B$2</f>
        <v>2.75</v>
      </c>
    </row>
    <row r="714" spans="1:7" x14ac:dyDescent="0.3">
      <c r="A714" s="5">
        <f>Raw_Load_Data!A714</f>
        <v>46218.83333333506</v>
      </c>
      <c r="B714">
        <f>Raw_Load_Data!B714</f>
        <v>4.7</v>
      </c>
      <c r="C714">
        <f>MAX(0,IF(AND(HOUR(A714)&gt;=6,HOUR(A714)&lt;=18),Assumptions!$B$8*SIN(PI()*(HOUR(A714)+MINUTE(A714)/60-6)/12),0))</f>
        <v>0</v>
      </c>
      <c r="D714">
        <f t="shared" si="11"/>
        <v>4.7</v>
      </c>
      <c r="E714">
        <f>MIN(B714,C714)*Assumptions!$B$2</f>
        <v>0</v>
      </c>
      <c r="F714">
        <f>MAX(C714-B714,0)*Assumptions!$B$2</f>
        <v>0</v>
      </c>
      <c r="G714">
        <f>MAX(B714-C714,0)*Assumptions!$B$2</f>
        <v>2.35</v>
      </c>
    </row>
    <row r="715" spans="1:7" x14ac:dyDescent="0.3">
      <c r="A715" s="5">
        <f>Raw_Load_Data!A715</f>
        <v>46218.854166668396</v>
      </c>
      <c r="B715">
        <f>Raw_Load_Data!B715</f>
        <v>6.6</v>
      </c>
      <c r="C715">
        <f>MAX(0,IF(AND(HOUR(A715)&gt;=6,HOUR(A715)&lt;=18),Assumptions!$B$8*SIN(PI()*(HOUR(A715)+MINUTE(A715)/60-6)/12),0))</f>
        <v>0</v>
      </c>
      <c r="D715">
        <f t="shared" si="11"/>
        <v>6.6</v>
      </c>
      <c r="E715">
        <f>MIN(B715,C715)*Assumptions!$B$2</f>
        <v>0</v>
      </c>
      <c r="F715">
        <f>MAX(C715-B715,0)*Assumptions!$B$2</f>
        <v>0</v>
      </c>
      <c r="G715">
        <f>MAX(B715-C715,0)*Assumptions!$B$2</f>
        <v>3.3</v>
      </c>
    </row>
    <row r="716" spans="1:7" x14ac:dyDescent="0.3">
      <c r="A716" s="5">
        <f>Raw_Load_Data!A716</f>
        <v>46218.875000001732</v>
      </c>
      <c r="B716">
        <f>Raw_Load_Data!B716</f>
        <v>5.8</v>
      </c>
      <c r="C716">
        <f>MAX(0,IF(AND(HOUR(A716)&gt;=6,HOUR(A716)&lt;=18),Assumptions!$B$8*SIN(PI()*(HOUR(A716)+MINUTE(A716)/60-6)/12),0))</f>
        <v>0</v>
      </c>
      <c r="D716">
        <f t="shared" si="11"/>
        <v>5.8</v>
      </c>
      <c r="E716">
        <f>MIN(B716,C716)*Assumptions!$B$2</f>
        <v>0</v>
      </c>
      <c r="F716">
        <f>MAX(C716-B716,0)*Assumptions!$B$2</f>
        <v>0</v>
      </c>
      <c r="G716">
        <f>MAX(B716-C716,0)*Assumptions!$B$2</f>
        <v>2.9</v>
      </c>
    </row>
    <row r="717" spans="1:7" x14ac:dyDescent="0.3">
      <c r="A717" s="5">
        <f>Raw_Load_Data!A717</f>
        <v>46218.895833335067</v>
      </c>
      <c r="B717">
        <f>Raw_Load_Data!B717</f>
        <v>4.0999999999999996</v>
      </c>
      <c r="C717">
        <f>MAX(0,IF(AND(HOUR(A717)&gt;=6,HOUR(A717)&lt;=18),Assumptions!$B$8*SIN(PI()*(HOUR(A717)+MINUTE(A717)/60-6)/12),0))</f>
        <v>0</v>
      </c>
      <c r="D717">
        <f t="shared" si="11"/>
        <v>4.0999999999999996</v>
      </c>
      <c r="E717">
        <f>MIN(B717,C717)*Assumptions!$B$2</f>
        <v>0</v>
      </c>
      <c r="F717">
        <f>MAX(C717-B717,0)*Assumptions!$B$2</f>
        <v>0</v>
      </c>
      <c r="G717">
        <f>MAX(B717-C717,0)*Assumptions!$B$2</f>
        <v>2.0499999999999998</v>
      </c>
    </row>
    <row r="718" spans="1:7" x14ac:dyDescent="0.3">
      <c r="A718" s="5">
        <f>Raw_Load_Data!A718</f>
        <v>46218.916666668403</v>
      </c>
      <c r="B718">
        <f>Raw_Load_Data!B718</f>
        <v>7.8</v>
      </c>
      <c r="C718">
        <f>MAX(0,IF(AND(HOUR(A718)&gt;=6,HOUR(A718)&lt;=18),Assumptions!$B$8*SIN(PI()*(HOUR(A718)+MINUTE(A718)/60-6)/12),0))</f>
        <v>0</v>
      </c>
      <c r="D718">
        <f t="shared" si="11"/>
        <v>7.8</v>
      </c>
      <c r="E718">
        <f>MIN(B718,C718)*Assumptions!$B$2</f>
        <v>0</v>
      </c>
      <c r="F718">
        <f>MAX(C718-B718,0)*Assumptions!$B$2</f>
        <v>0</v>
      </c>
      <c r="G718">
        <f>MAX(B718-C718,0)*Assumptions!$B$2</f>
        <v>3.9</v>
      </c>
    </row>
    <row r="719" spans="1:7" x14ac:dyDescent="0.3">
      <c r="A719" s="5">
        <f>Raw_Load_Data!A719</f>
        <v>46218.937500001739</v>
      </c>
      <c r="B719">
        <f>Raw_Load_Data!B719</f>
        <v>3.5</v>
      </c>
      <c r="C719">
        <f>MAX(0,IF(AND(HOUR(A719)&gt;=6,HOUR(A719)&lt;=18),Assumptions!$B$8*SIN(PI()*(HOUR(A719)+MINUTE(A719)/60-6)/12),0))</f>
        <v>0</v>
      </c>
      <c r="D719">
        <f t="shared" si="11"/>
        <v>3.5</v>
      </c>
      <c r="E719">
        <f>MIN(B719,C719)*Assumptions!$B$2</f>
        <v>0</v>
      </c>
      <c r="F719">
        <f>MAX(C719-B719,0)*Assumptions!$B$2</f>
        <v>0</v>
      </c>
      <c r="G719">
        <f>MAX(B719-C719,0)*Assumptions!$B$2</f>
        <v>1.75</v>
      </c>
    </row>
    <row r="720" spans="1:7" x14ac:dyDescent="0.3">
      <c r="A720" s="5">
        <f>Raw_Load_Data!A720</f>
        <v>46218.958333335075</v>
      </c>
      <c r="B720">
        <f>Raw_Load_Data!B720</f>
        <v>7.2</v>
      </c>
      <c r="C720">
        <f>MAX(0,IF(AND(HOUR(A720)&gt;=6,HOUR(A720)&lt;=18),Assumptions!$B$8*SIN(PI()*(HOUR(A720)+MINUTE(A720)/60-6)/12),0))</f>
        <v>0</v>
      </c>
      <c r="D720">
        <f t="shared" si="11"/>
        <v>7.2</v>
      </c>
      <c r="E720">
        <f>MIN(B720,C720)*Assumptions!$B$2</f>
        <v>0</v>
      </c>
      <c r="F720">
        <f>MAX(C720-B720,0)*Assumptions!$B$2</f>
        <v>0</v>
      </c>
      <c r="G720">
        <f>MAX(B720-C720,0)*Assumptions!$B$2</f>
        <v>3.6</v>
      </c>
    </row>
    <row r="721" spans="1:7" x14ac:dyDescent="0.3">
      <c r="A721" s="5">
        <f>Raw_Load_Data!A721</f>
        <v>46218.97916666841</v>
      </c>
      <c r="B721">
        <f>Raw_Load_Data!B721</f>
        <v>3.6</v>
      </c>
      <c r="C721">
        <f>MAX(0,IF(AND(HOUR(A721)&gt;=6,HOUR(A721)&lt;=18),Assumptions!$B$8*SIN(PI()*(HOUR(A721)+MINUTE(A721)/60-6)/12),0))</f>
        <v>0</v>
      </c>
      <c r="D721">
        <f t="shared" si="11"/>
        <v>3.6</v>
      </c>
      <c r="E721">
        <f>MIN(B721,C721)*Assumptions!$B$2</f>
        <v>0</v>
      </c>
      <c r="F721">
        <f>MAX(C721-B721,0)*Assumptions!$B$2</f>
        <v>0</v>
      </c>
      <c r="G721">
        <f>MAX(B721-C721,0)*Assumptions!$B$2</f>
        <v>1.8</v>
      </c>
    </row>
    <row r="722" spans="1:7" x14ac:dyDescent="0.3">
      <c r="A722" s="5">
        <f>Raw_Load_Data!A722</f>
        <v>46219.000000001746</v>
      </c>
      <c r="B722">
        <f>Raw_Load_Data!B722</f>
        <v>2.4</v>
      </c>
      <c r="C722">
        <f>MAX(0,IF(AND(HOUR(A722)&gt;=6,HOUR(A722)&lt;=18),Assumptions!$B$8*SIN(PI()*(HOUR(A722)+MINUTE(A722)/60-6)/12),0))</f>
        <v>0</v>
      </c>
      <c r="D722">
        <f t="shared" si="11"/>
        <v>2.4</v>
      </c>
      <c r="E722">
        <f>MIN(B722,C722)*Assumptions!$B$2</f>
        <v>0</v>
      </c>
      <c r="F722">
        <f>MAX(C722-B722,0)*Assumptions!$B$2</f>
        <v>0</v>
      </c>
      <c r="G722">
        <f>MAX(B722-C722,0)*Assumptions!$B$2</f>
        <v>1.2</v>
      </c>
    </row>
    <row r="723" spans="1:7" x14ac:dyDescent="0.3">
      <c r="A723" s="5">
        <f>Raw_Load_Data!A723</f>
        <v>46219.020833335082</v>
      </c>
      <c r="B723">
        <f>Raw_Load_Data!B723</f>
        <v>2</v>
      </c>
      <c r="C723">
        <f>MAX(0,IF(AND(HOUR(A723)&gt;=6,HOUR(A723)&lt;=18),Assumptions!$B$8*SIN(PI()*(HOUR(A723)+MINUTE(A723)/60-6)/12),0))</f>
        <v>0</v>
      </c>
      <c r="D723">
        <f t="shared" si="11"/>
        <v>2</v>
      </c>
      <c r="E723">
        <f>MIN(B723,C723)*Assumptions!$B$2</f>
        <v>0</v>
      </c>
      <c r="F723">
        <f>MAX(C723-B723,0)*Assumptions!$B$2</f>
        <v>0</v>
      </c>
      <c r="G723">
        <f>MAX(B723-C723,0)*Assumptions!$B$2</f>
        <v>1</v>
      </c>
    </row>
    <row r="724" spans="1:7" x14ac:dyDescent="0.3">
      <c r="A724" s="5">
        <f>Raw_Load_Data!A724</f>
        <v>46219.041666668418</v>
      </c>
      <c r="B724">
        <f>Raw_Load_Data!B724</f>
        <v>2.9</v>
      </c>
      <c r="C724">
        <f>MAX(0,IF(AND(HOUR(A724)&gt;=6,HOUR(A724)&lt;=18),Assumptions!$B$8*SIN(PI()*(HOUR(A724)+MINUTE(A724)/60-6)/12),0))</f>
        <v>0</v>
      </c>
      <c r="D724">
        <f t="shared" si="11"/>
        <v>2.9</v>
      </c>
      <c r="E724">
        <f>MIN(B724,C724)*Assumptions!$B$2</f>
        <v>0</v>
      </c>
      <c r="F724">
        <f>MAX(C724-B724,0)*Assumptions!$B$2</f>
        <v>0</v>
      </c>
      <c r="G724">
        <f>MAX(B724-C724,0)*Assumptions!$B$2</f>
        <v>1.45</v>
      </c>
    </row>
    <row r="725" spans="1:7" x14ac:dyDescent="0.3">
      <c r="A725" s="5">
        <f>Raw_Load_Data!A725</f>
        <v>46219.062500001754</v>
      </c>
      <c r="B725">
        <f>Raw_Load_Data!B725</f>
        <v>3</v>
      </c>
      <c r="C725">
        <f>MAX(0,IF(AND(HOUR(A725)&gt;=6,HOUR(A725)&lt;=18),Assumptions!$B$8*SIN(PI()*(HOUR(A725)+MINUTE(A725)/60-6)/12),0))</f>
        <v>0</v>
      </c>
      <c r="D725">
        <f t="shared" si="11"/>
        <v>3</v>
      </c>
      <c r="E725">
        <f>MIN(B725,C725)*Assumptions!$B$2</f>
        <v>0</v>
      </c>
      <c r="F725">
        <f>MAX(C725-B725,0)*Assumptions!$B$2</f>
        <v>0</v>
      </c>
      <c r="G725">
        <f>MAX(B725-C725,0)*Assumptions!$B$2</f>
        <v>1.5</v>
      </c>
    </row>
    <row r="726" spans="1:7" x14ac:dyDescent="0.3">
      <c r="A726" s="5">
        <f>Raw_Load_Data!A726</f>
        <v>46219.083333335089</v>
      </c>
      <c r="B726">
        <f>Raw_Load_Data!B726</f>
        <v>2.2000000000000002</v>
      </c>
      <c r="C726">
        <f>MAX(0,IF(AND(HOUR(A726)&gt;=6,HOUR(A726)&lt;=18),Assumptions!$B$8*SIN(PI()*(HOUR(A726)+MINUTE(A726)/60-6)/12),0))</f>
        <v>0</v>
      </c>
      <c r="D726">
        <f t="shared" si="11"/>
        <v>2.2000000000000002</v>
      </c>
      <c r="E726">
        <f>MIN(B726,C726)*Assumptions!$B$2</f>
        <v>0</v>
      </c>
      <c r="F726">
        <f>MAX(C726-B726,0)*Assumptions!$B$2</f>
        <v>0</v>
      </c>
      <c r="G726">
        <f>MAX(B726-C726,0)*Assumptions!$B$2</f>
        <v>1.1000000000000001</v>
      </c>
    </row>
    <row r="727" spans="1:7" x14ac:dyDescent="0.3">
      <c r="A727" s="5">
        <f>Raw_Load_Data!A727</f>
        <v>46219.104166668425</v>
      </c>
      <c r="B727">
        <f>Raw_Load_Data!B727</f>
        <v>2.7</v>
      </c>
      <c r="C727">
        <f>MAX(0,IF(AND(HOUR(A727)&gt;=6,HOUR(A727)&lt;=18),Assumptions!$B$8*SIN(PI()*(HOUR(A727)+MINUTE(A727)/60-6)/12),0))</f>
        <v>0</v>
      </c>
      <c r="D727">
        <f t="shared" si="11"/>
        <v>2.7</v>
      </c>
      <c r="E727">
        <f>MIN(B727,C727)*Assumptions!$B$2</f>
        <v>0</v>
      </c>
      <c r="F727">
        <f>MAX(C727-B727,0)*Assumptions!$B$2</f>
        <v>0</v>
      </c>
      <c r="G727">
        <f>MAX(B727-C727,0)*Assumptions!$B$2</f>
        <v>1.35</v>
      </c>
    </row>
    <row r="728" spans="1:7" x14ac:dyDescent="0.3">
      <c r="A728" s="5">
        <f>Raw_Load_Data!A728</f>
        <v>46219.125000001761</v>
      </c>
      <c r="B728">
        <f>Raw_Load_Data!B728</f>
        <v>1.8</v>
      </c>
      <c r="C728">
        <f>MAX(0,IF(AND(HOUR(A728)&gt;=6,HOUR(A728)&lt;=18),Assumptions!$B$8*SIN(PI()*(HOUR(A728)+MINUTE(A728)/60-6)/12),0))</f>
        <v>0</v>
      </c>
      <c r="D728">
        <f t="shared" si="11"/>
        <v>1.8</v>
      </c>
      <c r="E728">
        <f>MIN(B728,C728)*Assumptions!$B$2</f>
        <v>0</v>
      </c>
      <c r="F728">
        <f>MAX(C728-B728,0)*Assumptions!$B$2</f>
        <v>0</v>
      </c>
      <c r="G728">
        <f>MAX(B728-C728,0)*Assumptions!$B$2</f>
        <v>0.9</v>
      </c>
    </row>
    <row r="729" spans="1:7" x14ac:dyDescent="0.3">
      <c r="A729" s="5">
        <f>Raw_Load_Data!A729</f>
        <v>46219.145833335097</v>
      </c>
      <c r="B729">
        <f>Raw_Load_Data!B729</f>
        <v>1.8</v>
      </c>
      <c r="C729">
        <f>MAX(0,IF(AND(HOUR(A729)&gt;=6,HOUR(A729)&lt;=18),Assumptions!$B$8*SIN(PI()*(HOUR(A729)+MINUTE(A729)/60-6)/12),0))</f>
        <v>0</v>
      </c>
      <c r="D729">
        <f t="shared" si="11"/>
        <v>1.8</v>
      </c>
      <c r="E729">
        <f>MIN(B729,C729)*Assumptions!$B$2</f>
        <v>0</v>
      </c>
      <c r="F729">
        <f>MAX(C729-B729,0)*Assumptions!$B$2</f>
        <v>0</v>
      </c>
      <c r="G729">
        <f>MAX(B729-C729,0)*Assumptions!$B$2</f>
        <v>0.9</v>
      </c>
    </row>
    <row r="730" spans="1:7" x14ac:dyDescent="0.3">
      <c r="A730" s="5">
        <f>Raw_Load_Data!A730</f>
        <v>46219.166666668432</v>
      </c>
      <c r="B730">
        <f>Raw_Load_Data!B730</f>
        <v>2.8</v>
      </c>
      <c r="C730">
        <f>MAX(0,IF(AND(HOUR(A730)&gt;=6,HOUR(A730)&lt;=18),Assumptions!$B$8*SIN(PI()*(HOUR(A730)+MINUTE(A730)/60-6)/12),0))</f>
        <v>0</v>
      </c>
      <c r="D730">
        <f t="shared" si="11"/>
        <v>2.8</v>
      </c>
      <c r="E730">
        <f>MIN(B730,C730)*Assumptions!$B$2</f>
        <v>0</v>
      </c>
      <c r="F730">
        <f>MAX(C730-B730,0)*Assumptions!$B$2</f>
        <v>0</v>
      </c>
      <c r="G730">
        <f>MAX(B730-C730,0)*Assumptions!$B$2</f>
        <v>1.4</v>
      </c>
    </row>
    <row r="731" spans="1:7" x14ac:dyDescent="0.3">
      <c r="A731" s="5">
        <f>Raw_Load_Data!A731</f>
        <v>46219.187500001768</v>
      </c>
      <c r="B731">
        <f>Raw_Load_Data!B731</f>
        <v>2.2999999999999998</v>
      </c>
      <c r="C731">
        <f>MAX(0,IF(AND(HOUR(A731)&gt;=6,HOUR(A731)&lt;=18),Assumptions!$B$8*SIN(PI()*(HOUR(A731)+MINUTE(A731)/60-6)/12),0))</f>
        <v>0</v>
      </c>
      <c r="D731">
        <f t="shared" si="11"/>
        <v>2.2999999999999998</v>
      </c>
      <c r="E731">
        <f>MIN(B731,C731)*Assumptions!$B$2</f>
        <v>0</v>
      </c>
      <c r="F731">
        <f>MAX(C731-B731,0)*Assumptions!$B$2</f>
        <v>0</v>
      </c>
      <c r="G731">
        <f>MAX(B731-C731,0)*Assumptions!$B$2</f>
        <v>1.1499999999999999</v>
      </c>
    </row>
    <row r="732" spans="1:7" x14ac:dyDescent="0.3">
      <c r="A732" s="5">
        <f>Raw_Load_Data!A732</f>
        <v>46219.208333335104</v>
      </c>
      <c r="B732">
        <f>Raw_Load_Data!B732</f>
        <v>2.4</v>
      </c>
      <c r="C732">
        <f>MAX(0,IF(AND(HOUR(A732)&gt;=6,HOUR(A732)&lt;=18),Assumptions!$B$8*SIN(PI()*(HOUR(A732)+MINUTE(A732)/60-6)/12),0))</f>
        <v>0</v>
      </c>
      <c r="D732">
        <f t="shared" si="11"/>
        <v>2.4</v>
      </c>
      <c r="E732">
        <f>MIN(B732,C732)*Assumptions!$B$2</f>
        <v>0</v>
      </c>
      <c r="F732">
        <f>MAX(C732-B732,0)*Assumptions!$B$2</f>
        <v>0</v>
      </c>
      <c r="G732">
        <f>MAX(B732-C732,0)*Assumptions!$B$2</f>
        <v>1.2</v>
      </c>
    </row>
    <row r="733" spans="1:7" x14ac:dyDescent="0.3">
      <c r="A733" s="5">
        <f>Raw_Load_Data!A733</f>
        <v>46219.22916666844</v>
      </c>
      <c r="B733">
        <f>Raw_Load_Data!B733</f>
        <v>3</v>
      </c>
      <c r="C733">
        <f>MAX(0,IF(AND(HOUR(A733)&gt;=6,HOUR(A733)&lt;=18),Assumptions!$B$8*SIN(PI()*(HOUR(A733)+MINUTE(A733)/60-6)/12),0))</f>
        <v>0</v>
      </c>
      <c r="D733">
        <f t="shared" si="11"/>
        <v>3</v>
      </c>
      <c r="E733">
        <f>MIN(B733,C733)*Assumptions!$B$2</f>
        <v>0</v>
      </c>
      <c r="F733">
        <f>MAX(C733-B733,0)*Assumptions!$B$2</f>
        <v>0</v>
      </c>
      <c r="G733">
        <f>MAX(B733-C733,0)*Assumptions!$B$2</f>
        <v>1.5</v>
      </c>
    </row>
    <row r="734" spans="1:7" x14ac:dyDescent="0.3">
      <c r="A734" s="5">
        <f>Raw_Load_Data!A734</f>
        <v>46219.250000001775</v>
      </c>
      <c r="B734">
        <f>Raw_Load_Data!B734</f>
        <v>5.3</v>
      </c>
      <c r="C734">
        <f>MAX(0,IF(AND(HOUR(A734)&gt;=6,HOUR(A734)&lt;=18),Assumptions!$B$8*SIN(PI()*(HOUR(A734)+MINUTE(A734)/60-6)/12),0))</f>
        <v>0</v>
      </c>
      <c r="D734">
        <f t="shared" si="11"/>
        <v>5.3</v>
      </c>
      <c r="E734">
        <f>MIN(B734,C734)*Assumptions!$B$2</f>
        <v>0</v>
      </c>
      <c r="F734">
        <f>MAX(C734-B734,0)*Assumptions!$B$2</f>
        <v>0</v>
      </c>
      <c r="G734">
        <f>MAX(B734-C734,0)*Assumptions!$B$2</f>
        <v>2.65</v>
      </c>
    </row>
    <row r="735" spans="1:7" x14ac:dyDescent="0.3">
      <c r="A735" s="5">
        <f>Raw_Load_Data!A735</f>
        <v>46219.270833335111</v>
      </c>
      <c r="B735">
        <f>Raw_Load_Data!B735</f>
        <v>6.5</v>
      </c>
      <c r="C735">
        <f>MAX(0,IF(AND(HOUR(A735)&gt;=6,HOUR(A735)&lt;=18),Assumptions!$B$8*SIN(PI()*(HOUR(A735)+MINUTE(A735)/60-6)/12),0))</f>
        <v>3.9157857666015472</v>
      </c>
      <c r="D735">
        <f t="shared" si="11"/>
        <v>2.5842142333984528</v>
      </c>
      <c r="E735">
        <f>MIN(B735,C735)*Assumptions!$B$2</f>
        <v>1.9578928833007736</v>
      </c>
      <c r="F735">
        <f>MAX(C735-B735,0)*Assumptions!$B$2</f>
        <v>0</v>
      </c>
      <c r="G735">
        <f>MAX(B735-C735,0)*Assumptions!$B$2</f>
        <v>1.2921071166992264</v>
      </c>
    </row>
    <row r="736" spans="1:7" x14ac:dyDescent="0.3">
      <c r="A736" s="5">
        <f>Raw_Load_Data!A736</f>
        <v>46219.291666668447</v>
      </c>
      <c r="B736">
        <f>Raw_Load_Data!B736</f>
        <v>7.8</v>
      </c>
      <c r="C736">
        <f>MAX(0,IF(AND(HOUR(A736)&gt;=6,HOUR(A736)&lt;=18),Assumptions!$B$8*SIN(PI()*(HOUR(A736)+MINUTE(A736)/60-6)/12),0))</f>
        <v>7.7645713530756222</v>
      </c>
      <c r="D736">
        <f t="shared" si="11"/>
        <v>3.5428646924377638E-2</v>
      </c>
      <c r="E736">
        <f>MIN(B736,C736)*Assumptions!$B$2</f>
        <v>3.8822856765378111</v>
      </c>
      <c r="F736">
        <f>MAX(C736-B736,0)*Assumptions!$B$2</f>
        <v>0</v>
      </c>
      <c r="G736">
        <f>MAX(B736-C736,0)*Assumptions!$B$2</f>
        <v>1.7714323462188819E-2</v>
      </c>
    </row>
    <row r="737" spans="1:7" x14ac:dyDescent="0.3">
      <c r="A737" s="5">
        <f>Raw_Load_Data!A737</f>
        <v>46219.312500001783</v>
      </c>
      <c r="B737">
        <f>Raw_Load_Data!B737</f>
        <v>6.5</v>
      </c>
      <c r="C737">
        <f>MAX(0,IF(AND(HOUR(A737)&gt;=6,HOUR(A737)&lt;=18),Assumptions!$B$8*SIN(PI()*(HOUR(A737)+MINUTE(A737)/60-6)/12),0))</f>
        <v>11.480502970952694</v>
      </c>
      <c r="D737">
        <f t="shared" si="11"/>
        <v>-4.9805029709526938</v>
      </c>
      <c r="E737">
        <f>MIN(B737,C737)*Assumptions!$B$2</f>
        <v>3.25</v>
      </c>
      <c r="F737">
        <f>MAX(C737-B737,0)*Assumptions!$B$2</f>
        <v>2.4902514854763469</v>
      </c>
      <c r="G737">
        <f>MAX(B737-C737,0)*Assumptions!$B$2</f>
        <v>0</v>
      </c>
    </row>
    <row r="738" spans="1:7" x14ac:dyDescent="0.3">
      <c r="A738" s="5">
        <f>Raw_Load_Data!A738</f>
        <v>46219.333333335118</v>
      </c>
      <c r="B738">
        <f>Raw_Load_Data!B738</f>
        <v>14.2</v>
      </c>
      <c r="C738">
        <f>MAX(0,IF(AND(HOUR(A738)&gt;=6,HOUR(A738)&lt;=18),Assumptions!$B$8*SIN(PI()*(HOUR(A738)+MINUTE(A738)/60-6)/12),0))</f>
        <v>14.999999999999998</v>
      </c>
      <c r="D738">
        <f t="shared" si="11"/>
        <v>-0.79999999999999893</v>
      </c>
      <c r="E738">
        <f>MIN(B738,C738)*Assumptions!$B$2</f>
        <v>7.1</v>
      </c>
      <c r="F738">
        <f>MAX(C738-B738,0)*Assumptions!$B$2</f>
        <v>0.39999999999999947</v>
      </c>
      <c r="G738">
        <f>MAX(B738-C738,0)*Assumptions!$B$2</f>
        <v>0</v>
      </c>
    </row>
    <row r="739" spans="1:7" x14ac:dyDescent="0.3">
      <c r="A739" s="5">
        <f>Raw_Load_Data!A739</f>
        <v>46219.354166668454</v>
      </c>
      <c r="B739">
        <f>Raw_Load_Data!B739</f>
        <v>14.1</v>
      </c>
      <c r="C739">
        <f>MAX(0,IF(AND(HOUR(A739)&gt;=6,HOUR(A739)&lt;=18),Assumptions!$B$8*SIN(PI()*(HOUR(A739)+MINUTE(A739)/60-6)/12),0))</f>
        <v>18.262842870261618</v>
      </c>
      <c r="D739">
        <f t="shared" si="11"/>
        <v>-4.1628428702616187</v>
      </c>
      <c r="E739">
        <f>MIN(B739,C739)*Assumptions!$B$2</f>
        <v>7.05</v>
      </c>
      <c r="F739">
        <f>MAX(C739-B739,0)*Assumptions!$B$2</f>
        <v>2.0814214351308093</v>
      </c>
      <c r="G739">
        <f>MAX(B739-C739,0)*Assumptions!$B$2</f>
        <v>0</v>
      </c>
    </row>
    <row r="740" spans="1:7" x14ac:dyDescent="0.3">
      <c r="A740" s="5">
        <f>Raw_Load_Data!A740</f>
        <v>46219.37500000179</v>
      </c>
      <c r="B740">
        <f>Raw_Load_Data!B740</f>
        <v>13</v>
      </c>
      <c r="C740">
        <f>MAX(0,IF(AND(HOUR(A740)&gt;=6,HOUR(A740)&lt;=18),Assumptions!$B$8*SIN(PI()*(HOUR(A740)+MINUTE(A740)/60-6)/12),0))</f>
        <v>21.213203435596423</v>
      </c>
      <c r="D740">
        <f t="shared" si="11"/>
        <v>-8.213203435596423</v>
      </c>
      <c r="E740">
        <f>MIN(B740,C740)*Assumptions!$B$2</f>
        <v>6.5</v>
      </c>
      <c r="F740">
        <f>MAX(C740-B740,0)*Assumptions!$B$2</f>
        <v>4.1066017177982115</v>
      </c>
      <c r="G740">
        <f>MAX(B740-C740,0)*Assumptions!$B$2</f>
        <v>0</v>
      </c>
    </row>
    <row r="741" spans="1:7" x14ac:dyDescent="0.3">
      <c r="A741" s="5">
        <f>Raw_Load_Data!A741</f>
        <v>46219.395833335126</v>
      </c>
      <c r="B741">
        <f>Raw_Load_Data!B741</f>
        <v>18.899999999999999</v>
      </c>
      <c r="C741">
        <f>MAX(0,IF(AND(HOUR(A741)&gt;=6,HOUR(A741)&lt;=18),Assumptions!$B$8*SIN(PI()*(HOUR(A741)+MINUTE(A741)/60-6)/12),0))</f>
        <v>23.800600208737055</v>
      </c>
      <c r="D741">
        <f t="shared" si="11"/>
        <v>-4.9006002087370568</v>
      </c>
      <c r="E741">
        <f>MIN(B741,C741)*Assumptions!$B$2</f>
        <v>9.4499999999999993</v>
      </c>
      <c r="F741">
        <f>MAX(C741-B741,0)*Assumptions!$B$2</f>
        <v>2.4503001043685284</v>
      </c>
      <c r="G741">
        <f>MAX(B741-C741,0)*Assumptions!$B$2</f>
        <v>0</v>
      </c>
    </row>
    <row r="742" spans="1:7" x14ac:dyDescent="0.3">
      <c r="A742" s="5">
        <f>Raw_Load_Data!A742</f>
        <v>46219.416666668461</v>
      </c>
      <c r="B742">
        <f>Raw_Load_Data!B742</f>
        <v>20.100000000000001</v>
      </c>
      <c r="C742">
        <f>MAX(0,IF(AND(HOUR(A742)&gt;=6,HOUR(A742)&lt;=18),Assumptions!$B$8*SIN(PI()*(HOUR(A742)+MINUTE(A742)/60-6)/12),0))</f>
        <v>25.980762113533157</v>
      </c>
      <c r="D742">
        <f t="shared" si="11"/>
        <v>-5.8807621135331551</v>
      </c>
      <c r="E742">
        <f>MIN(B742,C742)*Assumptions!$B$2</f>
        <v>10.050000000000001</v>
      </c>
      <c r="F742">
        <f>MAX(C742-B742,0)*Assumptions!$B$2</f>
        <v>2.9403810567665776</v>
      </c>
      <c r="G742">
        <f>MAX(B742-C742,0)*Assumptions!$B$2</f>
        <v>0</v>
      </c>
    </row>
    <row r="743" spans="1:7" x14ac:dyDescent="0.3">
      <c r="A743" s="5">
        <f>Raw_Load_Data!A743</f>
        <v>46219.437500001797</v>
      </c>
      <c r="B743">
        <f>Raw_Load_Data!B743</f>
        <v>19.8</v>
      </c>
      <c r="C743">
        <f>MAX(0,IF(AND(HOUR(A743)&gt;=6,HOUR(A743)&lt;=18),Assumptions!$B$8*SIN(PI()*(HOUR(A743)+MINUTE(A743)/60-6)/12),0))</f>
        <v>27.716385975338603</v>
      </c>
      <c r="D743">
        <f t="shared" si="11"/>
        <v>-7.9163859753386028</v>
      </c>
      <c r="E743">
        <f>MIN(B743,C743)*Assumptions!$B$2</f>
        <v>9.9</v>
      </c>
      <c r="F743">
        <f>MAX(C743-B743,0)*Assumptions!$B$2</f>
        <v>3.9581929876693014</v>
      </c>
      <c r="G743">
        <f>MAX(B743-C743,0)*Assumptions!$B$2</f>
        <v>0</v>
      </c>
    </row>
    <row r="744" spans="1:7" x14ac:dyDescent="0.3">
      <c r="A744" s="5">
        <f>Raw_Load_Data!A744</f>
        <v>46219.458333335133</v>
      </c>
      <c r="B744">
        <f>Raw_Load_Data!B744</f>
        <v>18.8</v>
      </c>
      <c r="C744">
        <f>MAX(0,IF(AND(HOUR(A744)&gt;=6,HOUR(A744)&lt;=18),Assumptions!$B$8*SIN(PI()*(HOUR(A744)+MINUTE(A744)/60-6)/12),0))</f>
        <v>28.97777478867205</v>
      </c>
      <c r="D744">
        <f t="shared" si="11"/>
        <v>-10.17777478867205</v>
      </c>
      <c r="E744">
        <f>MIN(B744,C744)*Assumptions!$B$2</f>
        <v>9.4</v>
      </c>
      <c r="F744">
        <f>MAX(C744-B744,0)*Assumptions!$B$2</f>
        <v>5.0888873943360249</v>
      </c>
      <c r="G744">
        <f>MAX(B744-C744,0)*Assumptions!$B$2</f>
        <v>0</v>
      </c>
    </row>
    <row r="745" spans="1:7" x14ac:dyDescent="0.3">
      <c r="A745" s="5">
        <f>Raw_Load_Data!A745</f>
        <v>46219.479166668469</v>
      </c>
      <c r="B745">
        <f>Raw_Load_Data!B745</f>
        <v>18.2</v>
      </c>
      <c r="C745">
        <f>MAX(0,IF(AND(HOUR(A745)&gt;=6,HOUR(A745)&lt;=18),Assumptions!$B$8*SIN(PI()*(HOUR(A745)+MINUTE(A745)/60-6)/12),0))</f>
        <v>29.74334584121431</v>
      </c>
      <c r="D745">
        <f t="shared" si="11"/>
        <v>-11.543345841214311</v>
      </c>
      <c r="E745">
        <f>MIN(B745,C745)*Assumptions!$B$2</f>
        <v>9.1</v>
      </c>
      <c r="F745">
        <f>MAX(C745-B745,0)*Assumptions!$B$2</f>
        <v>5.7716729206071555</v>
      </c>
      <c r="G745">
        <f>MAX(B745-C745,0)*Assumptions!$B$2</f>
        <v>0</v>
      </c>
    </row>
    <row r="746" spans="1:7" x14ac:dyDescent="0.3">
      <c r="A746" s="5">
        <f>Raw_Load_Data!A746</f>
        <v>46219.500000001804</v>
      </c>
      <c r="B746">
        <f>Raw_Load_Data!B746</f>
        <v>20.3</v>
      </c>
      <c r="C746">
        <f>MAX(0,IF(AND(HOUR(A746)&gt;=6,HOUR(A746)&lt;=18),Assumptions!$B$8*SIN(PI()*(HOUR(A746)+MINUTE(A746)/60-6)/12),0))</f>
        <v>30</v>
      </c>
      <c r="D746">
        <f t="shared" si="11"/>
        <v>-9.6999999999999993</v>
      </c>
      <c r="E746">
        <f>MIN(B746,C746)*Assumptions!$B$2</f>
        <v>10.15</v>
      </c>
      <c r="F746">
        <f>MAX(C746-B746,0)*Assumptions!$B$2</f>
        <v>4.8499999999999996</v>
      </c>
      <c r="G746">
        <f>MAX(B746-C746,0)*Assumptions!$B$2</f>
        <v>0</v>
      </c>
    </row>
    <row r="747" spans="1:7" x14ac:dyDescent="0.3">
      <c r="A747" s="5">
        <f>Raw_Load_Data!A747</f>
        <v>46219.52083333514</v>
      </c>
      <c r="B747">
        <f>Raw_Load_Data!B747</f>
        <v>27.2</v>
      </c>
      <c r="C747">
        <f>MAX(0,IF(AND(HOUR(A747)&gt;=6,HOUR(A747)&lt;=18),Assumptions!$B$8*SIN(PI()*(HOUR(A747)+MINUTE(A747)/60-6)/12),0))</f>
        <v>29.74334584121431</v>
      </c>
      <c r="D747">
        <f t="shared" si="11"/>
        <v>-2.5433458412143111</v>
      </c>
      <c r="E747">
        <f>MIN(B747,C747)*Assumptions!$B$2</f>
        <v>13.6</v>
      </c>
      <c r="F747">
        <f>MAX(C747-B747,0)*Assumptions!$B$2</f>
        <v>1.2716729206071555</v>
      </c>
      <c r="G747">
        <f>MAX(B747-C747,0)*Assumptions!$B$2</f>
        <v>0</v>
      </c>
    </row>
    <row r="748" spans="1:7" x14ac:dyDescent="0.3">
      <c r="A748" s="5">
        <f>Raw_Load_Data!A748</f>
        <v>46219.541666668476</v>
      </c>
      <c r="B748">
        <f>Raw_Load_Data!B748</f>
        <v>34.1</v>
      </c>
      <c r="C748">
        <f>MAX(0,IF(AND(HOUR(A748)&gt;=6,HOUR(A748)&lt;=18),Assumptions!$B$8*SIN(PI()*(HOUR(A748)+MINUTE(A748)/60-6)/12),0))</f>
        <v>28.97777478867205</v>
      </c>
      <c r="D748">
        <f t="shared" si="11"/>
        <v>5.1222252113279509</v>
      </c>
      <c r="E748">
        <f>MIN(B748,C748)*Assumptions!$B$2</f>
        <v>14.488887394336025</v>
      </c>
      <c r="F748">
        <f>MAX(C748-B748,0)*Assumptions!$B$2</f>
        <v>0</v>
      </c>
      <c r="G748">
        <f>MAX(B748-C748,0)*Assumptions!$B$2</f>
        <v>2.5611126056639755</v>
      </c>
    </row>
    <row r="749" spans="1:7" x14ac:dyDescent="0.3">
      <c r="A749" s="5">
        <f>Raw_Load_Data!A749</f>
        <v>46219.562500001812</v>
      </c>
      <c r="B749">
        <f>Raw_Load_Data!B749</f>
        <v>34.9</v>
      </c>
      <c r="C749">
        <f>MAX(0,IF(AND(HOUR(A749)&gt;=6,HOUR(A749)&lt;=18),Assumptions!$B$8*SIN(PI()*(HOUR(A749)+MINUTE(A749)/60-6)/12),0))</f>
        <v>27.716385975338607</v>
      </c>
      <c r="D749">
        <f t="shared" si="11"/>
        <v>7.1836140246613915</v>
      </c>
      <c r="E749">
        <f>MIN(B749,C749)*Assumptions!$B$2</f>
        <v>13.858192987669304</v>
      </c>
      <c r="F749">
        <f>MAX(C749-B749,0)*Assumptions!$B$2</f>
        <v>0</v>
      </c>
      <c r="G749">
        <f>MAX(B749-C749,0)*Assumptions!$B$2</f>
        <v>3.5918070123306958</v>
      </c>
    </row>
    <row r="750" spans="1:7" x14ac:dyDescent="0.3">
      <c r="A750" s="5">
        <f>Raw_Load_Data!A750</f>
        <v>46219.583333335147</v>
      </c>
      <c r="B750">
        <f>Raw_Load_Data!B750</f>
        <v>24.2</v>
      </c>
      <c r="C750">
        <f>MAX(0,IF(AND(HOUR(A750)&gt;=6,HOUR(A750)&lt;=18),Assumptions!$B$8*SIN(PI()*(HOUR(A750)+MINUTE(A750)/60-6)/12),0))</f>
        <v>25.98076211353316</v>
      </c>
      <c r="D750">
        <f t="shared" si="11"/>
        <v>-1.7807621135331608</v>
      </c>
      <c r="E750">
        <f>MIN(B750,C750)*Assumptions!$B$2</f>
        <v>12.1</v>
      </c>
      <c r="F750">
        <f>MAX(C750-B750,0)*Assumptions!$B$2</f>
        <v>0.89038105676658041</v>
      </c>
      <c r="G750">
        <f>MAX(B750-C750,0)*Assumptions!$B$2</f>
        <v>0</v>
      </c>
    </row>
    <row r="751" spans="1:7" x14ac:dyDescent="0.3">
      <c r="A751" s="5">
        <f>Raw_Load_Data!A751</f>
        <v>46219.604166668483</v>
      </c>
      <c r="B751">
        <f>Raw_Load_Data!B751</f>
        <v>26.7</v>
      </c>
      <c r="C751">
        <f>MAX(0,IF(AND(HOUR(A751)&gt;=6,HOUR(A751)&lt;=18),Assumptions!$B$8*SIN(PI()*(HOUR(A751)+MINUTE(A751)/60-6)/12),0))</f>
        <v>23.800600208737055</v>
      </c>
      <c r="D751">
        <f t="shared" si="11"/>
        <v>2.8993997912629439</v>
      </c>
      <c r="E751">
        <f>MIN(B751,C751)*Assumptions!$B$2</f>
        <v>11.900300104368528</v>
      </c>
      <c r="F751">
        <f>MAX(C751-B751,0)*Assumptions!$B$2</f>
        <v>0</v>
      </c>
      <c r="G751">
        <f>MAX(B751-C751,0)*Assumptions!$B$2</f>
        <v>1.4496998956314719</v>
      </c>
    </row>
    <row r="752" spans="1:7" x14ac:dyDescent="0.3">
      <c r="A752" s="5">
        <f>Raw_Load_Data!A752</f>
        <v>46219.625000001819</v>
      </c>
      <c r="B752">
        <f>Raw_Load_Data!B752</f>
        <v>18.399999999999999</v>
      </c>
      <c r="C752">
        <f>MAX(0,IF(AND(HOUR(A752)&gt;=6,HOUR(A752)&lt;=18),Assumptions!$B$8*SIN(PI()*(HOUR(A752)+MINUTE(A752)/60-6)/12),0))</f>
        <v>21.213203435596427</v>
      </c>
      <c r="D752">
        <f t="shared" si="11"/>
        <v>-2.8132034355964279</v>
      </c>
      <c r="E752">
        <f>MIN(B752,C752)*Assumptions!$B$2</f>
        <v>9.1999999999999993</v>
      </c>
      <c r="F752">
        <f>MAX(C752-B752,0)*Assumptions!$B$2</f>
        <v>1.406601717798214</v>
      </c>
      <c r="G752">
        <f>MAX(B752-C752,0)*Assumptions!$B$2</f>
        <v>0</v>
      </c>
    </row>
    <row r="753" spans="1:7" x14ac:dyDescent="0.3">
      <c r="A753" s="5">
        <f>Raw_Load_Data!A753</f>
        <v>46219.645833335155</v>
      </c>
      <c r="B753">
        <f>Raw_Load_Data!B753</f>
        <v>20.9</v>
      </c>
      <c r="C753">
        <f>MAX(0,IF(AND(HOUR(A753)&gt;=6,HOUR(A753)&lt;=18),Assumptions!$B$8*SIN(PI()*(HOUR(A753)+MINUTE(A753)/60-6)/12),0))</f>
        <v>18.262842870261625</v>
      </c>
      <c r="D753">
        <f t="shared" si="11"/>
        <v>2.6371571297383731</v>
      </c>
      <c r="E753">
        <f>MIN(B753,C753)*Assumptions!$B$2</f>
        <v>9.1314214351308127</v>
      </c>
      <c r="F753">
        <f>MAX(C753-B753,0)*Assumptions!$B$2</f>
        <v>0</v>
      </c>
      <c r="G753">
        <f>MAX(B753-C753,0)*Assumptions!$B$2</f>
        <v>1.3185785648691866</v>
      </c>
    </row>
    <row r="754" spans="1:7" x14ac:dyDescent="0.3">
      <c r="A754" s="5">
        <f>Raw_Load_Data!A754</f>
        <v>46219.666666668491</v>
      </c>
      <c r="B754">
        <f>Raw_Load_Data!B754</f>
        <v>12.7</v>
      </c>
      <c r="C754">
        <f>MAX(0,IF(AND(HOUR(A754)&gt;=6,HOUR(A754)&lt;=18),Assumptions!$B$8*SIN(PI()*(HOUR(A754)+MINUTE(A754)/60-6)/12),0))</f>
        <v>14.999999999999998</v>
      </c>
      <c r="D754">
        <f t="shared" si="11"/>
        <v>-2.2999999999999989</v>
      </c>
      <c r="E754">
        <f>MIN(B754,C754)*Assumptions!$B$2</f>
        <v>6.35</v>
      </c>
      <c r="F754">
        <f>MAX(C754-B754,0)*Assumptions!$B$2</f>
        <v>1.1499999999999995</v>
      </c>
      <c r="G754">
        <f>MAX(B754-C754,0)*Assumptions!$B$2</f>
        <v>0</v>
      </c>
    </row>
    <row r="755" spans="1:7" x14ac:dyDescent="0.3">
      <c r="A755" s="5">
        <f>Raw_Load_Data!A755</f>
        <v>46219.687500001826</v>
      </c>
      <c r="B755">
        <f>Raw_Load_Data!B755</f>
        <v>17.600000000000001</v>
      </c>
      <c r="C755">
        <f>MAX(0,IF(AND(HOUR(A755)&gt;=6,HOUR(A755)&lt;=18),Assumptions!$B$8*SIN(PI()*(HOUR(A755)+MINUTE(A755)/60-6)/12),0))</f>
        <v>11.480502970952697</v>
      </c>
      <c r="D755">
        <f t="shared" si="11"/>
        <v>6.1194970290473041</v>
      </c>
      <c r="E755">
        <f>MIN(B755,C755)*Assumptions!$B$2</f>
        <v>5.7402514854763487</v>
      </c>
      <c r="F755">
        <f>MAX(C755-B755,0)*Assumptions!$B$2</f>
        <v>0</v>
      </c>
      <c r="G755">
        <f>MAX(B755-C755,0)*Assumptions!$B$2</f>
        <v>3.059748514523652</v>
      </c>
    </row>
    <row r="756" spans="1:7" x14ac:dyDescent="0.3">
      <c r="A756" s="5">
        <f>Raw_Load_Data!A756</f>
        <v>46219.708333335162</v>
      </c>
      <c r="B756">
        <f>Raw_Load_Data!B756</f>
        <v>10.8</v>
      </c>
      <c r="C756">
        <f>MAX(0,IF(AND(HOUR(A756)&gt;=6,HOUR(A756)&lt;=18),Assumptions!$B$8*SIN(PI()*(HOUR(A756)+MINUTE(A756)/60-6)/12),0))</f>
        <v>7.7645713530756302</v>
      </c>
      <c r="D756">
        <f t="shared" si="11"/>
        <v>3.0354286469243705</v>
      </c>
      <c r="E756">
        <f>MIN(B756,C756)*Assumptions!$B$2</f>
        <v>3.8822856765378151</v>
      </c>
      <c r="F756">
        <f>MAX(C756-B756,0)*Assumptions!$B$2</f>
        <v>0</v>
      </c>
      <c r="G756">
        <f>MAX(B756-C756,0)*Assumptions!$B$2</f>
        <v>1.5177143234621853</v>
      </c>
    </row>
    <row r="757" spans="1:7" x14ac:dyDescent="0.3">
      <c r="A757" s="5">
        <f>Raw_Load_Data!A757</f>
        <v>46219.729166668498</v>
      </c>
      <c r="B757">
        <f>Raw_Load_Data!B757</f>
        <v>19</v>
      </c>
      <c r="C757">
        <f>MAX(0,IF(AND(HOUR(A757)&gt;=6,HOUR(A757)&lt;=18),Assumptions!$B$8*SIN(PI()*(HOUR(A757)+MINUTE(A757)/60-6)/12),0))</f>
        <v>3.9157857666015596</v>
      </c>
      <c r="D757">
        <f t="shared" si="11"/>
        <v>15.084214233398441</v>
      </c>
      <c r="E757">
        <f>MIN(B757,C757)*Assumptions!$B$2</f>
        <v>1.9578928833007798</v>
      </c>
      <c r="F757">
        <f>MAX(C757-B757,0)*Assumptions!$B$2</f>
        <v>0</v>
      </c>
      <c r="G757">
        <f>MAX(B757-C757,0)*Assumptions!$B$2</f>
        <v>7.5421071166992206</v>
      </c>
    </row>
    <row r="758" spans="1:7" x14ac:dyDescent="0.3">
      <c r="A758" s="5">
        <f>Raw_Load_Data!A758</f>
        <v>46219.750000001834</v>
      </c>
      <c r="B758">
        <f>Raw_Load_Data!B758</f>
        <v>12.6</v>
      </c>
      <c r="C758">
        <f>MAX(0,IF(AND(HOUR(A758)&gt;=6,HOUR(A758)&lt;=18),Assumptions!$B$8*SIN(PI()*(HOUR(A758)+MINUTE(A758)/60-6)/12),0))</f>
        <v>3.67544536472586E-15</v>
      </c>
      <c r="D758">
        <f t="shared" si="11"/>
        <v>12.599999999999996</v>
      </c>
      <c r="E758">
        <f>MIN(B758,C758)*Assumptions!$B$2</f>
        <v>1.83772268236293E-15</v>
      </c>
      <c r="F758">
        <f>MAX(C758-B758,0)*Assumptions!$B$2</f>
        <v>0</v>
      </c>
      <c r="G758">
        <f>MAX(B758-C758,0)*Assumptions!$B$2</f>
        <v>6.299999999999998</v>
      </c>
    </row>
    <row r="759" spans="1:7" x14ac:dyDescent="0.3">
      <c r="A759" s="5">
        <f>Raw_Load_Data!A759</f>
        <v>46219.770833335169</v>
      </c>
      <c r="B759">
        <f>Raw_Load_Data!B759</f>
        <v>13</v>
      </c>
      <c r="C759">
        <f>MAX(0,IF(AND(HOUR(A759)&gt;=6,HOUR(A759)&lt;=18),Assumptions!$B$8*SIN(PI()*(HOUR(A759)+MINUTE(A759)/60-6)/12),0))</f>
        <v>0</v>
      </c>
      <c r="D759">
        <f t="shared" si="11"/>
        <v>13</v>
      </c>
      <c r="E759">
        <f>MIN(B759,C759)*Assumptions!$B$2</f>
        <v>0</v>
      </c>
      <c r="F759">
        <f>MAX(C759-B759,0)*Assumptions!$B$2</f>
        <v>0</v>
      </c>
      <c r="G759">
        <f>MAX(B759-C759,0)*Assumptions!$B$2</f>
        <v>6.5</v>
      </c>
    </row>
    <row r="760" spans="1:7" x14ac:dyDescent="0.3">
      <c r="A760" s="5">
        <f>Raw_Load_Data!A760</f>
        <v>46219.791666668505</v>
      </c>
      <c r="B760">
        <f>Raw_Load_Data!B760</f>
        <v>4.4000000000000004</v>
      </c>
      <c r="C760">
        <f>MAX(0,IF(AND(HOUR(A760)&gt;=6,HOUR(A760)&lt;=18),Assumptions!$B$8*SIN(PI()*(HOUR(A760)+MINUTE(A760)/60-6)/12),0))</f>
        <v>0</v>
      </c>
      <c r="D760">
        <f t="shared" si="11"/>
        <v>4.4000000000000004</v>
      </c>
      <c r="E760">
        <f>MIN(B760,C760)*Assumptions!$B$2</f>
        <v>0</v>
      </c>
      <c r="F760">
        <f>MAX(C760-B760,0)*Assumptions!$B$2</f>
        <v>0</v>
      </c>
      <c r="G760">
        <f>MAX(B760-C760,0)*Assumptions!$B$2</f>
        <v>2.2000000000000002</v>
      </c>
    </row>
    <row r="761" spans="1:7" x14ac:dyDescent="0.3">
      <c r="A761" s="5">
        <f>Raw_Load_Data!A761</f>
        <v>46219.812500001841</v>
      </c>
      <c r="B761">
        <f>Raw_Load_Data!B761</f>
        <v>4.2</v>
      </c>
      <c r="C761">
        <f>MAX(0,IF(AND(HOUR(A761)&gt;=6,HOUR(A761)&lt;=18),Assumptions!$B$8*SIN(PI()*(HOUR(A761)+MINUTE(A761)/60-6)/12),0))</f>
        <v>0</v>
      </c>
      <c r="D761">
        <f t="shared" si="11"/>
        <v>4.2</v>
      </c>
      <c r="E761">
        <f>MIN(B761,C761)*Assumptions!$B$2</f>
        <v>0</v>
      </c>
      <c r="F761">
        <f>MAX(C761-B761,0)*Assumptions!$B$2</f>
        <v>0</v>
      </c>
      <c r="G761">
        <f>MAX(B761-C761,0)*Assumptions!$B$2</f>
        <v>2.1</v>
      </c>
    </row>
    <row r="762" spans="1:7" x14ac:dyDescent="0.3">
      <c r="A762" s="5">
        <f>Raw_Load_Data!A762</f>
        <v>46219.833333335177</v>
      </c>
      <c r="B762">
        <f>Raw_Load_Data!B762</f>
        <v>6.4</v>
      </c>
      <c r="C762">
        <f>MAX(0,IF(AND(HOUR(A762)&gt;=6,HOUR(A762)&lt;=18),Assumptions!$B$8*SIN(PI()*(HOUR(A762)+MINUTE(A762)/60-6)/12),0))</f>
        <v>0</v>
      </c>
      <c r="D762">
        <f t="shared" si="11"/>
        <v>6.4</v>
      </c>
      <c r="E762">
        <f>MIN(B762,C762)*Assumptions!$B$2</f>
        <v>0</v>
      </c>
      <c r="F762">
        <f>MAX(C762-B762,0)*Assumptions!$B$2</f>
        <v>0</v>
      </c>
      <c r="G762">
        <f>MAX(B762-C762,0)*Assumptions!$B$2</f>
        <v>3.2</v>
      </c>
    </row>
    <row r="763" spans="1:7" x14ac:dyDescent="0.3">
      <c r="A763" s="5">
        <f>Raw_Load_Data!A763</f>
        <v>46219.854166668512</v>
      </c>
      <c r="B763">
        <f>Raw_Load_Data!B763</f>
        <v>5.5</v>
      </c>
      <c r="C763">
        <f>MAX(0,IF(AND(HOUR(A763)&gt;=6,HOUR(A763)&lt;=18),Assumptions!$B$8*SIN(PI()*(HOUR(A763)+MINUTE(A763)/60-6)/12),0))</f>
        <v>0</v>
      </c>
      <c r="D763">
        <f t="shared" si="11"/>
        <v>5.5</v>
      </c>
      <c r="E763">
        <f>MIN(B763,C763)*Assumptions!$B$2</f>
        <v>0</v>
      </c>
      <c r="F763">
        <f>MAX(C763-B763,0)*Assumptions!$B$2</f>
        <v>0</v>
      </c>
      <c r="G763">
        <f>MAX(B763-C763,0)*Assumptions!$B$2</f>
        <v>2.75</v>
      </c>
    </row>
    <row r="764" spans="1:7" x14ac:dyDescent="0.3">
      <c r="A764" s="5">
        <f>Raw_Load_Data!A764</f>
        <v>46219.875000001848</v>
      </c>
      <c r="B764">
        <f>Raw_Load_Data!B764</f>
        <v>3.5</v>
      </c>
      <c r="C764">
        <f>MAX(0,IF(AND(HOUR(A764)&gt;=6,HOUR(A764)&lt;=18),Assumptions!$B$8*SIN(PI()*(HOUR(A764)+MINUTE(A764)/60-6)/12),0))</f>
        <v>0</v>
      </c>
      <c r="D764">
        <f t="shared" si="11"/>
        <v>3.5</v>
      </c>
      <c r="E764">
        <f>MIN(B764,C764)*Assumptions!$B$2</f>
        <v>0</v>
      </c>
      <c r="F764">
        <f>MAX(C764-B764,0)*Assumptions!$B$2</f>
        <v>0</v>
      </c>
      <c r="G764">
        <f>MAX(B764-C764,0)*Assumptions!$B$2</f>
        <v>1.75</v>
      </c>
    </row>
    <row r="765" spans="1:7" x14ac:dyDescent="0.3">
      <c r="A765" s="5">
        <f>Raw_Load_Data!A765</f>
        <v>46219.895833335184</v>
      </c>
      <c r="B765">
        <f>Raw_Load_Data!B765</f>
        <v>7.4</v>
      </c>
      <c r="C765">
        <f>MAX(0,IF(AND(HOUR(A765)&gt;=6,HOUR(A765)&lt;=18),Assumptions!$B$8*SIN(PI()*(HOUR(A765)+MINUTE(A765)/60-6)/12),0))</f>
        <v>0</v>
      </c>
      <c r="D765">
        <f t="shared" si="11"/>
        <v>7.4</v>
      </c>
      <c r="E765">
        <f>MIN(B765,C765)*Assumptions!$B$2</f>
        <v>0</v>
      </c>
      <c r="F765">
        <f>MAX(C765-B765,0)*Assumptions!$B$2</f>
        <v>0</v>
      </c>
      <c r="G765">
        <f>MAX(B765-C765,0)*Assumptions!$B$2</f>
        <v>3.7</v>
      </c>
    </row>
    <row r="766" spans="1:7" x14ac:dyDescent="0.3">
      <c r="A766" s="5">
        <f>Raw_Load_Data!A766</f>
        <v>46219.91666666852</v>
      </c>
      <c r="B766">
        <f>Raw_Load_Data!B766</f>
        <v>4.4000000000000004</v>
      </c>
      <c r="C766">
        <f>MAX(0,IF(AND(HOUR(A766)&gt;=6,HOUR(A766)&lt;=18),Assumptions!$B$8*SIN(PI()*(HOUR(A766)+MINUTE(A766)/60-6)/12),0))</f>
        <v>0</v>
      </c>
      <c r="D766">
        <f t="shared" si="11"/>
        <v>4.4000000000000004</v>
      </c>
      <c r="E766">
        <f>MIN(B766,C766)*Assumptions!$B$2</f>
        <v>0</v>
      </c>
      <c r="F766">
        <f>MAX(C766-B766,0)*Assumptions!$B$2</f>
        <v>0</v>
      </c>
      <c r="G766">
        <f>MAX(B766-C766,0)*Assumptions!$B$2</f>
        <v>2.2000000000000002</v>
      </c>
    </row>
    <row r="767" spans="1:7" x14ac:dyDescent="0.3">
      <c r="A767" s="5">
        <f>Raw_Load_Data!A767</f>
        <v>46219.937500001855</v>
      </c>
      <c r="B767">
        <f>Raw_Load_Data!B767</f>
        <v>7.6</v>
      </c>
      <c r="C767">
        <f>MAX(0,IF(AND(HOUR(A767)&gt;=6,HOUR(A767)&lt;=18),Assumptions!$B$8*SIN(PI()*(HOUR(A767)+MINUTE(A767)/60-6)/12),0))</f>
        <v>0</v>
      </c>
      <c r="D767">
        <f t="shared" si="11"/>
        <v>7.6</v>
      </c>
      <c r="E767">
        <f>MIN(B767,C767)*Assumptions!$B$2</f>
        <v>0</v>
      </c>
      <c r="F767">
        <f>MAX(C767-B767,0)*Assumptions!$B$2</f>
        <v>0</v>
      </c>
      <c r="G767">
        <f>MAX(B767-C767,0)*Assumptions!$B$2</f>
        <v>3.8</v>
      </c>
    </row>
    <row r="768" spans="1:7" x14ac:dyDescent="0.3">
      <c r="A768" s="5">
        <f>Raw_Load_Data!A768</f>
        <v>46219.958333335191</v>
      </c>
      <c r="B768">
        <f>Raw_Load_Data!B768</f>
        <v>5</v>
      </c>
      <c r="C768">
        <f>MAX(0,IF(AND(HOUR(A768)&gt;=6,HOUR(A768)&lt;=18),Assumptions!$B$8*SIN(PI()*(HOUR(A768)+MINUTE(A768)/60-6)/12),0))</f>
        <v>0</v>
      </c>
      <c r="D768">
        <f t="shared" si="11"/>
        <v>5</v>
      </c>
      <c r="E768">
        <f>MIN(B768,C768)*Assumptions!$B$2</f>
        <v>0</v>
      </c>
      <c r="F768">
        <f>MAX(C768-B768,0)*Assumptions!$B$2</f>
        <v>0</v>
      </c>
      <c r="G768">
        <f>MAX(B768-C768,0)*Assumptions!$B$2</f>
        <v>2.5</v>
      </c>
    </row>
    <row r="769" spans="1:7" x14ac:dyDescent="0.3">
      <c r="A769" s="5">
        <f>Raw_Load_Data!A769</f>
        <v>46219.979166668527</v>
      </c>
      <c r="B769">
        <f>Raw_Load_Data!B769</f>
        <v>7.1</v>
      </c>
      <c r="C769">
        <f>MAX(0,IF(AND(HOUR(A769)&gt;=6,HOUR(A769)&lt;=18),Assumptions!$B$8*SIN(PI()*(HOUR(A769)+MINUTE(A769)/60-6)/12),0))</f>
        <v>0</v>
      </c>
      <c r="D769">
        <f t="shared" si="11"/>
        <v>7.1</v>
      </c>
      <c r="E769">
        <f>MIN(B769,C769)*Assumptions!$B$2</f>
        <v>0</v>
      </c>
      <c r="F769">
        <f>MAX(C769-B769,0)*Assumptions!$B$2</f>
        <v>0</v>
      </c>
      <c r="G769">
        <f>MAX(B769-C769,0)*Assumptions!$B$2</f>
        <v>3.55</v>
      </c>
    </row>
    <row r="770" spans="1:7" x14ac:dyDescent="0.3">
      <c r="A770" s="5">
        <f>Raw_Load_Data!A770</f>
        <v>46220.000000001863</v>
      </c>
      <c r="B770">
        <f>Raw_Load_Data!B770</f>
        <v>1.9</v>
      </c>
      <c r="C770">
        <f>MAX(0,IF(AND(HOUR(A770)&gt;=6,HOUR(A770)&lt;=18),Assumptions!$B$8*SIN(PI()*(HOUR(A770)+MINUTE(A770)/60-6)/12),0))</f>
        <v>0</v>
      </c>
      <c r="D770">
        <f t="shared" si="11"/>
        <v>1.9</v>
      </c>
      <c r="E770">
        <f>MIN(B770,C770)*Assumptions!$B$2</f>
        <v>0</v>
      </c>
      <c r="F770">
        <f>MAX(C770-B770,0)*Assumptions!$B$2</f>
        <v>0</v>
      </c>
      <c r="G770">
        <f>MAX(B770-C770,0)*Assumptions!$B$2</f>
        <v>0.95</v>
      </c>
    </row>
    <row r="771" spans="1:7" x14ac:dyDescent="0.3">
      <c r="A771" s="5">
        <f>Raw_Load_Data!A771</f>
        <v>46220.020833335198</v>
      </c>
      <c r="B771">
        <f>Raw_Load_Data!B771</f>
        <v>2.6</v>
      </c>
      <c r="C771">
        <f>MAX(0,IF(AND(HOUR(A771)&gt;=6,HOUR(A771)&lt;=18),Assumptions!$B$8*SIN(PI()*(HOUR(A771)+MINUTE(A771)/60-6)/12),0))</f>
        <v>0</v>
      </c>
      <c r="D771">
        <f t="shared" ref="D771:D834" si="12">B771-C771</f>
        <v>2.6</v>
      </c>
      <c r="E771">
        <f>MIN(B771,C771)*Assumptions!$B$2</f>
        <v>0</v>
      </c>
      <c r="F771">
        <f>MAX(C771-B771,0)*Assumptions!$B$2</f>
        <v>0</v>
      </c>
      <c r="G771">
        <f>MAX(B771-C771,0)*Assumptions!$B$2</f>
        <v>1.3</v>
      </c>
    </row>
    <row r="772" spans="1:7" x14ac:dyDescent="0.3">
      <c r="A772" s="5">
        <f>Raw_Load_Data!A772</f>
        <v>46220.041666668534</v>
      </c>
      <c r="B772">
        <f>Raw_Load_Data!B772</f>
        <v>2.1</v>
      </c>
      <c r="C772">
        <f>MAX(0,IF(AND(HOUR(A772)&gt;=6,HOUR(A772)&lt;=18),Assumptions!$B$8*SIN(PI()*(HOUR(A772)+MINUTE(A772)/60-6)/12),0))</f>
        <v>0</v>
      </c>
      <c r="D772">
        <f t="shared" si="12"/>
        <v>2.1</v>
      </c>
      <c r="E772">
        <f>MIN(B772,C772)*Assumptions!$B$2</f>
        <v>0</v>
      </c>
      <c r="F772">
        <f>MAX(C772-B772,0)*Assumptions!$B$2</f>
        <v>0</v>
      </c>
      <c r="G772">
        <f>MAX(B772-C772,0)*Assumptions!$B$2</f>
        <v>1.05</v>
      </c>
    </row>
    <row r="773" spans="1:7" x14ac:dyDescent="0.3">
      <c r="A773" s="5">
        <f>Raw_Load_Data!A773</f>
        <v>46220.06250000187</v>
      </c>
      <c r="B773">
        <f>Raw_Load_Data!B773</f>
        <v>2.6</v>
      </c>
      <c r="C773">
        <f>MAX(0,IF(AND(HOUR(A773)&gt;=6,HOUR(A773)&lt;=18),Assumptions!$B$8*SIN(PI()*(HOUR(A773)+MINUTE(A773)/60-6)/12),0))</f>
        <v>0</v>
      </c>
      <c r="D773">
        <f t="shared" si="12"/>
        <v>2.6</v>
      </c>
      <c r="E773">
        <f>MIN(B773,C773)*Assumptions!$B$2</f>
        <v>0</v>
      </c>
      <c r="F773">
        <f>MAX(C773-B773,0)*Assumptions!$B$2</f>
        <v>0</v>
      </c>
      <c r="G773">
        <f>MAX(B773-C773,0)*Assumptions!$B$2</f>
        <v>1.3</v>
      </c>
    </row>
    <row r="774" spans="1:7" x14ac:dyDescent="0.3">
      <c r="A774" s="5">
        <f>Raw_Load_Data!A774</f>
        <v>46220.083333335206</v>
      </c>
      <c r="B774">
        <f>Raw_Load_Data!B774</f>
        <v>2.2999999999999998</v>
      </c>
      <c r="C774">
        <f>MAX(0,IF(AND(HOUR(A774)&gt;=6,HOUR(A774)&lt;=18),Assumptions!$B$8*SIN(PI()*(HOUR(A774)+MINUTE(A774)/60-6)/12),0))</f>
        <v>0</v>
      </c>
      <c r="D774">
        <f t="shared" si="12"/>
        <v>2.2999999999999998</v>
      </c>
      <c r="E774">
        <f>MIN(B774,C774)*Assumptions!$B$2</f>
        <v>0</v>
      </c>
      <c r="F774">
        <f>MAX(C774-B774,0)*Assumptions!$B$2</f>
        <v>0</v>
      </c>
      <c r="G774">
        <f>MAX(B774-C774,0)*Assumptions!$B$2</f>
        <v>1.1499999999999999</v>
      </c>
    </row>
    <row r="775" spans="1:7" x14ac:dyDescent="0.3">
      <c r="A775" s="5">
        <f>Raw_Load_Data!A775</f>
        <v>46220.104166668541</v>
      </c>
      <c r="B775">
        <f>Raw_Load_Data!B775</f>
        <v>2.7</v>
      </c>
      <c r="C775">
        <f>MAX(0,IF(AND(HOUR(A775)&gt;=6,HOUR(A775)&lt;=18),Assumptions!$B$8*SIN(PI()*(HOUR(A775)+MINUTE(A775)/60-6)/12),0))</f>
        <v>0</v>
      </c>
      <c r="D775">
        <f t="shared" si="12"/>
        <v>2.7</v>
      </c>
      <c r="E775">
        <f>MIN(B775,C775)*Assumptions!$B$2</f>
        <v>0</v>
      </c>
      <c r="F775">
        <f>MAX(C775-B775,0)*Assumptions!$B$2</f>
        <v>0</v>
      </c>
      <c r="G775">
        <f>MAX(B775-C775,0)*Assumptions!$B$2</f>
        <v>1.35</v>
      </c>
    </row>
    <row r="776" spans="1:7" x14ac:dyDescent="0.3">
      <c r="A776" s="5">
        <f>Raw_Load_Data!A776</f>
        <v>46220.125000001877</v>
      </c>
      <c r="B776">
        <f>Raw_Load_Data!B776</f>
        <v>2.4</v>
      </c>
      <c r="C776">
        <f>MAX(0,IF(AND(HOUR(A776)&gt;=6,HOUR(A776)&lt;=18),Assumptions!$B$8*SIN(PI()*(HOUR(A776)+MINUTE(A776)/60-6)/12),0))</f>
        <v>0</v>
      </c>
      <c r="D776">
        <f t="shared" si="12"/>
        <v>2.4</v>
      </c>
      <c r="E776">
        <f>MIN(B776,C776)*Assumptions!$B$2</f>
        <v>0</v>
      </c>
      <c r="F776">
        <f>MAX(C776-B776,0)*Assumptions!$B$2</f>
        <v>0</v>
      </c>
      <c r="G776">
        <f>MAX(B776-C776,0)*Assumptions!$B$2</f>
        <v>1.2</v>
      </c>
    </row>
    <row r="777" spans="1:7" x14ac:dyDescent="0.3">
      <c r="A777" s="5">
        <f>Raw_Load_Data!A777</f>
        <v>46220.145833335213</v>
      </c>
      <c r="B777">
        <f>Raw_Load_Data!B777</f>
        <v>1.8</v>
      </c>
      <c r="C777">
        <f>MAX(0,IF(AND(HOUR(A777)&gt;=6,HOUR(A777)&lt;=18),Assumptions!$B$8*SIN(PI()*(HOUR(A777)+MINUTE(A777)/60-6)/12),0))</f>
        <v>0</v>
      </c>
      <c r="D777">
        <f t="shared" si="12"/>
        <v>1.8</v>
      </c>
      <c r="E777">
        <f>MIN(B777,C777)*Assumptions!$B$2</f>
        <v>0</v>
      </c>
      <c r="F777">
        <f>MAX(C777-B777,0)*Assumptions!$B$2</f>
        <v>0</v>
      </c>
      <c r="G777">
        <f>MAX(B777-C777,0)*Assumptions!$B$2</f>
        <v>0.9</v>
      </c>
    </row>
    <row r="778" spans="1:7" x14ac:dyDescent="0.3">
      <c r="A778" s="5">
        <f>Raw_Load_Data!A778</f>
        <v>46220.166666668549</v>
      </c>
      <c r="B778">
        <f>Raw_Load_Data!B778</f>
        <v>2.6</v>
      </c>
      <c r="C778">
        <f>MAX(0,IF(AND(HOUR(A778)&gt;=6,HOUR(A778)&lt;=18),Assumptions!$B$8*SIN(PI()*(HOUR(A778)+MINUTE(A778)/60-6)/12),0))</f>
        <v>0</v>
      </c>
      <c r="D778">
        <f t="shared" si="12"/>
        <v>2.6</v>
      </c>
      <c r="E778">
        <f>MIN(B778,C778)*Assumptions!$B$2</f>
        <v>0</v>
      </c>
      <c r="F778">
        <f>MAX(C778-B778,0)*Assumptions!$B$2</f>
        <v>0</v>
      </c>
      <c r="G778">
        <f>MAX(B778-C778,0)*Assumptions!$B$2</f>
        <v>1.3</v>
      </c>
    </row>
    <row r="779" spans="1:7" x14ac:dyDescent="0.3">
      <c r="A779" s="5">
        <f>Raw_Load_Data!A779</f>
        <v>46220.187500001884</v>
      </c>
      <c r="B779">
        <f>Raw_Load_Data!B779</f>
        <v>2.7</v>
      </c>
      <c r="C779">
        <f>MAX(0,IF(AND(HOUR(A779)&gt;=6,HOUR(A779)&lt;=18),Assumptions!$B$8*SIN(PI()*(HOUR(A779)+MINUTE(A779)/60-6)/12),0))</f>
        <v>0</v>
      </c>
      <c r="D779">
        <f t="shared" si="12"/>
        <v>2.7</v>
      </c>
      <c r="E779">
        <f>MIN(B779,C779)*Assumptions!$B$2</f>
        <v>0</v>
      </c>
      <c r="F779">
        <f>MAX(C779-B779,0)*Assumptions!$B$2</f>
        <v>0</v>
      </c>
      <c r="G779">
        <f>MAX(B779-C779,0)*Assumptions!$B$2</f>
        <v>1.35</v>
      </c>
    </row>
    <row r="780" spans="1:7" x14ac:dyDescent="0.3">
      <c r="A780" s="5">
        <f>Raw_Load_Data!A780</f>
        <v>46220.20833333522</v>
      </c>
      <c r="B780">
        <f>Raw_Load_Data!B780</f>
        <v>2.7</v>
      </c>
      <c r="C780">
        <f>MAX(0,IF(AND(HOUR(A780)&gt;=6,HOUR(A780)&lt;=18),Assumptions!$B$8*SIN(PI()*(HOUR(A780)+MINUTE(A780)/60-6)/12),0))</f>
        <v>0</v>
      </c>
      <c r="D780">
        <f t="shared" si="12"/>
        <v>2.7</v>
      </c>
      <c r="E780">
        <f>MIN(B780,C780)*Assumptions!$B$2</f>
        <v>0</v>
      </c>
      <c r="F780">
        <f>MAX(C780-B780,0)*Assumptions!$B$2</f>
        <v>0</v>
      </c>
      <c r="G780">
        <f>MAX(B780-C780,0)*Assumptions!$B$2</f>
        <v>1.35</v>
      </c>
    </row>
    <row r="781" spans="1:7" x14ac:dyDescent="0.3">
      <c r="A781" s="5">
        <f>Raw_Load_Data!A781</f>
        <v>46220.229166668556</v>
      </c>
      <c r="B781">
        <f>Raw_Load_Data!B781</f>
        <v>2.7</v>
      </c>
      <c r="C781">
        <f>MAX(0,IF(AND(HOUR(A781)&gt;=6,HOUR(A781)&lt;=18),Assumptions!$B$8*SIN(PI()*(HOUR(A781)+MINUTE(A781)/60-6)/12),0))</f>
        <v>0</v>
      </c>
      <c r="D781">
        <f t="shared" si="12"/>
        <v>2.7</v>
      </c>
      <c r="E781">
        <f>MIN(B781,C781)*Assumptions!$B$2</f>
        <v>0</v>
      </c>
      <c r="F781">
        <f>MAX(C781-B781,0)*Assumptions!$B$2</f>
        <v>0</v>
      </c>
      <c r="G781">
        <f>MAX(B781-C781,0)*Assumptions!$B$2</f>
        <v>1.35</v>
      </c>
    </row>
    <row r="782" spans="1:7" x14ac:dyDescent="0.3">
      <c r="A782" s="5">
        <f>Raw_Load_Data!A782</f>
        <v>46220.250000001892</v>
      </c>
      <c r="B782">
        <f>Raw_Load_Data!B782</f>
        <v>5.5</v>
      </c>
      <c r="C782">
        <f>MAX(0,IF(AND(HOUR(A782)&gt;=6,HOUR(A782)&lt;=18),Assumptions!$B$8*SIN(PI()*(HOUR(A782)+MINUTE(A782)/60-6)/12),0))</f>
        <v>0</v>
      </c>
      <c r="D782">
        <f t="shared" si="12"/>
        <v>5.5</v>
      </c>
      <c r="E782">
        <f>MIN(B782,C782)*Assumptions!$B$2</f>
        <v>0</v>
      </c>
      <c r="F782">
        <f>MAX(C782-B782,0)*Assumptions!$B$2</f>
        <v>0</v>
      </c>
      <c r="G782">
        <f>MAX(B782-C782,0)*Assumptions!$B$2</f>
        <v>2.75</v>
      </c>
    </row>
    <row r="783" spans="1:7" x14ac:dyDescent="0.3">
      <c r="A783" s="5">
        <f>Raw_Load_Data!A783</f>
        <v>46220.270833335228</v>
      </c>
      <c r="B783">
        <f>Raw_Load_Data!B783</f>
        <v>7.6</v>
      </c>
      <c r="C783">
        <f>MAX(0,IF(AND(HOUR(A783)&gt;=6,HOUR(A783)&lt;=18),Assumptions!$B$8*SIN(PI()*(HOUR(A783)+MINUTE(A783)/60-6)/12),0))</f>
        <v>3.9157857666015472</v>
      </c>
      <c r="D783">
        <f t="shared" si="12"/>
        <v>3.6842142333984524</v>
      </c>
      <c r="E783">
        <f>MIN(B783,C783)*Assumptions!$B$2</f>
        <v>1.9578928833007736</v>
      </c>
      <c r="F783">
        <f>MAX(C783-B783,0)*Assumptions!$B$2</f>
        <v>0</v>
      </c>
      <c r="G783">
        <f>MAX(B783-C783,0)*Assumptions!$B$2</f>
        <v>1.8421071166992262</v>
      </c>
    </row>
    <row r="784" spans="1:7" x14ac:dyDescent="0.3">
      <c r="A784" s="5">
        <f>Raw_Load_Data!A784</f>
        <v>46220.291666668563</v>
      </c>
      <c r="B784">
        <f>Raw_Load_Data!B784</f>
        <v>7.1</v>
      </c>
      <c r="C784">
        <f>MAX(0,IF(AND(HOUR(A784)&gt;=6,HOUR(A784)&lt;=18),Assumptions!$B$8*SIN(PI()*(HOUR(A784)+MINUTE(A784)/60-6)/12),0))</f>
        <v>7.7645713530756222</v>
      </c>
      <c r="D784">
        <f t="shared" si="12"/>
        <v>-0.66457135307562254</v>
      </c>
      <c r="E784">
        <f>MIN(B784,C784)*Assumptions!$B$2</f>
        <v>3.55</v>
      </c>
      <c r="F784">
        <f>MAX(C784-B784,0)*Assumptions!$B$2</f>
        <v>0.33228567653781127</v>
      </c>
      <c r="G784">
        <f>MAX(B784-C784,0)*Assumptions!$B$2</f>
        <v>0</v>
      </c>
    </row>
    <row r="785" spans="1:7" x14ac:dyDescent="0.3">
      <c r="A785" s="5">
        <f>Raw_Load_Data!A785</f>
        <v>46220.312500001899</v>
      </c>
      <c r="B785">
        <f>Raw_Load_Data!B785</f>
        <v>4.5</v>
      </c>
      <c r="C785">
        <f>MAX(0,IF(AND(HOUR(A785)&gt;=6,HOUR(A785)&lt;=18),Assumptions!$B$8*SIN(PI()*(HOUR(A785)+MINUTE(A785)/60-6)/12),0))</f>
        <v>11.480502970952694</v>
      </c>
      <c r="D785">
        <f t="shared" si="12"/>
        <v>-6.9805029709526938</v>
      </c>
      <c r="E785">
        <f>MIN(B785,C785)*Assumptions!$B$2</f>
        <v>2.25</v>
      </c>
      <c r="F785">
        <f>MAX(C785-B785,0)*Assumptions!$B$2</f>
        <v>3.4902514854763469</v>
      </c>
      <c r="G785">
        <f>MAX(B785-C785,0)*Assumptions!$B$2</f>
        <v>0</v>
      </c>
    </row>
    <row r="786" spans="1:7" x14ac:dyDescent="0.3">
      <c r="A786" s="5">
        <f>Raw_Load_Data!A786</f>
        <v>46220.333333335235</v>
      </c>
      <c r="B786">
        <f>Raw_Load_Data!B786</f>
        <v>18.7</v>
      </c>
      <c r="C786">
        <f>MAX(0,IF(AND(HOUR(A786)&gt;=6,HOUR(A786)&lt;=18),Assumptions!$B$8*SIN(PI()*(HOUR(A786)+MINUTE(A786)/60-6)/12),0))</f>
        <v>14.999999999999998</v>
      </c>
      <c r="D786">
        <f t="shared" si="12"/>
        <v>3.7000000000000011</v>
      </c>
      <c r="E786">
        <f>MIN(B786,C786)*Assumptions!$B$2</f>
        <v>7.4999999999999991</v>
      </c>
      <c r="F786">
        <f>MAX(C786-B786,0)*Assumptions!$B$2</f>
        <v>0</v>
      </c>
      <c r="G786">
        <f>MAX(B786-C786,0)*Assumptions!$B$2</f>
        <v>1.8500000000000005</v>
      </c>
    </row>
    <row r="787" spans="1:7" x14ac:dyDescent="0.3">
      <c r="A787" s="5">
        <f>Raw_Load_Data!A787</f>
        <v>46220.354166668571</v>
      </c>
      <c r="B787">
        <f>Raw_Load_Data!B787</f>
        <v>18.5</v>
      </c>
      <c r="C787">
        <f>MAX(0,IF(AND(HOUR(A787)&gt;=6,HOUR(A787)&lt;=18),Assumptions!$B$8*SIN(PI()*(HOUR(A787)+MINUTE(A787)/60-6)/12),0))</f>
        <v>18.262842870261618</v>
      </c>
      <c r="D787">
        <f t="shared" si="12"/>
        <v>0.23715712973838166</v>
      </c>
      <c r="E787">
        <f>MIN(B787,C787)*Assumptions!$B$2</f>
        <v>9.1314214351308092</v>
      </c>
      <c r="F787">
        <f>MAX(C787-B787,0)*Assumptions!$B$2</f>
        <v>0</v>
      </c>
      <c r="G787">
        <f>MAX(B787-C787,0)*Assumptions!$B$2</f>
        <v>0.11857856486919083</v>
      </c>
    </row>
    <row r="788" spans="1:7" x14ac:dyDescent="0.3">
      <c r="A788" s="5">
        <f>Raw_Load_Data!A788</f>
        <v>46220.375000001906</v>
      </c>
      <c r="B788">
        <f>Raw_Load_Data!B788</f>
        <v>16.399999999999999</v>
      </c>
      <c r="C788">
        <f>MAX(0,IF(AND(HOUR(A788)&gt;=6,HOUR(A788)&lt;=18),Assumptions!$B$8*SIN(PI()*(HOUR(A788)+MINUTE(A788)/60-6)/12),0))</f>
        <v>21.213203435596423</v>
      </c>
      <c r="D788">
        <f t="shared" si="12"/>
        <v>-4.8132034355964244</v>
      </c>
      <c r="E788">
        <f>MIN(B788,C788)*Assumptions!$B$2</f>
        <v>8.1999999999999993</v>
      </c>
      <c r="F788">
        <f>MAX(C788-B788,0)*Assumptions!$B$2</f>
        <v>2.4066017177982122</v>
      </c>
      <c r="G788">
        <f>MAX(B788-C788,0)*Assumptions!$B$2</f>
        <v>0</v>
      </c>
    </row>
    <row r="789" spans="1:7" x14ac:dyDescent="0.3">
      <c r="A789" s="5">
        <f>Raw_Load_Data!A789</f>
        <v>46220.395833335242</v>
      </c>
      <c r="B789">
        <f>Raw_Load_Data!B789</f>
        <v>14.7</v>
      </c>
      <c r="C789">
        <f>MAX(0,IF(AND(HOUR(A789)&gt;=6,HOUR(A789)&lt;=18),Assumptions!$B$8*SIN(PI()*(HOUR(A789)+MINUTE(A789)/60-6)/12),0))</f>
        <v>23.800600208737055</v>
      </c>
      <c r="D789">
        <f t="shared" si="12"/>
        <v>-9.1006002087370561</v>
      </c>
      <c r="E789">
        <f>MIN(B789,C789)*Assumptions!$B$2</f>
        <v>7.35</v>
      </c>
      <c r="F789">
        <f>MAX(C789-B789,0)*Assumptions!$B$2</f>
        <v>4.5503001043685281</v>
      </c>
      <c r="G789">
        <f>MAX(B789-C789,0)*Assumptions!$B$2</f>
        <v>0</v>
      </c>
    </row>
    <row r="790" spans="1:7" x14ac:dyDescent="0.3">
      <c r="A790" s="5">
        <f>Raw_Load_Data!A790</f>
        <v>46220.416666668578</v>
      </c>
      <c r="B790">
        <f>Raw_Load_Data!B790</f>
        <v>20.6</v>
      </c>
      <c r="C790">
        <f>MAX(0,IF(AND(HOUR(A790)&gt;=6,HOUR(A790)&lt;=18),Assumptions!$B$8*SIN(PI()*(HOUR(A790)+MINUTE(A790)/60-6)/12),0))</f>
        <v>25.980762113533157</v>
      </c>
      <c r="D790">
        <f t="shared" si="12"/>
        <v>-5.3807621135331551</v>
      </c>
      <c r="E790">
        <f>MIN(B790,C790)*Assumptions!$B$2</f>
        <v>10.3</v>
      </c>
      <c r="F790">
        <f>MAX(C790-B790,0)*Assumptions!$B$2</f>
        <v>2.6903810567665776</v>
      </c>
      <c r="G790">
        <f>MAX(B790-C790,0)*Assumptions!$B$2</f>
        <v>0</v>
      </c>
    </row>
    <row r="791" spans="1:7" x14ac:dyDescent="0.3">
      <c r="A791" s="5">
        <f>Raw_Load_Data!A791</f>
        <v>46220.437500001914</v>
      </c>
      <c r="B791">
        <f>Raw_Load_Data!B791</f>
        <v>14.3</v>
      </c>
      <c r="C791">
        <f>MAX(0,IF(AND(HOUR(A791)&gt;=6,HOUR(A791)&lt;=18),Assumptions!$B$8*SIN(PI()*(HOUR(A791)+MINUTE(A791)/60-6)/12),0))</f>
        <v>27.716385975338603</v>
      </c>
      <c r="D791">
        <f t="shared" si="12"/>
        <v>-13.416385975338603</v>
      </c>
      <c r="E791">
        <f>MIN(B791,C791)*Assumptions!$B$2</f>
        <v>7.15</v>
      </c>
      <c r="F791">
        <f>MAX(C791-B791,0)*Assumptions!$B$2</f>
        <v>6.7081929876693014</v>
      </c>
      <c r="G791">
        <f>MAX(B791-C791,0)*Assumptions!$B$2</f>
        <v>0</v>
      </c>
    </row>
    <row r="792" spans="1:7" x14ac:dyDescent="0.3">
      <c r="A792" s="5">
        <f>Raw_Load_Data!A792</f>
        <v>46220.458333335249</v>
      </c>
      <c r="B792">
        <f>Raw_Load_Data!B792</f>
        <v>13.9</v>
      </c>
      <c r="C792">
        <f>MAX(0,IF(AND(HOUR(A792)&gt;=6,HOUR(A792)&lt;=18),Assumptions!$B$8*SIN(PI()*(HOUR(A792)+MINUTE(A792)/60-6)/12),0))</f>
        <v>28.97777478867205</v>
      </c>
      <c r="D792">
        <f t="shared" si="12"/>
        <v>-15.07777478867205</v>
      </c>
      <c r="E792">
        <f>MIN(B792,C792)*Assumptions!$B$2</f>
        <v>6.95</v>
      </c>
      <c r="F792">
        <f>MAX(C792-B792,0)*Assumptions!$B$2</f>
        <v>7.5388873943360251</v>
      </c>
      <c r="G792">
        <f>MAX(B792-C792,0)*Assumptions!$B$2</f>
        <v>0</v>
      </c>
    </row>
    <row r="793" spans="1:7" x14ac:dyDescent="0.3">
      <c r="A793" s="5">
        <f>Raw_Load_Data!A793</f>
        <v>46220.479166668585</v>
      </c>
      <c r="B793">
        <f>Raw_Load_Data!B793</f>
        <v>12.3</v>
      </c>
      <c r="C793">
        <f>MAX(0,IF(AND(HOUR(A793)&gt;=6,HOUR(A793)&lt;=18),Assumptions!$B$8*SIN(PI()*(HOUR(A793)+MINUTE(A793)/60-6)/12),0))</f>
        <v>29.74334584121431</v>
      </c>
      <c r="D793">
        <f t="shared" si="12"/>
        <v>-17.44334584121431</v>
      </c>
      <c r="E793">
        <f>MIN(B793,C793)*Assumptions!$B$2</f>
        <v>6.15</v>
      </c>
      <c r="F793">
        <f>MAX(C793-B793,0)*Assumptions!$B$2</f>
        <v>8.7216729206071548</v>
      </c>
      <c r="G793">
        <f>MAX(B793-C793,0)*Assumptions!$B$2</f>
        <v>0</v>
      </c>
    </row>
    <row r="794" spans="1:7" x14ac:dyDescent="0.3">
      <c r="A794" s="5">
        <f>Raw_Load_Data!A794</f>
        <v>46220.500000001921</v>
      </c>
      <c r="B794">
        <f>Raw_Load_Data!B794</f>
        <v>23</v>
      </c>
      <c r="C794">
        <f>MAX(0,IF(AND(HOUR(A794)&gt;=6,HOUR(A794)&lt;=18),Assumptions!$B$8*SIN(PI()*(HOUR(A794)+MINUTE(A794)/60-6)/12),0))</f>
        <v>30</v>
      </c>
      <c r="D794">
        <f t="shared" si="12"/>
        <v>-7</v>
      </c>
      <c r="E794">
        <f>MIN(B794,C794)*Assumptions!$B$2</f>
        <v>11.5</v>
      </c>
      <c r="F794">
        <f>MAX(C794-B794,0)*Assumptions!$B$2</f>
        <v>3.5</v>
      </c>
      <c r="G794">
        <f>MAX(B794-C794,0)*Assumptions!$B$2</f>
        <v>0</v>
      </c>
    </row>
    <row r="795" spans="1:7" x14ac:dyDescent="0.3">
      <c r="A795" s="5">
        <f>Raw_Load_Data!A795</f>
        <v>46220.520833335257</v>
      </c>
      <c r="B795">
        <f>Raw_Load_Data!B795</f>
        <v>27.5</v>
      </c>
      <c r="C795">
        <f>MAX(0,IF(AND(HOUR(A795)&gt;=6,HOUR(A795)&lt;=18),Assumptions!$B$8*SIN(PI()*(HOUR(A795)+MINUTE(A795)/60-6)/12),0))</f>
        <v>29.74334584121431</v>
      </c>
      <c r="D795">
        <f t="shared" si="12"/>
        <v>-2.2433458412143104</v>
      </c>
      <c r="E795">
        <f>MIN(B795,C795)*Assumptions!$B$2</f>
        <v>13.75</v>
      </c>
      <c r="F795">
        <f>MAX(C795-B795,0)*Assumptions!$B$2</f>
        <v>1.1216729206071552</v>
      </c>
      <c r="G795">
        <f>MAX(B795-C795,0)*Assumptions!$B$2</f>
        <v>0</v>
      </c>
    </row>
    <row r="796" spans="1:7" x14ac:dyDescent="0.3">
      <c r="A796" s="5">
        <f>Raw_Load_Data!A796</f>
        <v>46220.541666668592</v>
      </c>
      <c r="B796">
        <f>Raw_Load_Data!B796</f>
        <v>30.5</v>
      </c>
      <c r="C796">
        <f>MAX(0,IF(AND(HOUR(A796)&gt;=6,HOUR(A796)&lt;=18),Assumptions!$B$8*SIN(PI()*(HOUR(A796)+MINUTE(A796)/60-6)/12),0))</f>
        <v>28.97777478867205</v>
      </c>
      <c r="D796">
        <f t="shared" si="12"/>
        <v>1.5222252113279495</v>
      </c>
      <c r="E796">
        <f>MIN(B796,C796)*Assumptions!$B$2</f>
        <v>14.488887394336025</v>
      </c>
      <c r="F796">
        <f>MAX(C796-B796,0)*Assumptions!$B$2</f>
        <v>0</v>
      </c>
      <c r="G796">
        <f>MAX(B796-C796,0)*Assumptions!$B$2</f>
        <v>0.76111260566397476</v>
      </c>
    </row>
    <row r="797" spans="1:7" x14ac:dyDescent="0.3">
      <c r="A797" s="5">
        <f>Raw_Load_Data!A797</f>
        <v>46220.562500001928</v>
      </c>
      <c r="B797">
        <f>Raw_Load_Data!B797</f>
        <v>20.399999999999999</v>
      </c>
      <c r="C797">
        <f>MAX(0,IF(AND(HOUR(A797)&gt;=6,HOUR(A797)&lt;=18),Assumptions!$B$8*SIN(PI()*(HOUR(A797)+MINUTE(A797)/60-6)/12),0))</f>
        <v>27.716385975338607</v>
      </c>
      <c r="D797">
        <f t="shared" si="12"/>
        <v>-7.3163859753386085</v>
      </c>
      <c r="E797">
        <f>MIN(B797,C797)*Assumptions!$B$2</f>
        <v>10.199999999999999</v>
      </c>
      <c r="F797">
        <f>MAX(C797-B797,0)*Assumptions!$B$2</f>
        <v>3.6581929876693042</v>
      </c>
      <c r="G797">
        <f>MAX(B797-C797,0)*Assumptions!$B$2</f>
        <v>0</v>
      </c>
    </row>
    <row r="798" spans="1:7" x14ac:dyDescent="0.3">
      <c r="A798" s="5">
        <f>Raw_Load_Data!A798</f>
        <v>46220.583333335264</v>
      </c>
      <c r="B798">
        <f>Raw_Load_Data!B798</f>
        <v>19.399999999999999</v>
      </c>
      <c r="C798">
        <f>MAX(0,IF(AND(HOUR(A798)&gt;=6,HOUR(A798)&lt;=18),Assumptions!$B$8*SIN(PI()*(HOUR(A798)+MINUTE(A798)/60-6)/12),0))</f>
        <v>25.98076211353316</v>
      </c>
      <c r="D798">
        <f t="shared" si="12"/>
        <v>-6.5807621135331615</v>
      </c>
      <c r="E798">
        <f>MIN(B798,C798)*Assumptions!$B$2</f>
        <v>9.6999999999999993</v>
      </c>
      <c r="F798">
        <f>MAX(C798-B798,0)*Assumptions!$B$2</f>
        <v>3.2903810567665808</v>
      </c>
      <c r="G798">
        <f>MAX(B798-C798,0)*Assumptions!$B$2</f>
        <v>0</v>
      </c>
    </row>
    <row r="799" spans="1:7" x14ac:dyDescent="0.3">
      <c r="A799" s="5">
        <f>Raw_Load_Data!A799</f>
        <v>46220.6041666686</v>
      </c>
      <c r="B799">
        <f>Raw_Load_Data!B799</f>
        <v>21.7</v>
      </c>
      <c r="C799">
        <f>MAX(0,IF(AND(HOUR(A799)&gt;=6,HOUR(A799)&lt;=18),Assumptions!$B$8*SIN(PI()*(HOUR(A799)+MINUTE(A799)/60-6)/12),0))</f>
        <v>23.800600208737055</v>
      </c>
      <c r="D799">
        <f t="shared" si="12"/>
        <v>-2.1006002087370561</v>
      </c>
      <c r="E799">
        <f>MIN(B799,C799)*Assumptions!$B$2</f>
        <v>10.85</v>
      </c>
      <c r="F799">
        <f>MAX(C799-B799,0)*Assumptions!$B$2</f>
        <v>1.0503001043685281</v>
      </c>
      <c r="G799">
        <f>MAX(B799-C799,0)*Assumptions!$B$2</f>
        <v>0</v>
      </c>
    </row>
    <row r="800" spans="1:7" x14ac:dyDescent="0.3">
      <c r="A800" s="5">
        <f>Raw_Load_Data!A800</f>
        <v>46220.625000001935</v>
      </c>
      <c r="B800">
        <f>Raw_Load_Data!B800</f>
        <v>30.4</v>
      </c>
      <c r="C800">
        <f>MAX(0,IF(AND(HOUR(A800)&gt;=6,HOUR(A800)&lt;=18),Assumptions!$B$8*SIN(PI()*(HOUR(A800)+MINUTE(A800)/60-6)/12),0))</f>
        <v>21.213203435596427</v>
      </c>
      <c r="D800">
        <f t="shared" si="12"/>
        <v>9.1867965644035721</v>
      </c>
      <c r="E800">
        <f>MIN(B800,C800)*Assumptions!$B$2</f>
        <v>10.606601717798213</v>
      </c>
      <c r="F800">
        <f>MAX(C800-B800,0)*Assumptions!$B$2</f>
        <v>0</v>
      </c>
      <c r="G800">
        <f>MAX(B800-C800,0)*Assumptions!$B$2</f>
        <v>4.593398282201786</v>
      </c>
    </row>
    <row r="801" spans="1:7" x14ac:dyDescent="0.3">
      <c r="A801" s="5">
        <f>Raw_Load_Data!A801</f>
        <v>46220.645833335271</v>
      </c>
      <c r="B801">
        <f>Raw_Load_Data!B801</f>
        <v>18.899999999999999</v>
      </c>
      <c r="C801">
        <f>MAX(0,IF(AND(HOUR(A801)&gt;=6,HOUR(A801)&lt;=18),Assumptions!$B$8*SIN(PI()*(HOUR(A801)+MINUTE(A801)/60-6)/12),0))</f>
        <v>18.262842870261625</v>
      </c>
      <c r="D801">
        <f t="shared" si="12"/>
        <v>0.63715712973837313</v>
      </c>
      <c r="E801">
        <f>MIN(B801,C801)*Assumptions!$B$2</f>
        <v>9.1314214351308127</v>
      </c>
      <c r="F801">
        <f>MAX(C801-B801,0)*Assumptions!$B$2</f>
        <v>0</v>
      </c>
      <c r="G801">
        <f>MAX(B801-C801,0)*Assumptions!$B$2</f>
        <v>0.31857856486918656</v>
      </c>
    </row>
    <row r="802" spans="1:7" x14ac:dyDescent="0.3">
      <c r="A802" s="5">
        <f>Raw_Load_Data!A802</f>
        <v>46220.666666668607</v>
      </c>
      <c r="B802">
        <f>Raw_Load_Data!B802</f>
        <v>14.9</v>
      </c>
      <c r="C802">
        <f>MAX(0,IF(AND(HOUR(A802)&gt;=6,HOUR(A802)&lt;=18),Assumptions!$B$8*SIN(PI()*(HOUR(A802)+MINUTE(A802)/60-6)/12),0))</f>
        <v>14.999999999999998</v>
      </c>
      <c r="D802">
        <f t="shared" si="12"/>
        <v>-9.9999999999997868E-2</v>
      </c>
      <c r="E802">
        <f>MIN(B802,C802)*Assumptions!$B$2</f>
        <v>7.45</v>
      </c>
      <c r="F802">
        <f>MAX(C802-B802,0)*Assumptions!$B$2</f>
        <v>4.9999999999998934E-2</v>
      </c>
      <c r="G802">
        <f>MAX(B802-C802,0)*Assumptions!$B$2</f>
        <v>0</v>
      </c>
    </row>
    <row r="803" spans="1:7" x14ac:dyDescent="0.3">
      <c r="A803" s="5">
        <f>Raw_Load_Data!A803</f>
        <v>46220.687500001943</v>
      </c>
      <c r="B803">
        <f>Raw_Load_Data!B803</f>
        <v>14.2</v>
      </c>
      <c r="C803">
        <f>MAX(0,IF(AND(HOUR(A803)&gt;=6,HOUR(A803)&lt;=18),Assumptions!$B$8*SIN(PI()*(HOUR(A803)+MINUTE(A803)/60-6)/12),0))</f>
        <v>11.480502970952697</v>
      </c>
      <c r="D803">
        <f t="shared" si="12"/>
        <v>2.719497029047302</v>
      </c>
      <c r="E803">
        <f>MIN(B803,C803)*Assumptions!$B$2</f>
        <v>5.7402514854763487</v>
      </c>
      <c r="F803">
        <f>MAX(C803-B803,0)*Assumptions!$B$2</f>
        <v>0</v>
      </c>
      <c r="G803">
        <f>MAX(B803-C803,0)*Assumptions!$B$2</f>
        <v>1.359748514523651</v>
      </c>
    </row>
    <row r="804" spans="1:7" x14ac:dyDescent="0.3">
      <c r="A804" s="5">
        <f>Raw_Load_Data!A804</f>
        <v>46220.708333335278</v>
      </c>
      <c r="B804">
        <f>Raw_Load_Data!B804</f>
        <v>18.3</v>
      </c>
      <c r="C804">
        <f>MAX(0,IF(AND(HOUR(A804)&gt;=6,HOUR(A804)&lt;=18),Assumptions!$B$8*SIN(PI()*(HOUR(A804)+MINUTE(A804)/60-6)/12),0))</f>
        <v>7.7645713530756302</v>
      </c>
      <c r="D804">
        <f t="shared" si="12"/>
        <v>10.53542864692437</v>
      </c>
      <c r="E804">
        <f>MIN(B804,C804)*Assumptions!$B$2</f>
        <v>3.8822856765378151</v>
      </c>
      <c r="F804">
        <f>MAX(C804-B804,0)*Assumptions!$B$2</f>
        <v>0</v>
      </c>
      <c r="G804">
        <f>MAX(B804-C804,0)*Assumptions!$B$2</f>
        <v>5.2677143234621848</v>
      </c>
    </row>
    <row r="805" spans="1:7" x14ac:dyDescent="0.3">
      <c r="A805" s="5">
        <f>Raw_Load_Data!A805</f>
        <v>46220.729166668614</v>
      </c>
      <c r="B805">
        <f>Raw_Load_Data!B805</f>
        <v>19.100000000000001</v>
      </c>
      <c r="C805">
        <f>MAX(0,IF(AND(HOUR(A805)&gt;=6,HOUR(A805)&lt;=18),Assumptions!$B$8*SIN(PI()*(HOUR(A805)+MINUTE(A805)/60-6)/12),0))</f>
        <v>3.9157857666015596</v>
      </c>
      <c r="D805">
        <f t="shared" si="12"/>
        <v>15.184214233398443</v>
      </c>
      <c r="E805">
        <f>MIN(B805,C805)*Assumptions!$B$2</f>
        <v>1.9578928833007798</v>
      </c>
      <c r="F805">
        <f>MAX(C805-B805,0)*Assumptions!$B$2</f>
        <v>0</v>
      </c>
      <c r="G805">
        <f>MAX(B805-C805,0)*Assumptions!$B$2</f>
        <v>7.5921071166992213</v>
      </c>
    </row>
    <row r="806" spans="1:7" x14ac:dyDescent="0.3">
      <c r="A806" s="5">
        <f>Raw_Load_Data!A806</f>
        <v>46220.75000000195</v>
      </c>
      <c r="B806">
        <f>Raw_Load_Data!B806</f>
        <v>15.4</v>
      </c>
      <c r="C806">
        <f>MAX(0,IF(AND(HOUR(A806)&gt;=6,HOUR(A806)&lt;=18),Assumptions!$B$8*SIN(PI()*(HOUR(A806)+MINUTE(A806)/60-6)/12),0))</f>
        <v>3.67544536472586E-15</v>
      </c>
      <c r="D806">
        <f t="shared" si="12"/>
        <v>15.399999999999997</v>
      </c>
      <c r="E806">
        <f>MIN(B806,C806)*Assumptions!$B$2</f>
        <v>1.83772268236293E-15</v>
      </c>
      <c r="F806">
        <f>MAX(C806-B806,0)*Assumptions!$B$2</f>
        <v>0</v>
      </c>
      <c r="G806">
        <f>MAX(B806-C806,0)*Assumptions!$B$2</f>
        <v>7.6999999999999984</v>
      </c>
    </row>
    <row r="807" spans="1:7" x14ac:dyDescent="0.3">
      <c r="A807" s="5">
        <f>Raw_Load_Data!A807</f>
        <v>46220.770833335286</v>
      </c>
      <c r="B807">
        <f>Raw_Load_Data!B807</f>
        <v>13.4</v>
      </c>
      <c r="C807">
        <f>MAX(0,IF(AND(HOUR(A807)&gt;=6,HOUR(A807)&lt;=18),Assumptions!$B$8*SIN(PI()*(HOUR(A807)+MINUTE(A807)/60-6)/12),0))</f>
        <v>0</v>
      </c>
      <c r="D807">
        <f t="shared" si="12"/>
        <v>13.4</v>
      </c>
      <c r="E807">
        <f>MIN(B807,C807)*Assumptions!$B$2</f>
        <v>0</v>
      </c>
      <c r="F807">
        <f>MAX(C807-B807,0)*Assumptions!$B$2</f>
        <v>0</v>
      </c>
      <c r="G807">
        <f>MAX(B807-C807,0)*Assumptions!$B$2</f>
        <v>6.7</v>
      </c>
    </row>
    <row r="808" spans="1:7" x14ac:dyDescent="0.3">
      <c r="A808" s="5">
        <f>Raw_Load_Data!A808</f>
        <v>46220.791666668621</v>
      </c>
      <c r="B808">
        <f>Raw_Load_Data!B808</f>
        <v>3.9</v>
      </c>
      <c r="C808">
        <f>MAX(0,IF(AND(HOUR(A808)&gt;=6,HOUR(A808)&lt;=18),Assumptions!$B$8*SIN(PI()*(HOUR(A808)+MINUTE(A808)/60-6)/12),0))</f>
        <v>0</v>
      </c>
      <c r="D808">
        <f t="shared" si="12"/>
        <v>3.9</v>
      </c>
      <c r="E808">
        <f>MIN(B808,C808)*Assumptions!$B$2</f>
        <v>0</v>
      </c>
      <c r="F808">
        <f>MAX(C808-B808,0)*Assumptions!$B$2</f>
        <v>0</v>
      </c>
      <c r="G808">
        <f>MAX(B808-C808,0)*Assumptions!$B$2</f>
        <v>1.95</v>
      </c>
    </row>
    <row r="809" spans="1:7" x14ac:dyDescent="0.3">
      <c r="A809" s="5">
        <f>Raw_Load_Data!A809</f>
        <v>46220.812500001957</v>
      </c>
      <c r="B809">
        <f>Raw_Load_Data!B809</f>
        <v>4.5</v>
      </c>
      <c r="C809">
        <f>MAX(0,IF(AND(HOUR(A809)&gt;=6,HOUR(A809)&lt;=18),Assumptions!$B$8*SIN(PI()*(HOUR(A809)+MINUTE(A809)/60-6)/12),0))</f>
        <v>0</v>
      </c>
      <c r="D809">
        <f t="shared" si="12"/>
        <v>4.5</v>
      </c>
      <c r="E809">
        <f>MIN(B809,C809)*Assumptions!$B$2</f>
        <v>0</v>
      </c>
      <c r="F809">
        <f>MAX(C809-B809,0)*Assumptions!$B$2</f>
        <v>0</v>
      </c>
      <c r="G809">
        <f>MAX(B809-C809,0)*Assumptions!$B$2</f>
        <v>2.25</v>
      </c>
    </row>
    <row r="810" spans="1:7" x14ac:dyDescent="0.3">
      <c r="A810" s="5">
        <f>Raw_Load_Data!A810</f>
        <v>46220.833333335293</v>
      </c>
      <c r="B810">
        <f>Raw_Load_Data!B810</f>
        <v>4.3</v>
      </c>
      <c r="C810">
        <f>MAX(0,IF(AND(HOUR(A810)&gt;=6,HOUR(A810)&lt;=18),Assumptions!$B$8*SIN(PI()*(HOUR(A810)+MINUTE(A810)/60-6)/12),0))</f>
        <v>0</v>
      </c>
      <c r="D810">
        <f t="shared" si="12"/>
        <v>4.3</v>
      </c>
      <c r="E810">
        <f>MIN(B810,C810)*Assumptions!$B$2</f>
        <v>0</v>
      </c>
      <c r="F810">
        <f>MAX(C810-B810,0)*Assumptions!$B$2</f>
        <v>0</v>
      </c>
      <c r="G810">
        <f>MAX(B810-C810,0)*Assumptions!$B$2</f>
        <v>2.15</v>
      </c>
    </row>
    <row r="811" spans="1:7" x14ac:dyDescent="0.3">
      <c r="A811" s="5">
        <f>Raw_Load_Data!A811</f>
        <v>46220.854166668629</v>
      </c>
      <c r="B811">
        <f>Raw_Load_Data!B811</f>
        <v>4.9000000000000004</v>
      </c>
      <c r="C811">
        <f>MAX(0,IF(AND(HOUR(A811)&gt;=6,HOUR(A811)&lt;=18),Assumptions!$B$8*SIN(PI()*(HOUR(A811)+MINUTE(A811)/60-6)/12),0))</f>
        <v>0</v>
      </c>
      <c r="D811">
        <f t="shared" si="12"/>
        <v>4.9000000000000004</v>
      </c>
      <c r="E811">
        <f>MIN(B811,C811)*Assumptions!$B$2</f>
        <v>0</v>
      </c>
      <c r="F811">
        <f>MAX(C811-B811,0)*Assumptions!$B$2</f>
        <v>0</v>
      </c>
      <c r="G811">
        <f>MAX(B811-C811,0)*Assumptions!$B$2</f>
        <v>2.4500000000000002</v>
      </c>
    </row>
    <row r="812" spans="1:7" x14ac:dyDescent="0.3">
      <c r="A812" s="5">
        <f>Raw_Load_Data!A812</f>
        <v>46220.875000001965</v>
      </c>
      <c r="B812">
        <f>Raw_Load_Data!B812</f>
        <v>5.0999999999999996</v>
      </c>
      <c r="C812">
        <f>MAX(0,IF(AND(HOUR(A812)&gt;=6,HOUR(A812)&lt;=18),Assumptions!$B$8*SIN(PI()*(HOUR(A812)+MINUTE(A812)/60-6)/12),0))</f>
        <v>0</v>
      </c>
      <c r="D812">
        <f t="shared" si="12"/>
        <v>5.0999999999999996</v>
      </c>
      <c r="E812">
        <f>MIN(B812,C812)*Assumptions!$B$2</f>
        <v>0</v>
      </c>
      <c r="F812">
        <f>MAX(C812-B812,0)*Assumptions!$B$2</f>
        <v>0</v>
      </c>
      <c r="G812">
        <f>MAX(B812-C812,0)*Assumptions!$B$2</f>
        <v>2.5499999999999998</v>
      </c>
    </row>
    <row r="813" spans="1:7" x14ac:dyDescent="0.3">
      <c r="A813" s="5">
        <f>Raw_Load_Data!A813</f>
        <v>46220.8958333353</v>
      </c>
      <c r="B813">
        <f>Raw_Load_Data!B813</f>
        <v>3.3</v>
      </c>
      <c r="C813">
        <f>MAX(0,IF(AND(HOUR(A813)&gt;=6,HOUR(A813)&lt;=18),Assumptions!$B$8*SIN(PI()*(HOUR(A813)+MINUTE(A813)/60-6)/12),0))</f>
        <v>0</v>
      </c>
      <c r="D813">
        <f t="shared" si="12"/>
        <v>3.3</v>
      </c>
      <c r="E813">
        <f>MIN(B813,C813)*Assumptions!$B$2</f>
        <v>0</v>
      </c>
      <c r="F813">
        <f>MAX(C813-B813,0)*Assumptions!$B$2</f>
        <v>0</v>
      </c>
      <c r="G813">
        <f>MAX(B813-C813,0)*Assumptions!$B$2</f>
        <v>1.65</v>
      </c>
    </row>
    <row r="814" spans="1:7" x14ac:dyDescent="0.3">
      <c r="A814" s="5">
        <f>Raw_Load_Data!A814</f>
        <v>46220.916666668636</v>
      </c>
      <c r="B814">
        <f>Raw_Load_Data!B814</f>
        <v>6.8</v>
      </c>
      <c r="C814">
        <f>MAX(0,IF(AND(HOUR(A814)&gt;=6,HOUR(A814)&lt;=18),Assumptions!$B$8*SIN(PI()*(HOUR(A814)+MINUTE(A814)/60-6)/12),0))</f>
        <v>0</v>
      </c>
      <c r="D814">
        <f t="shared" si="12"/>
        <v>6.8</v>
      </c>
      <c r="E814">
        <f>MIN(B814,C814)*Assumptions!$B$2</f>
        <v>0</v>
      </c>
      <c r="F814">
        <f>MAX(C814-B814,0)*Assumptions!$B$2</f>
        <v>0</v>
      </c>
      <c r="G814">
        <f>MAX(B814-C814,0)*Assumptions!$B$2</f>
        <v>3.4</v>
      </c>
    </row>
    <row r="815" spans="1:7" x14ac:dyDescent="0.3">
      <c r="A815" s="5">
        <f>Raw_Load_Data!A815</f>
        <v>46220.937500001972</v>
      </c>
      <c r="B815">
        <f>Raw_Load_Data!B815</f>
        <v>3.1</v>
      </c>
      <c r="C815">
        <f>MAX(0,IF(AND(HOUR(A815)&gt;=6,HOUR(A815)&lt;=18),Assumptions!$B$8*SIN(PI()*(HOUR(A815)+MINUTE(A815)/60-6)/12),0))</f>
        <v>0</v>
      </c>
      <c r="D815">
        <f t="shared" si="12"/>
        <v>3.1</v>
      </c>
      <c r="E815">
        <f>MIN(B815,C815)*Assumptions!$B$2</f>
        <v>0</v>
      </c>
      <c r="F815">
        <f>MAX(C815-B815,0)*Assumptions!$B$2</f>
        <v>0</v>
      </c>
      <c r="G815">
        <f>MAX(B815-C815,0)*Assumptions!$B$2</f>
        <v>1.55</v>
      </c>
    </row>
    <row r="816" spans="1:7" x14ac:dyDescent="0.3">
      <c r="A816" s="5">
        <f>Raw_Load_Data!A816</f>
        <v>46220.958333335308</v>
      </c>
      <c r="B816">
        <f>Raw_Load_Data!B816</f>
        <v>5.3</v>
      </c>
      <c r="C816">
        <f>MAX(0,IF(AND(HOUR(A816)&gt;=6,HOUR(A816)&lt;=18),Assumptions!$B$8*SIN(PI()*(HOUR(A816)+MINUTE(A816)/60-6)/12),0))</f>
        <v>0</v>
      </c>
      <c r="D816">
        <f t="shared" si="12"/>
        <v>5.3</v>
      </c>
      <c r="E816">
        <f>MIN(B816,C816)*Assumptions!$B$2</f>
        <v>0</v>
      </c>
      <c r="F816">
        <f>MAX(C816-B816,0)*Assumptions!$B$2</f>
        <v>0</v>
      </c>
      <c r="G816">
        <f>MAX(B816-C816,0)*Assumptions!$B$2</f>
        <v>2.65</v>
      </c>
    </row>
    <row r="817" spans="1:7" x14ac:dyDescent="0.3">
      <c r="A817" s="5">
        <f>Raw_Load_Data!A817</f>
        <v>46220.979166668643</v>
      </c>
      <c r="B817">
        <f>Raw_Load_Data!B817</f>
        <v>3</v>
      </c>
      <c r="C817">
        <f>MAX(0,IF(AND(HOUR(A817)&gt;=6,HOUR(A817)&lt;=18),Assumptions!$B$8*SIN(PI()*(HOUR(A817)+MINUTE(A817)/60-6)/12),0))</f>
        <v>0</v>
      </c>
      <c r="D817">
        <f t="shared" si="12"/>
        <v>3</v>
      </c>
      <c r="E817">
        <f>MIN(B817,C817)*Assumptions!$B$2</f>
        <v>0</v>
      </c>
      <c r="F817">
        <f>MAX(C817-B817,0)*Assumptions!$B$2</f>
        <v>0</v>
      </c>
      <c r="G817">
        <f>MAX(B817-C817,0)*Assumptions!$B$2</f>
        <v>1.5</v>
      </c>
    </row>
    <row r="818" spans="1:7" x14ac:dyDescent="0.3">
      <c r="A818" s="5">
        <f>Raw_Load_Data!A818</f>
        <v>46221.000000001979</v>
      </c>
      <c r="B818">
        <f>Raw_Load_Data!B818</f>
        <v>2</v>
      </c>
      <c r="C818">
        <f>MAX(0,IF(AND(HOUR(A818)&gt;=6,HOUR(A818)&lt;=18),Assumptions!$B$8*SIN(PI()*(HOUR(A818)+MINUTE(A818)/60-6)/12),0))</f>
        <v>0</v>
      </c>
      <c r="D818">
        <f t="shared" si="12"/>
        <v>2</v>
      </c>
      <c r="E818">
        <f>MIN(B818,C818)*Assumptions!$B$2</f>
        <v>0</v>
      </c>
      <c r="F818">
        <f>MAX(C818-B818,0)*Assumptions!$B$2</f>
        <v>0</v>
      </c>
      <c r="G818">
        <f>MAX(B818-C818,0)*Assumptions!$B$2</f>
        <v>1</v>
      </c>
    </row>
    <row r="819" spans="1:7" x14ac:dyDescent="0.3">
      <c r="A819" s="5">
        <f>Raw_Load_Data!A819</f>
        <v>46221.020833335315</v>
      </c>
      <c r="B819">
        <f>Raw_Load_Data!B819</f>
        <v>2.9</v>
      </c>
      <c r="C819">
        <f>MAX(0,IF(AND(HOUR(A819)&gt;=6,HOUR(A819)&lt;=18),Assumptions!$B$8*SIN(PI()*(HOUR(A819)+MINUTE(A819)/60-6)/12),0))</f>
        <v>0</v>
      </c>
      <c r="D819">
        <f t="shared" si="12"/>
        <v>2.9</v>
      </c>
      <c r="E819">
        <f>MIN(B819,C819)*Assumptions!$B$2</f>
        <v>0</v>
      </c>
      <c r="F819">
        <f>MAX(C819-B819,0)*Assumptions!$B$2</f>
        <v>0</v>
      </c>
      <c r="G819">
        <f>MAX(B819-C819,0)*Assumptions!$B$2</f>
        <v>1.45</v>
      </c>
    </row>
    <row r="820" spans="1:7" x14ac:dyDescent="0.3">
      <c r="A820" s="5">
        <f>Raw_Load_Data!A820</f>
        <v>46221.041666668651</v>
      </c>
      <c r="B820">
        <f>Raw_Load_Data!B820</f>
        <v>2.7</v>
      </c>
      <c r="C820">
        <f>MAX(0,IF(AND(HOUR(A820)&gt;=6,HOUR(A820)&lt;=18),Assumptions!$B$8*SIN(PI()*(HOUR(A820)+MINUTE(A820)/60-6)/12),0))</f>
        <v>0</v>
      </c>
      <c r="D820">
        <f t="shared" si="12"/>
        <v>2.7</v>
      </c>
      <c r="E820">
        <f>MIN(B820,C820)*Assumptions!$B$2</f>
        <v>0</v>
      </c>
      <c r="F820">
        <f>MAX(C820-B820,0)*Assumptions!$B$2</f>
        <v>0</v>
      </c>
      <c r="G820">
        <f>MAX(B820-C820,0)*Assumptions!$B$2</f>
        <v>1.35</v>
      </c>
    </row>
    <row r="821" spans="1:7" x14ac:dyDescent="0.3">
      <c r="A821" s="5">
        <f>Raw_Load_Data!A821</f>
        <v>46221.062500001986</v>
      </c>
      <c r="B821">
        <f>Raw_Load_Data!B821</f>
        <v>2.4</v>
      </c>
      <c r="C821">
        <f>MAX(0,IF(AND(HOUR(A821)&gt;=6,HOUR(A821)&lt;=18),Assumptions!$B$8*SIN(PI()*(HOUR(A821)+MINUTE(A821)/60-6)/12),0))</f>
        <v>0</v>
      </c>
      <c r="D821">
        <f t="shared" si="12"/>
        <v>2.4</v>
      </c>
      <c r="E821">
        <f>MIN(B821,C821)*Assumptions!$B$2</f>
        <v>0</v>
      </c>
      <c r="F821">
        <f>MAX(C821-B821,0)*Assumptions!$B$2</f>
        <v>0</v>
      </c>
      <c r="G821">
        <f>MAX(B821-C821,0)*Assumptions!$B$2</f>
        <v>1.2</v>
      </c>
    </row>
    <row r="822" spans="1:7" x14ac:dyDescent="0.3">
      <c r="A822" s="5">
        <f>Raw_Load_Data!A822</f>
        <v>46221.083333335322</v>
      </c>
      <c r="B822">
        <f>Raw_Load_Data!B822</f>
        <v>2.7</v>
      </c>
      <c r="C822">
        <f>MAX(0,IF(AND(HOUR(A822)&gt;=6,HOUR(A822)&lt;=18),Assumptions!$B$8*SIN(PI()*(HOUR(A822)+MINUTE(A822)/60-6)/12),0))</f>
        <v>0</v>
      </c>
      <c r="D822">
        <f t="shared" si="12"/>
        <v>2.7</v>
      </c>
      <c r="E822">
        <f>MIN(B822,C822)*Assumptions!$B$2</f>
        <v>0</v>
      </c>
      <c r="F822">
        <f>MAX(C822-B822,0)*Assumptions!$B$2</f>
        <v>0</v>
      </c>
      <c r="G822">
        <f>MAX(B822-C822,0)*Assumptions!$B$2</f>
        <v>1.35</v>
      </c>
    </row>
    <row r="823" spans="1:7" x14ac:dyDescent="0.3">
      <c r="A823" s="5">
        <f>Raw_Load_Data!A823</f>
        <v>46221.104166668658</v>
      </c>
      <c r="B823">
        <f>Raw_Load_Data!B823</f>
        <v>2.9</v>
      </c>
      <c r="C823">
        <f>MAX(0,IF(AND(HOUR(A823)&gt;=6,HOUR(A823)&lt;=18),Assumptions!$B$8*SIN(PI()*(HOUR(A823)+MINUTE(A823)/60-6)/12),0))</f>
        <v>0</v>
      </c>
      <c r="D823">
        <f t="shared" si="12"/>
        <v>2.9</v>
      </c>
      <c r="E823">
        <f>MIN(B823,C823)*Assumptions!$B$2</f>
        <v>0</v>
      </c>
      <c r="F823">
        <f>MAX(C823-B823,0)*Assumptions!$B$2</f>
        <v>0</v>
      </c>
      <c r="G823">
        <f>MAX(B823-C823,0)*Assumptions!$B$2</f>
        <v>1.45</v>
      </c>
    </row>
    <row r="824" spans="1:7" x14ac:dyDescent="0.3">
      <c r="A824" s="5">
        <f>Raw_Load_Data!A824</f>
        <v>46221.125000001994</v>
      </c>
      <c r="B824">
        <f>Raw_Load_Data!B824</f>
        <v>1.9</v>
      </c>
      <c r="C824">
        <f>MAX(0,IF(AND(HOUR(A824)&gt;=6,HOUR(A824)&lt;=18),Assumptions!$B$8*SIN(PI()*(HOUR(A824)+MINUTE(A824)/60-6)/12),0))</f>
        <v>0</v>
      </c>
      <c r="D824">
        <f t="shared" si="12"/>
        <v>1.9</v>
      </c>
      <c r="E824">
        <f>MIN(B824,C824)*Assumptions!$B$2</f>
        <v>0</v>
      </c>
      <c r="F824">
        <f>MAX(C824-B824,0)*Assumptions!$B$2</f>
        <v>0</v>
      </c>
      <c r="G824">
        <f>MAX(B824-C824,0)*Assumptions!$B$2</f>
        <v>0.95</v>
      </c>
    </row>
    <row r="825" spans="1:7" x14ac:dyDescent="0.3">
      <c r="A825" s="5">
        <f>Raw_Load_Data!A825</f>
        <v>46221.145833335329</v>
      </c>
      <c r="B825">
        <f>Raw_Load_Data!B825</f>
        <v>2.9</v>
      </c>
      <c r="C825">
        <f>MAX(0,IF(AND(HOUR(A825)&gt;=6,HOUR(A825)&lt;=18),Assumptions!$B$8*SIN(PI()*(HOUR(A825)+MINUTE(A825)/60-6)/12),0))</f>
        <v>0</v>
      </c>
      <c r="D825">
        <f t="shared" si="12"/>
        <v>2.9</v>
      </c>
      <c r="E825">
        <f>MIN(B825,C825)*Assumptions!$B$2</f>
        <v>0</v>
      </c>
      <c r="F825">
        <f>MAX(C825-B825,0)*Assumptions!$B$2</f>
        <v>0</v>
      </c>
      <c r="G825">
        <f>MAX(B825-C825,0)*Assumptions!$B$2</f>
        <v>1.45</v>
      </c>
    </row>
    <row r="826" spans="1:7" x14ac:dyDescent="0.3">
      <c r="A826" s="5">
        <f>Raw_Load_Data!A826</f>
        <v>46221.166666668665</v>
      </c>
      <c r="B826">
        <f>Raw_Load_Data!B826</f>
        <v>1.9</v>
      </c>
      <c r="C826">
        <f>MAX(0,IF(AND(HOUR(A826)&gt;=6,HOUR(A826)&lt;=18),Assumptions!$B$8*SIN(PI()*(HOUR(A826)+MINUTE(A826)/60-6)/12),0))</f>
        <v>0</v>
      </c>
      <c r="D826">
        <f t="shared" si="12"/>
        <v>1.9</v>
      </c>
      <c r="E826">
        <f>MIN(B826,C826)*Assumptions!$B$2</f>
        <v>0</v>
      </c>
      <c r="F826">
        <f>MAX(C826-B826,0)*Assumptions!$B$2</f>
        <v>0</v>
      </c>
      <c r="G826">
        <f>MAX(B826-C826,0)*Assumptions!$B$2</f>
        <v>0.95</v>
      </c>
    </row>
    <row r="827" spans="1:7" x14ac:dyDescent="0.3">
      <c r="A827" s="5">
        <f>Raw_Load_Data!A827</f>
        <v>46221.187500002001</v>
      </c>
      <c r="B827">
        <f>Raw_Load_Data!B827</f>
        <v>2.2999999999999998</v>
      </c>
      <c r="C827">
        <f>MAX(0,IF(AND(HOUR(A827)&gt;=6,HOUR(A827)&lt;=18),Assumptions!$B$8*SIN(PI()*(HOUR(A827)+MINUTE(A827)/60-6)/12),0))</f>
        <v>0</v>
      </c>
      <c r="D827">
        <f t="shared" si="12"/>
        <v>2.2999999999999998</v>
      </c>
      <c r="E827">
        <f>MIN(B827,C827)*Assumptions!$B$2</f>
        <v>0</v>
      </c>
      <c r="F827">
        <f>MAX(C827-B827,0)*Assumptions!$B$2</f>
        <v>0</v>
      </c>
      <c r="G827">
        <f>MAX(B827-C827,0)*Assumptions!$B$2</f>
        <v>1.1499999999999999</v>
      </c>
    </row>
    <row r="828" spans="1:7" x14ac:dyDescent="0.3">
      <c r="A828" s="5">
        <f>Raw_Load_Data!A828</f>
        <v>46221.208333335337</v>
      </c>
      <c r="B828">
        <f>Raw_Load_Data!B828</f>
        <v>1.8</v>
      </c>
      <c r="C828">
        <f>MAX(0,IF(AND(HOUR(A828)&gt;=6,HOUR(A828)&lt;=18),Assumptions!$B$8*SIN(PI()*(HOUR(A828)+MINUTE(A828)/60-6)/12),0))</f>
        <v>0</v>
      </c>
      <c r="D828">
        <f t="shared" si="12"/>
        <v>1.8</v>
      </c>
      <c r="E828">
        <f>MIN(B828,C828)*Assumptions!$B$2</f>
        <v>0</v>
      </c>
      <c r="F828">
        <f>MAX(C828-B828,0)*Assumptions!$B$2</f>
        <v>0</v>
      </c>
      <c r="G828">
        <f>MAX(B828-C828,0)*Assumptions!$B$2</f>
        <v>0.9</v>
      </c>
    </row>
    <row r="829" spans="1:7" x14ac:dyDescent="0.3">
      <c r="A829" s="5">
        <f>Raw_Load_Data!A829</f>
        <v>46221.229166668672</v>
      </c>
      <c r="B829">
        <f>Raw_Load_Data!B829</f>
        <v>2.8</v>
      </c>
      <c r="C829">
        <f>MAX(0,IF(AND(HOUR(A829)&gt;=6,HOUR(A829)&lt;=18),Assumptions!$B$8*SIN(PI()*(HOUR(A829)+MINUTE(A829)/60-6)/12),0))</f>
        <v>0</v>
      </c>
      <c r="D829">
        <f t="shared" si="12"/>
        <v>2.8</v>
      </c>
      <c r="E829">
        <f>MIN(B829,C829)*Assumptions!$B$2</f>
        <v>0</v>
      </c>
      <c r="F829">
        <f>MAX(C829-B829,0)*Assumptions!$B$2</f>
        <v>0</v>
      </c>
      <c r="G829">
        <f>MAX(B829-C829,0)*Assumptions!$B$2</f>
        <v>1.4</v>
      </c>
    </row>
    <row r="830" spans="1:7" x14ac:dyDescent="0.3">
      <c r="A830" s="5">
        <f>Raw_Load_Data!A830</f>
        <v>46221.250000002008</v>
      </c>
      <c r="B830">
        <f>Raw_Load_Data!B830</f>
        <v>7.4</v>
      </c>
      <c r="C830">
        <f>MAX(0,IF(AND(HOUR(A830)&gt;=6,HOUR(A830)&lt;=18),Assumptions!$B$8*SIN(PI()*(HOUR(A830)+MINUTE(A830)/60-6)/12),0))</f>
        <v>0</v>
      </c>
      <c r="D830">
        <f t="shared" si="12"/>
        <v>7.4</v>
      </c>
      <c r="E830">
        <f>MIN(B830,C830)*Assumptions!$B$2</f>
        <v>0</v>
      </c>
      <c r="F830">
        <f>MAX(C830-B830,0)*Assumptions!$B$2</f>
        <v>0</v>
      </c>
      <c r="G830">
        <f>MAX(B830-C830,0)*Assumptions!$B$2</f>
        <v>3.7</v>
      </c>
    </row>
    <row r="831" spans="1:7" x14ac:dyDescent="0.3">
      <c r="A831" s="5">
        <f>Raw_Load_Data!A831</f>
        <v>46221.270833335344</v>
      </c>
      <c r="B831">
        <f>Raw_Load_Data!B831</f>
        <v>7.5</v>
      </c>
      <c r="C831">
        <f>MAX(0,IF(AND(HOUR(A831)&gt;=6,HOUR(A831)&lt;=18),Assumptions!$B$8*SIN(PI()*(HOUR(A831)+MINUTE(A831)/60-6)/12),0))</f>
        <v>3.9157857666015472</v>
      </c>
      <c r="D831">
        <f t="shared" si="12"/>
        <v>3.5842142333984528</v>
      </c>
      <c r="E831">
        <f>MIN(B831,C831)*Assumptions!$B$2</f>
        <v>1.9578928833007736</v>
      </c>
      <c r="F831">
        <f>MAX(C831-B831,0)*Assumptions!$B$2</f>
        <v>0</v>
      </c>
      <c r="G831">
        <f>MAX(B831-C831,0)*Assumptions!$B$2</f>
        <v>1.7921071166992264</v>
      </c>
    </row>
    <row r="832" spans="1:7" x14ac:dyDescent="0.3">
      <c r="A832" s="5">
        <f>Raw_Load_Data!A832</f>
        <v>46221.29166666868</v>
      </c>
      <c r="B832">
        <f>Raw_Load_Data!B832</f>
        <v>5</v>
      </c>
      <c r="C832">
        <f>MAX(0,IF(AND(HOUR(A832)&gt;=6,HOUR(A832)&lt;=18),Assumptions!$B$8*SIN(PI()*(HOUR(A832)+MINUTE(A832)/60-6)/12),0))</f>
        <v>7.7645713530756222</v>
      </c>
      <c r="D832">
        <f t="shared" si="12"/>
        <v>-2.7645713530756222</v>
      </c>
      <c r="E832">
        <f>MIN(B832,C832)*Assumptions!$B$2</f>
        <v>2.5</v>
      </c>
      <c r="F832">
        <f>MAX(C832-B832,0)*Assumptions!$B$2</f>
        <v>1.3822856765378111</v>
      </c>
      <c r="G832">
        <f>MAX(B832-C832,0)*Assumptions!$B$2</f>
        <v>0</v>
      </c>
    </row>
    <row r="833" spans="1:7" x14ac:dyDescent="0.3">
      <c r="A833" s="5">
        <f>Raw_Load_Data!A833</f>
        <v>46221.312500002015</v>
      </c>
      <c r="B833">
        <f>Raw_Load_Data!B833</f>
        <v>6.3</v>
      </c>
      <c r="C833">
        <f>MAX(0,IF(AND(HOUR(A833)&gt;=6,HOUR(A833)&lt;=18),Assumptions!$B$8*SIN(PI()*(HOUR(A833)+MINUTE(A833)/60-6)/12),0))</f>
        <v>11.480502970952694</v>
      </c>
      <c r="D833">
        <f t="shared" si="12"/>
        <v>-5.180502970952694</v>
      </c>
      <c r="E833">
        <f>MIN(B833,C833)*Assumptions!$B$2</f>
        <v>3.15</v>
      </c>
      <c r="F833">
        <f>MAX(C833-B833,0)*Assumptions!$B$2</f>
        <v>2.590251485476347</v>
      </c>
      <c r="G833">
        <f>MAX(B833-C833,0)*Assumptions!$B$2</f>
        <v>0</v>
      </c>
    </row>
    <row r="834" spans="1:7" x14ac:dyDescent="0.3">
      <c r="A834" s="5">
        <f>Raw_Load_Data!A834</f>
        <v>46221.333333335351</v>
      </c>
      <c r="B834">
        <f>Raw_Load_Data!B834</f>
        <v>21.1</v>
      </c>
      <c r="C834">
        <f>MAX(0,IF(AND(HOUR(A834)&gt;=6,HOUR(A834)&lt;=18),Assumptions!$B$8*SIN(PI()*(HOUR(A834)+MINUTE(A834)/60-6)/12),0))</f>
        <v>14.999999999999998</v>
      </c>
      <c r="D834">
        <f t="shared" si="12"/>
        <v>6.1000000000000032</v>
      </c>
      <c r="E834">
        <f>MIN(B834,C834)*Assumptions!$B$2</f>
        <v>7.4999999999999991</v>
      </c>
      <c r="F834">
        <f>MAX(C834-B834,0)*Assumptions!$B$2</f>
        <v>0</v>
      </c>
      <c r="G834">
        <f>MAX(B834-C834,0)*Assumptions!$B$2</f>
        <v>3.0500000000000016</v>
      </c>
    </row>
    <row r="835" spans="1:7" x14ac:dyDescent="0.3">
      <c r="A835" s="5">
        <f>Raw_Load_Data!A835</f>
        <v>46221.354166668687</v>
      </c>
      <c r="B835">
        <f>Raw_Load_Data!B835</f>
        <v>13.9</v>
      </c>
      <c r="C835">
        <f>MAX(0,IF(AND(HOUR(A835)&gt;=6,HOUR(A835)&lt;=18),Assumptions!$B$8*SIN(PI()*(HOUR(A835)+MINUTE(A835)/60-6)/12),0))</f>
        <v>18.262842870261618</v>
      </c>
      <c r="D835">
        <f t="shared" ref="D835:D898" si="13">B835-C835</f>
        <v>-4.362842870261618</v>
      </c>
      <c r="E835">
        <f>MIN(B835,C835)*Assumptions!$B$2</f>
        <v>6.95</v>
      </c>
      <c r="F835">
        <f>MAX(C835-B835,0)*Assumptions!$B$2</f>
        <v>2.181421435130809</v>
      </c>
      <c r="G835">
        <f>MAX(B835-C835,0)*Assumptions!$B$2</f>
        <v>0</v>
      </c>
    </row>
    <row r="836" spans="1:7" x14ac:dyDescent="0.3">
      <c r="A836" s="5">
        <f>Raw_Load_Data!A836</f>
        <v>46221.375000002023</v>
      </c>
      <c r="B836">
        <f>Raw_Load_Data!B836</f>
        <v>20.100000000000001</v>
      </c>
      <c r="C836">
        <f>MAX(0,IF(AND(HOUR(A836)&gt;=6,HOUR(A836)&lt;=18),Assumptions!$B$8*SIN(PI()*(HOUR(A836)+MINUTE(A836)/60-6)/12),0))</f>
        <v>21.213203435596423</v>
      </c>
      <c r="D836">
        <f t="shared" si="13"/>
        <v>-1.1132034355964215</v>
      </c>
      <c r="E836">
        <f>MIN(B836,C836)*Assumptions!$B$2</f>
        <v>10.050000000000001</v>
      </c>
      <c r="F836">
        <f>MAX(C836-B836,0)*Assumptions!$B$2</f>
        <v>0.55660171779821077</v>
      </c>
      <c r="G836">
        <f>MAX(B836-C836,0)*Assumptions!$B$2</f>
        <v>0</v>
      </c>
    </row>
    <row r="837" spans="1:7" x14ac:dyDescent="0.3">
      <c r="A837" s="5">
        <f>Raw_Load_Data!A837</f>
        <v>46221.395833335358</v>
      </c>
      <c r="B837">
        <f>Raw_Load_Data!B837</f>
        <v>14.2</v>
      </c>
      <c r="C837">
        <f>MAX(0,IF(AND(HOUR(A837)&gt;=6,HOUR(A837)&lt;=18),Assumptions!$B$8*SIN(PI()*(HOUR(A837)+MINUTE(A837)/60-6)/12),0))</f>
        <v>23.800600208737055</v>
      </c>
      <c r="D837">
        <f t="shared" si="13"/>
        <v>-9.6006002087370561</v>
      </c>
      <c r="E837">
        <f>MIN(B837,C837)*Assumptions!$B$2</f>
        <v>7.1</v>
      </c>
      <c r="F837">
        <f>MAX(C837-B837,0)*Assumptions!$B$2</f>
        <v>4.8003001043685281</v>
      </c>
      <c r="G837">
        <f>MAX(B837-C837,0)*Assumptions!$B$2</f>
        <v>0</v>
      </c>
    </row>
    <row r="838" spans="1:7" x14ac:dyDescent="0.3">
      <c r="A838" s="5">
        <f>Raw_Load_Data!A838</f>
        <v>46221.416666668694</v>
      </c>
      <c r="B838">
        <f>Raw_Load_Data!B838</f>
        <v>14.3</v>
      </c>
      <c r="C838">
        <f>MAX(0,IF(AND(HOUR(A838)&gt;=6,HOUR(A838)&lt;=18),Assumptions!$B$8*SIN(PI()*(HOUR(A838)+MINUTE(A838)/60-6)/12),0))</f>
        <v>25.980762113533157</v>
      </c>
      <c r="D838">
        <f t="shared" si="13"/>
        <v>-11.680762113533156</v>
      </c>
      <c r="E838">
        <f>MIN(B838,C838)*Assumptions!$B$2</f>
        <v>7.15</v>
      </c>
      <c r="F838">
        <f>MAX(C838-B838,0)*Assumptions!$B$2</f>
        <v>5.8403810567665779</v>
      </c>
      <c r="G838">
        <f>MAX(B838-C838,0)*Assumptions!$B$2</f>
        <v>0</v>
      </c>
    </row>
    <row r="839" spans="1:7" x14ac:dyDescent="0.3">
      <c r="A839" s="5">
        <f>Raw_Load_Data!A839</f>
        <v>46221.43750000203</v>
      </c>
      <c r="B839">
        <f>Raw_Load_Data!B839</f>
        <v>13.5</v>
      </c>
      <c r="C839">
        <f>MAX(0,IF(AND(HOUR(A839)&gt;=6,HOUR(A839)&lt;=18),Assumptions!$B$8*SIN(PI()*(HOUR(A839)+MINUTE(A839)/60-6)/12),0))</f>
        <v>27.716385975338603</v>
      </c>
      <c r="D839">
        <f t="shared" si="13"/>
        <v>-14.216385975338603</v>
      </c>
      <c r="E839">
        <f>MIN(B839,C839)*Assumptions!$B$2</f>
        <v>6.75</v>
      </c>
      <c r="F839">
        <f>MAX(C839-B839,0)*Assumptions!$B$2</f>
        <v>7.1081929876693017</v>
      </c>
      <c r="G839">
        <f>MAX(B839-C839,0)*Assumptions!$B$2</f>
        <v>0</v>
      </c>
    </row>
    <row r="840" spans="1:7" x14ac:dyDescent="0.3">
      <c r="A840" s="5">
        <f>Raw_Load_Data!A840</f>
        <v>46221.458333335366</v>
      </c>
      <c r="B840">
        <f>Raw_Load_Data!B840</f>
        <v>13</v>
      </c>
      <c r="C840">
        <f>MAX(0,IF(AND(HOUR(A840)&gt;=6,HOUR(A840)&lt;=18),Assumptions!$B$8*SIN(PI()*(HOUR(A840)+MINUTE(A840)/60-6)/12),0))</f>
        <v>28.97777478867205</v>
      </c>
      <c r="D840">
        <f t="shared" si="13"/>
        <v>-15.97777478867205</v>
      </c>
      <c r="E840">
        <f>MIN(B840,C840)*Assumptions!$B$2</f>
        <v>6.5</v>
      </c>
      <c r="F840">
        <f>MAX(C840-B840,0)*Assumptions!$B$2</f>
        <v>7.9888873943360252</v>
      </c>
      <c r="G840">
        <f>MAX(B840-C840,0)*Assumptions!$B$2</f>
        <v>0</v>
      </c>
    </row>
    <row r="841" spans="1:7" x14ac:dyDescent="0.3">
      <c r="A841" s="5">
        <f>Raw_Load_Data!A841</f>
        <v>46221.479166668702</v>
      </c>
      <c r="B841">
        <f>Raw_Load_Data!B841</f>
        <v>20.2</v>
      </c>
      <c r="C841">
        <f>MAX(0,IF(AND(HOUR(A841)&gt;=6,HOUR(A841)&lt;=18),Assumptions!$B$8*SIN(PI()*(HOUR(A841)+MINUTE(A841)/60-6)/12),0))</f>
        <v>29.74334584121431</v>
      </c>
      <c r="D841">
        <f t="shared" si="13"/>
        <v>-9.5433458412143111</v>
      </c>
      <c r="E841">
        <f>MIN(B841,C841)*Assumptions!$B$2</f>
        <v>10.1</v>
      </c>
      <c r="F841">
        <f>MAX(C841-B841,0)*Assumptions!$B$2</f>
        <v>4.7716729206071555</v>
      </c>
      <c r="G841">
        <f>MAX(B841-C841,0)*Assumptions!$B$2</f>
        <v>0</v>
      </c>
    </row>
    <row r="842" spans="1:7" x14ac:dyDescent="0.3">
      <c r="A842" s="5">
        <f>Raw_Load_Data!A842</f>
        <v>46221.500000002037</v>
      </c>
      <c r="B842">
        <f>Raw_Load_Data!B842</f>
        <v>23.9</v>
      </c>
      <c r="C842">
        <f>MAX(0,IF(AND(HOUR(A842)&gt;=6,HOUR(A842)&lt;=18),Assumptions!$B$8*SIN(PI()*(HOUR(A842)+MINUTE(A842)/60-6)/12),0))</f>
        <v>30</v>
      </c>
      <c r="D842">
        <f t="shared" si="13"/>
        <v>-6.1000000000000014</v>
      </c>
      <c r="E842">
        <f>MIN(B842,C842)*Assumptions!$B$2</f>
        <v>11.95</v>
      </c>
      <c r="F842">
        <f>MAX(C842-B842,0)*Assumptions!$B$2</f>
        <v>3.0500000000000007</v>
      </c>
      <c r="G842">
        <f>MAX(B842-C842,0)*Assumptions!$B$2</f>
        <v>0</v>
      </c>
    </row>
    <row r="843" spans="1:7" x14ac:dyDescent="0.3">
      <c r="A843" s="5">
        <f>Raw_Load_Data!A843</f>
        <v>46221.520833335373</v>
      </c>
      <c r="B843">
        <f>Raw_Load_Data!B843</f>
        <v>29.8</v>
      </c>
      <c r="C843">
        <f>MAX(0,IF(AND(HOUR(A843)&gt;=6,HOUR(A843)&lt;=18),Assumptions!$B$8*SIN(PI()*(HOUR(A843)+MINUTE(A843)/60-6)/12),0))</f>
        <v>29.74334584121431</v>
      </c>
      <c r="D843">
        <f t="shared" si="13"/>
        <v>5.6654158785690356E-2</v>
      </c>
      <c r="E843">
        <f>MIN(B843,C843)*Assumptions!$B$2</f>
        <v>14.871672920607155</v>
      </c>
      <c r="F843">
        <f>MAX(C843-B843,0)*Assumptions!$B$2</f>
        <v>0</v>
      </c>
      <c r="G843">
        <f>MAX(B843-C843,0)*Assumptions!$B$2</f>
        <v>2.8327079392845178E-2</v>
      </c>
    </row>
    <row r="844" spans="1:7" x14ac:dyDescent="0.3">
      <c r="A844" s="5">
        <f>Raw_Load_Data!A844</f>
        <v>46221.541666668709</v>
      </c>
      <c r="B844">
        <f>Raw_Load_Data!B844</f>
        <v>26.3</v>
      </c>
      <c r="C844">
        <f>MAX(0,IF(AND(HOUR(A844)&gt;=6,HOUR(A844)&lt;=18),Assumptions!$B$8*SIN(PI()*(HOUR(A844)+MINUTE(A844)/60-6)/12),0))</f>
        <v>28.97777478867205</v>
      </c>
      <c r="D844">
        <f t="shared" si="13"/>
        <v>-2.6777747886720498</v>
      </c>
      <c r="E844">
        <f>MIN(B844,C844)*Assumptions!$B$2</f>
        <v>13.15</v>
      </c>
      <c r="F844">
        <f>MAX(C844-B844,0)*Assumptions!$B$2</f>
        <v>1.3388873943360249</v>
      </c>
      <c r="G844">
        <f>MAX(B844-C844,0)*Assumptions!$B$2</f>
        <v>0</v>
      </c>
    </row>
    <row r="845" spans="1:7" x14ac:dyDescent="0.3">
      <c r="A845" s="5">
        <f>Raw_Load_Data!A845</f>
        <v>46221.562500002045</v>
      </c>
      <c r="B845">
        <f>Raw_Load_Data!B845</f>
        <v>29.1</v>
      </c>
      <c r="C845">
        <f>MAX(0,IF(AND(HOUR(A845)&gt;=6,HOUR(A845)&lt;=18),Assumptions!$B$8*SIN(PI()*(HOUR(A845)+MINUTE(A845)/60-6)/12),0))</f>
        <v>27.716385975338607</v>
      </c>
      <c r="D845">
        <f t="shared" si="13"/>
        <v>1.3836140246613944</v>
      </c>
      <c r="E845">
        <f>MIN(B845,C845)*Assumptions!$B$2</f>
        <v>13.858192987669304</v>
      </c>
      <c r="F845">
        <f>MAX(C845-B845,0)*Assumptions!$B$2</f>
        <v>0</v>
      </c>
      <c r="G845">
        <f>MAX(B845-C845,0)*Assumptions!$B$2</f>
        <v>0.69180701233069719</v>
      </c>
    </row>
    <row r="846" spans="1:7" x14ac:dyDescent="0.3">
      <c r="A846" s="5">
        <f>Raw_Load_Data!A846</f>
        <v>46221.58333333538</v>
      </c>
      <c r="B846">
        <f>Raw_Load_Data!B846</f>
        <v>29.9</v>
      </c>
      <c r="C846">
        <f>MAX(0,IF(AND(HOUR(A846)&gt;=6,HOUR(A846)&lt;=18),Assumptions!$B$8*SIN(PI()*(HOUR(A846)+MINUTE(A846)/60-6)/12),0))</f>
        <v>25.98076211353316</v>
      </c>
      <c r="D846">
        <f t="shared" si="13"/>
        <v>3.9192378864668385</v>
      </c>
      <c r="E846">
        <f>MIN(B846,C846)*Assumptions!$B$2</f>
        <v>12.99038105676658</v>
      </c>
      <c r="F846">
        <f>MAX(C846-B846,0)*Assumptions!$B$2</f>
        <v>0</v>
      </c>
      <c r="G846">
        <f>MAX(B846-C846,0)*Assumptions!$B$2</f>
        <v>1.9596189432334192</v>
      </c>
    </row>
    <row r="847" spans="1:7" x14ac:dyDescent="0.3">
      <c r="A847" s="5">
        <f>Raw_Load_Data!A847</f>
        <v>46221.604166668716</v>
      </c>
      <c r="B847">
        <f>Raw_Load_Data!B847</f>
        <v>31.7</v>
      </c>
      <c r="C847">
        <f>MAX(0,IF(AND(HOUR(A847)&gt;=6,HOUR(A847)&lt;=18),Assumptions!$B$8*SIN(PI()*(HOUR(A847)+MINUTE(A847)/60-6)/12),0))</f>
        <v>23.800600208737055</v>
      </c>
      <c r="D847">
        <f t="shared" si="13"/>
        <v>7.8993997912629439</v>
      </c>
      <c r="E847">
        <f>MIN(B847,C847)*Assumptions!$B$2</f>
        <v>11.900300104368528</v>
      </c>
      <c r="F847">
        <f>MAX(C847-B847,0)*Assumptions!$B$2</f>
        <v>0</v>
      </c>
      <c r="G847">
        <f>MAX(B847-C847,0)*Assumptions!$B$2</f>
        <v>3.9496998956314719</v>
      </c>
    </row>
    <row r="848" spans="1:7" x14ac:dyDescent="0.3">
      <c r="A848" s="5">
        <f>Raw_Load_Data!A848</f>
        <v>46221.625000002052</v>
      </c>
      <c r="B848">
        <f>Raw_Load_Data!B848</f>
        <v>28.8</v>
      </c>
      <c r="C848">
        <f>MAX(0,IF(AND(HOUR(A848)&gt;=6,HOUR(A848)&lt;=18),Assumptions!$B$8*SIN(PI()*(HOUR(A848)+MINUTE(A848)/60-6)/12),0))</f>
        <v>21.213203435596427</v>
      </c>
      <c r="D848">
        <f t="shared" si="13"/>
        <v>7.5867965644035742</v>
      </c>
      <c r="E848">
        <f>MIN(B848,C848)*Assumptions!$B$2</f>
        <v>10.606601717798213</v>
      </c>
      <c r="F848">
        <f>MAX(C848-B848,0)*Assumptions!$B$2</f>
        <v>0</v>
      </c>
      <c r="G848">
        <f>MAX(B848-C848,0)*Assumptions!$B$2</f>
        <v>3.7933982822017871</v>
      </c>
    </row>
    <row r="849" spans="1:7" x14ac:dyDescent="0.3">
      <c r="A849" s="5">
        <f>Raw_Load_Data!A849</f>
        <v>46221.645833335388</v>
      </c>
      <c r="B849">
        <f>Raw_Load_Data!B849</f>
        <v>18.2</v>
      </c>
      <c r="C849">
        <f>MAX(0,IF(AND(HOUR(A849)&gt;=6,HOUR(A849)&lt;=18),Assumptions!$B$8*SIN(PI()*(HOUR(A849)+MINUTE(A849)/60-6)/12),0))</f>
        <v>18.262842870261625</v>
      </c>
      <c r="D849">
        <f t="shared" si="13"/>
        <v>-6.284287026162616E-2</v>
      </c>
      <c r="E849">
        <f>MIN(B849,C849)*Assumptions!$B$2</f>
        <v>9.1</v>
      </c>
      <c r="F849">
        <f>MAX(C849-B849,0)*Assumptions!$B$2</f>
        <v>3.142143513081308E-2</v>
      </c>
      <c r="G849">
        <f>MAX(B849-C849,0)*Assumptions!$B$2</f>
        <v>0</v>
      </c>
    </row>
    <row r="850" spans="1:7" x14ac:dyDescent="0.3">
      <c r="A850" s="5">
        <f>Raw_Load_Data!A850</f>
        <v>46221.666666668723</v>
      </c>
      <c r="B850">
        <f>Raw_Load_Data!B850</f>
        <v>10.1</v>
      </c>
      <c r="C850">
        <f>MAX(0,IF(AND(HOUR(A850)&gt;=6,HOUR(A850)&lt;=18),Assumptions!$B$8*SIN(PI()*(HOUR(A850)+MINUTE(A850)/60-6)/12),0))</f>
        <v>14.999999999999998</v>
      </c>
      <c r="D850">
        <f t="shared" si="13"/>
        <v>-4.8999999999999986</v>
      </c>
      <c r="E850">
        <f>MIN(B850,C850)*Assumptions!$B$2</f>
        <v>5.05</v>
      </c>
      <c r="F850">
        <f>MAX(C850-B850,0)*Assumptions!$B$2</f>
        <v>2.4499999999999993</v>
      </c>
      <c r="G850">
        <f>MAX(B850-C850,0)*Assumptions!$B$2</f>
        <v>0</v>
      </c>
    </row>
    <row r="851" spans="1:7" x14ac:dyDescent="0.3">
      <c r="A851" s="5">
        <f>Raw_Load_Data!A851</f>
        <v>46221.687500002059</v>
      </c>
      <c r="B851">
        <f>Raw_Load_Data!B851</f>
        <v>13.4</v>
      </c>
      <c r="C851">
        <f>MAX(0,IF(AND(HOUR(A851)&gt;=6,HOUR(A851)&lt;=18),Assumptions!$B$8*SIN(PI()*(HOUR(A851)+MINUTE(A851)/60-6)/12),0))</f>
        <v>11.480502970952697</v>
      </c>
      <c r="D851">
        <f t="shared" si="13"/>
        <v>1.919497029047303</v>
      </c>
      <c r="E851">
        <f>MIN(B851,C851)*Assumptions!$B$2</f>
        <v>5.7402514854763487</v>
      </c>
      <c r="F851">
        <f>MAX(C851-B851,0)*Assumptions!$B$2</f>
        <v>0</v>
      </c>
      <c r="G851">
        <f>MAX(B851-C851,0)*Assumptions!$B$2</f>
        <v>0.95974851452365151</v>
      </c>
    </row>
    <row r="852" spans="1:7" x14ac:dyDescent="0.3">
      <c r="A852" s="5">
        <f>Raw_Load_Data!A852</f>
        <v>46221.708333335395</v>
      </c>
      <c r="B852">
        <f>Raw_Load_Data!B852</f>
        <v>14.3</v>
      </c>
      <c r="C852">
        <f>MAX(0,IF(AND(HOUR(A852)&gt;=6,HOUR(A852)&lt;=18),Assumptions!$B$8*SIN(PI()*(HOUR(A852)+MINUTE(A852)/60-6)/12),0))</f>
        <v>7.7645713530756302</v>
      </c>
      <c r="D852">
        <f t="shared" si="13"/>
        <v>6.5354286469243705</v>
      </c>
      <c r="E852">
        <f>MIN(B852,C852)*Assumptions!$B$2</f>
        <v>3.8822856765378151</v>
      </c>
      <c r="F852">
        <f>MAX(C852-B852,0)*Assumptions!$B$2</f>
        <v>0</v>
      </c>
      <c r="G852">
        <f>MAX(B852-C852,0)*Assumptions!$B$2</f>
        <v>3.2677143234621853</v>
      </c>
    </row>
    <row r="853" spans="1:7" x14ac:dyDescent="0.3">
      <c r="A853" s="5">
        <f>Raw_Load_Data!A853</f>
        <v>46221.729166668731</v>
      </c>
      <c r="B853">
        <f>Raw_Load_Data!B853</f>
        <v>12.5</v>
      </c>
      <c r="C853">
        <f>MAX(0,IF(AND(HOUR(A853)&gt;=6,HOUR(A853)&lt;=18),Assumptions!$B$8*SIN(PI()*(HOUR(A853)+MINUTE(A853)/60-6)/12),0))</f>
        <v>3.9157857666015596</v>
      </c>
      <c r="D853">
        <f t="shared" si="13"/>
        <v>8.5842142333984413</v>
      </c>
      <c r="E853">
        <f>MIN(B853,C853)*Assumptions!$B$2</f>
        <v>1.9578928833007798</v>
      </c>
      <c r="F853">
        <f>MAX(C853-B853,0)*Assumptions!$B$2</f>
        <v>0</v>
      </c>
      <c r="G853">
        <f>MAX(B853-C853,0)*Assumptions!$B$2</f>
        <v>4.2921071166992206</v>
      </c>
    </row>
    <row r="854" spans="1:7" x14ac:dyDescent="0.3">
      <c r="A854" s="5">
        <f>Raw_Load_Data!A854</f>
        <v>46221.750000002066</v>
      </c>
      <c r="B854">
        <f>Raw_Load_Data!B854</f>
        <v>17</v>
      </c>
      <c r="C854">
        <f>MAX(0,IF(AND(HOUR(A854)&gt;=6,HOUR(A854)&lt;=18),Assumptions!$B$8*SIN(PI()*(HOUR(A854)+MINUTE(A854)/60-6)/12),0))</f>
        <v>3.67544536472586E-15</v>
      </c>
      <c r="D854">
        <f t="shared" si="13"/>
        <v>16.999999999999996</v>
      </c>
      <c r="E854">
        <f>MIN(B854,C854)*Assumptions!$B$2</f>
        <v>1.83772268236293E-15</v>
      </c>
      <c r="F854">
        <f>MAX(C854-B854,0)*Assumptions!$B$2</f>
        <v>0</v>
      </c>
      <c r="G854">
        <f>MAX(B854-C854,0)*Assumptions!$B$2</f>
        <v>8.4999999999999982</v>
      </c>
    </row>
    <row r="855" spans="1:7" x14ac:dyDescent="0.3">
      <c r="A855" s="5">
        <f>Raw_Load_Data!A855</f>
        <v>46221.770833335402</v>
      </c>
      <c r="B855">
        <f>Raw_Load_Data!B855</f>
        <v>12.7</v>
      </c>
      <c r="C855">
        <f>MAX(0,IF(AND(HOUR(A855)&gt;=6,HOUR(A855)&lt;=18),Assumptions!$B$8*SIN(PI()*(HOUR(A855)+MINUTE(A855)/60-6)/12),0))</f>
        <v>0</v>
      </c>
      <c r="D855">
        <f t="shared" si="13"/>
        <v>12.7</v>
      </c>
      <c r="E855">
        <f>MIN(B855,C855)*Assumptions!$B$2</f>
        <v>0</v>
      </c>
      <c r="F855">
        <f>MAX(C855-B855,0)*Assumptions!$B$2</f>
        <v>0</v>
      </c>
      <c r="G855">
        <f>MAX(B855-C855,0)*Assumptions!$B$2</f>
        <v>6.35</v>
      </c>
    </row>
    <row r="856" spans="1:7" x14ac:dyDescent="0.3">
      <c r="A856" s="5">
        <f>Raw_Load_Data!A856</f>
        <v>46221.791666668738</v>
      </c>
      <c r="B856">
        <f>Raw_Load_Data!B856</f>
        <v>5.8</v>
      </c>
      <c r="C856">
        <f>MAX(0,IF(AND(HOUR(A856)&gt;=6,HOUR(A856)&lt;=18),Assumptions!$B$8*SIN(PI()*(HOUR(A856)+MINUTE(A856)/60-6)/12),0))</f>
        <v>0</v>
      </c>
      <c r="D856">
        <f t="shared" si="13"/>
        <v>5.8</v>
      </c>
      <c r="E856">
        <f>MIN(B856,C856)*Assumptions!$B$2</f>
        <v>0</v>
      </c>
      <c r="F856">
        <f>MAX(C856-B856,0)*Assumptions!$B$2</f>
        <v>0</v>
      </c>
      <c r="G856">
        <f>MAX(B856-C856,0)*Assumptions!$B$2</f>
        <v>2.9</v>
      </c>
    </row>
    <row r="857" spans="1:7" x14ac:dyDescent="0.3">
      <c r="A857" s="5">
        <f>Raw_Load_Data!A857</f>
        <v>46221.812500002074</v>
      </c>
      <c r="B857">
        <f>Raw_Load_Data!B857</f>
        <v>3.2</v>
      </c>
      <c r="C857">
        <f>MAX(0,IF(AND(HOUR(A857)&gt;=6,HOUR(A857)&lt;=18),Assumptions!$B$8*SIN(PI()*(HOUR(A857)+MINUTE(A857)/60-6)/12),0))</f>
        <v>0</v>
      </c>
      <c r="D857">
        <f t="shared" si="13"/>
        <v>3.2</v>
      </c>
      <c r="E857">
        <f>MIN(B857,C857)*Assumptions!$B$2</f>
        <v>0</v>
      </c>
      <c r="F857">
        <f>MAX(C857-B857,0)*Assumptions!$B$2</f>
        <v>0</v>
      </c>
      <c r="G857">
        <f>MAX(B857-C857,0)*Assumptions!$B$2</f>
        <v>1.6</v>
      </c>
    </row>
    <row r="858" spans="1:7" x14ac:dyDescent="0.3">
      <c r="A858" s="5">
        <f>Raw_Load_Data!A858</f>
        <v>46221.833333335409</v>
      </c>
      <c r="B858">
        <f>Raw_Load_Data!B858</f>
        <v>7.4</v>
      </c>
      <c r="C858">
        <f>MAX(0,IF(AND(HOUR(A858)&gt;=6,HOUR(A858)&lt;=18),Assumptions!$B$8*SIN(PI()*(HOUR(A858)+MINUTE(A858)/60-6)/12),0))</f>
        <v>0</v>
      </c>
      <c r="D858">
        <f t="shared" si="13"/>
        <v>7.4</v>
      </c>
      <c r="E858">
        <f>MIN(B858,C858)*Assumptions!$B$2</f>
        <v>0</v>
      </c>
      <c r="F858">
        <f>MAX(C858-B858,0)*Assumptions!$B$2</f>
        <v>0</v>
      </c>
      <c r="G858">
        <f>MAX(B858-C858,0)*Assumptions!$B$2</f>
        <v>3.7</v>
      </c>
    </row>
    <row r="859" spans="1:7" x14ac:dyDescent="0.3">
      <c r="A859" s="5">
        <f>Raw_Load_Data!A859</f>
        <v>46221.854166668745</v>
      </c>
      <c r="B859">
        <f>Raw_Load_Data!B859</f>
        <v>4.3</v>
      </c>
      <c r="C859">
        <f>MAX(0,IF(AND(HOUR(A859)&gt;=6,HOUR(A859)&lt;=18),Assumptions!$B$8*SIN(PI()*(HOUR(A859)+MINUTE(A859)/60-6)/12),0))</f>
        <v>0</v>
      </c>
      <c r="D859">
        <f t="shared" si="13"/>
        <v>4.3</v>
      </c>
      <c r="E859">
        <f>MIN(B859,C859)*Assumptions!$B$2</f>
        <v>0</v>
      </c>
      <c r="F859">
        <f>MAX(C859-B859,0)*Assumptions!$B$2</f>
        <v>0</v>
      </c>
      <c r="G859">
        <f>MAX(B859-C859,0)*Assumptions!$B$2</f>
        <v>2.15</v>
      </c>
    </row>
    <row r="860" spans="1:7" x14ac:dyDescent="0.3">
      <c r="A860" s="5">
        <f>Raw_Load_Data!A860</f>
        <v>46221.875000002081</v>
      </c>
      <c r="B860">
        <f>Raw_Load_Data!B860</f>
        <v>6.9</v>
      </c>
      <c r="C860">
        <f>MAX(0,IF(AND(HOUR(A860)&gt;=6,HOUR(A860)&lt;=18),Assumptions!$B$8*SIN(PI()*(HOUR(A860)+MINUTE(A860)/60-6)/12),0))</f>
        <v>0</v>
      </c>
      <c r="D860">
        <f t="shared" si="13"/>
        <v>6.9</v>
      </c>
      <c r="E860">
        <f>MIN(B860,C860)*Assumptions!$B$2</f>
        <v>0</v>
      </c>
      <c r="F860">
        <f>MAX(C860-B860,0)*Assumptions!$B$2</f>
        <v>0</v>
      </c>
      <c r="G860">
        <f>MAX(B860-C860,0)*Assumptions!$B$2</f>
        <v>3.45</v>
      </c>
    </row>
    <row r="861" spans="1:7" x14ac:dyDescent="0.3">
      <c r="A861" s="5">
        <f>Raw_Load_Data!A861</f>
        <v>46221.895833335417</v>
      </c>
      <c r="B861">
        <f>Raw_Load_Data!B861</f>
        <v>7.7</v>
      </c>
      <c r="C861">
        <f>MAX(0,IF(AND(HOUR(A861)&gt;=6,HOUR(A861)&lt;=18),Assumptions!$B$8*SIN(PI()*(HOUR(A861)+MINUTE(A861)/60-6)/12),0))</f>
        <v>0</v>
      </c>
      <c r="D861">
        <f t="shared" si="13"/>
        <v>7.7</v>
      </c>
      <c r="E861">
        <f>MIN(B861,C861)*Assumptions!$B$2</f>
        <v>0</v>
      </c>
      <c r="F861">
        <f>MAX(C861-B861,0)*Assumptions!$B$2</f>
        <v>0</v>
      </c>
      <c r="G861">
        <f>MAX(B861-C861,0)*Assumptions!$B$2</f>
        <v>3.85</v>
      </c>
    </row>
    <row r="862" spans="1:7" x14ac:dyDescent="0.3">
      <c r="A862" s="5">
        <f>Raw_Load_Data!A862</f>
        <v>46221.916666668752</v>
      </c>
      <c r="B862">
        <f>Raw_Load_Data!B862</f>
        <v>5.2</v>
      </c>
      <c r="C862">
        <f>MAX(0,IF(AND(HOUR(A862)&gt;=6,HOUR(A862)&lt;=18),Assumptions!$B$8*SIN(PI()*(HOUR(A862)+MINUTE(A862)/60-6)/12),0))</f>
        <v>0</v>
      </c>
      <c r="D862">
        <f t="shared" si="13"/>
        <v>5.2</v>
      </c>
      <c r="E862">
        <f>MIN(B862,C862)*Assumptions!$B$2</f>
        <v>0</v>
      </c>
      <c r="F862">
        <f>MAX(C862-B862,0)*Assumptions!$B$2</f>
        <v>0</v>
      </c>
      <c r="G862">
        <f>MAX(B862-C862,0)*Assumptions!$B$2</f>
        <v>2.6</v>
      </c>
    </row>
    <row r="863" spans="1:7" x14ac:dyDescent="0.3">
      <c r="A863" s="5">
        <f>Raw_Load_Data!A863</f>
        <v>46221.937500002088</v>
      </c>
      <c r="B863">
        <f>Raw_Load_Data!B863</f>
        <v>3.2</v>
      </c>
      <c r="C863">
        <f>MAX(0,IF(AND(HOUR(A863)&gt;=6,HOUR(A863)&lt;=18),Assumptions!$B$8*SIN(PI()*(HOUR(A863)+MINUTE(A863)/60-6)/12),0))</f>
        <v>0</v>
      </c>
      <c r="D863">
        <f t="shared" si="13"/>
        <v>3.2</v>
      </c>
      <c r="E863">
        <f>MIN(B863,C863)*Assumptions!$B$2</f>
        <v>0</v>
      </c>
      <c r="F863">
        <f>MAX(C863-B863,0)*Assumptions!$B$2</f>
        <v>0</v>
      </c>
      <c r="G863">
        <f>MAX(B863-C863,0)*Assumptions!$B$2</f>
        <v>1.6</v>
      </c>
    </row>
    <row r="864" spans="1:7" x14ac:dyDescent="0.3">
      <c r="A864" s="5">
        <f>Raw_Load_Data!A864</f>
        <v>46221.958333335424</v>
      </c>
      <c r="B864">
        <f>Raw_Load_Data!B864</f>
        <v>4.2</v>
      </c>
      <c r="C864">
        <f>MAX(0,IF(AND(HOUR(A864)&gt;=6,HOUR(A864)&lt;=18),Assumptions!$B$8*SIN(PI()*(HOUR(A864)+MINUTE(A864)/60-6)/12),0))</f>
        <v>0</v>
      </c>
      <c r="D864">
        <f t="shared" si="13"/>
        <v>4.2</v>
      </c>
      <c r="E864">
        <f>MIN(B864,C864)*Assumptions!$B$2</f>
        <v>0</v>
      </c>
      <c r="F864">
        <f>MAX(C864-B864,0)*Assumptions!$B$2</f>
        <v>0</v>
      </c>
      <c r="G864">
        <f>MAX(B864-C864,0)*Assumptions!$B$2</f>
        <v>2.1</v>
      </c>
    </row>
    <row r="865" spans="1:7" x14ac:dyDescent="0.3">
      <c r="A865" s="5">
        <f>Raw_Load_Data!A865</f>
        <v>46221.97916666876</v>
      </c>
      <c r="B865">
        <f>Raw_Load_Data!B865</f>
        <v>5.6</v>
      </c>
      <c r="C865">
        <f>MAX(0,IF(AND(HOUR(A865)&gt;=6,HOUR(A865)&lt;=18),Assumptions!$B$8*SIN(PI()*(HOUR(A865)+MINUTE(A865)/60-6)/12),0))</f>
        <v>0</v>
      </c>
      <c r="D865">
        <f t="shared" si="13"/>
        <v>5.6</v>
      </c>
      <c r="E865">
        <f>MIN(B865,C865)*Assumptions!$B$2</f>
        <v>0</v>
      </c>
      <c r="F865">
        <f>MAX(C865-B865,0)*Assumptions!$B$2</f>
        <v>0</v>
      </c>
      <c r="G865">
        <f>MAX(B865-C865,0)*Assumptions!$B$2</f>
        <v>2.8</v>
      </c>
    </row>
    <row r="866" spans="1:7" x14ac:dyDescent="0.3">
      <c r="A866" s="5">
        <f>Raw_Load_Data!A866</f>
        <v>46222.000000002095</v>
      </c>
      <c r="B866">
        <f>Raw_Load_Data!B866</f>
        <v>3</v>
      </c>
      <c r="C866">
        <f>MAX(0,IF(AND(HOUR(A866)&gt;=6,HOUR(A866)&lt;=18),Assumptions!$B$8*SIN(PI()*(HOUR(A866)+MINUTE(A866)/60-6)/12),0))</f>
        <v>0</v>
      </c>
      <c r="D866">
        <f t="shared" si="13"/>
        <v>3</v>
      </c>
      <c r="E866">
        <f>MIN(B866,C866)*Assumptions!$B$2</f>
        <v>0</v>
      </c>
      <c r="F866">
        <f>MAX(C866-B866,0)*Assumptions!$B$2</f>
        <v>0</v>
      </c>
      <c r="G866">
        <f>MAX(B866-C866,0)*Assumptions!$B$2</f>
        <v>1.5</v>
      </c>
    </row>
    <row r="867" spans="1:7" x14ac:dyDescent="0.3">
      <c r="A867" s="5">
        <f>Raw_Load_Data!A867</f>
        <v>46222.020833335431</v>
      </c>
      <c r="B867">
        <f>Raw_Load_Data!B867</f>
        <v>1.9</v>
      </c>
      <c r="C867">
        <f>MAX(0,IF(AND(HOUR(A867)&gt;=6,HOUR(A867)&lt;=18),Assumptions!$B$8*SIN(PI()*(HOUR(A867)+MINUTE(A867)/60-6)/12),0))</f>
        <v>0</v>
      </c>
      <c r="D867">
        <f t="shared" si="13"/>
        <v>1.9</v>
      </c>
      <c r="E867">
        <f>MIN(B867,C867)*Assumptions!$B$2</f>
        <v>0</v>
      </c>
      <c r="F867">
        <f>MAX(C867-B867,0)*Assumptions!$B$2</f>
        <v>0</v>
      </c>
      <c r="G867">
        <f>MAX(B867-C867,0)*Assumptions!$B$2</f>
        <v>0.95</v>
      </c>
    </row>
    <row r="868" spans="1:7" x14ac:dyDescent="0.3">
      <c r="A868" s="5">
        <f>Raw_Load_Data!A868</f>
        <v>46222.041666668767</v>
      </c>
      <c r="B868">
        <f>Raw_Load_Data!B868</f>
        <v>1.9</v>
      </c>
      <c r="C868">
        <f>MAX(0,IF(AND(HOUR(A868)&gt;=6,HOUR(A868)&lt;=18),Assumptions!$B$8*SIN(PI()*(HOUR(A868)+MINUTE(A868)/60-6)/12),0))</f>
        <v>0</v>
      </c>
      <c r="D868">
        <f t="shared" si="13"/>
        <v>1.9</v>
      </c>
      <c r="E868">
        <f>MIN(B868,C868)*Assumptions!$B$2</f>
        <v>0</v>
      </c>
      <c r="F868">
        <f>MAX(C868-B868,0)*Assumptions!$B$2</f>
        <v>0</v>
      </c>
      <c r="G868">
        <f>MAX(B868-C868,0)*Assumptions!$B$2</f>
        <v>0.95</v>
      </c>
    </row>
    <row r="869" spans="1:7" x14ac:dyDescent="0.3">
      <c r="A869" s="5">
        <f>Raw_Load_Data!A869</f>
        <v>46222.062500002103</v>
      </c>
      <c r="B869">
        <f>Raw_Load_Data!B869</f>
        <v>2.6</v>
      </c>
      <c r="C869">
        <f>MAX(0,IF(AND(HOUR(A869)&gt;=6,HOUR(A869)&lt;=18),Assumptions!$B$8*SIN(PI()*(HOUR(A869)+MINUTE(A869)/60-6)/12),0))</f>
        <v>0</v>
      </c>
      <c r="D869">
        <f t="shared" si="13"/>
        <v>2.6</v>
      </c>
      <c r="E869">
        <f>MIN(B869,C869)*Assumptions!$B$2</f>
        <v>0</v>
      </c>
      <c r="F869">
        <f>MAX(C869-B869,0)*Assumptions!$B$2</f>
        <v>0</v>
      </c>
      <c r="G869">
        <f>MAX(B869-C869,0)*Assumptions!$B$2</f>
        <v>1.3</v>
      </c>
    </row>
    <row r="870" spans="1:7" x14ac:dyDescent="0.3">
      <c r="A870" s="5">
        <f>Raw_Load_Data!A870</f>
        <v>46222.083333335439</v>
      </c>
      <c r="B870">
        <f>Raw_Load_Data!B870</f>
        <v>2.7</v>
      </c>
      <c r="C870">
        <f>MAX(0,IF(AND(HOUR(A870)&gt;=6,HOUR(A870)&lt;=18),Assumptions!$B$8*SIN(PI()*(HOUR(A870)+MINUTE(A870)/60-6)/12),0))</f>
        <v>0</v>
      </c>
      <c r="D870">
        <f t="shared" si="13"/>
        <v>2.7</v>
      </c>
      <c r="E870">
        <f>MIN(B870,C870)*Assumptions!$B$2</f>
        <v>0</v>
      </c>
      <c r="F870">
        <f>MAX(C870-B870,0)*Assumptions!$B$2</f>
        <v>0</v>
      </c>
      <c r="G870">
        <f>MAX(B870-C870,0)*Assumptions!$B$2</f>
        <v>1.35</v>
      </c>
    </row>
    <row r="871" spans="1:7" x14ac:dyDescent="0.3">
      <c r="A871" s="5">
        <f>Raw_Load_Data!A871</f>
        <v>46222.104166668774</v>
      </c>
      <c r="B871">
        <f>Raw_Load_Data!B871</f>
        <v>2.2999999999999998</v>
      </c>
      <c r="C871">
        <f>MAX(0,IF(AND(HOUR(A871)&gt;=6,HOUR(A871)&lt;=18),Assumptions!$B$8*SIN(PI()*(HOUR(A871)+MINUTE(A871)/60-6)/12),0))</f>
        <v>0</v>
      </c>
      <c r="D871">
        <f t="shared" si="13"/>
        <v>2.2999999999999998</v>
      </c>
      <c r="E871">
        <f>MIN(B871,C871)*Assumptions!$B$2</f>
        <v>0</v>
      </c>
      <c r="F871">
        <f>MAX(C871-B871,0)*Assumptions!$B$2</f>
        <v>0</v>
      </c>
      <c r="G871">
        <f>MAX(B871-C871,0)*Assumptions!$B$2</f>
        <v>1.1499999999999999</v>
      </c>
    </row>
    <row r="872" spans="1:7" x14ac:dyDescent="0.3">
      <c r="A872" s="5">
        <f>Raw_Load_Data!A872</f>
        <v>46222.12500000211</v>
      </c>
      <c r="B872">
        <f>Raw_Load_Data!B872</f>
        <v>2.2000000000000002</v>
      </c>
      <c r="C872">
        <f>MAX(0,IF(AND(HOUR(A872)&gt;=6,HOUR(A872)&lt;=18),Assumptions!$B$8*SIN(PI()*(HOUR(A872)+MINUTE(A872)/60-6)/12),0))</f>
        <v>0</v>
      </c>
      <c r="D872">
        <f t="shared" si="13"/>
        <v>2.2000000000000002</v>
      </c>
      <c r="E872">
        <f>MIN(B872,C872)*Assumptions!$B$2</f>
        <v>0</v>
      </c>
      <c r="F872">
        <f>MAX(C872-B872,0)*Assumptions!$B$2</f>
        <v>0</v>
      </c>
      <c r="G872">
        <f>MAX(B872-C872,0)*Assumptions!$B$2</f>
        <v>1.1000000000000001</v>
      </c>
    </row>
    <row r="873" spans="1:7" x14ac:dyDescent="0.3">
      <c r="A873" s="5">
        <f>Raw_Load_Data!A873</f>
        <v>46222.145833335446</v>
      </c>
      <c r="B873">
        <f>Raw_Load_Data!B873</f>
        <v>2.6</v>
      </c>
      <c r="C873">
        <f>MAX(0,IF(AND(HOUR(A873)&gt;=6,HOUR(A873)&lt;=18),Assumptions!$B$8*SIN(PI()*(HOUR(A873)+MINUTE(A873)/60-6)/12),0))</f>
        <v>0</v>
      </c>
      <c r="D873">
        <f t="shared" si="13"/>
        <v>2.6</v>
      </c>
      <c r="E873">
        <f>MIN(B873,C873)*Assumptions!$B$2</f>
        <v>0</v>
      </c>
      <c r="F873">
        <f>MAX(C873-B873,0)*Assumptions!$B$2</f>
        <v>0</v>
      </c>
      <c r="G873">
        <f>MAX(B873-C873,0)*Assumptions!$B$2</f>
        <v>1.3</v>
      </c>
    </row>
    <row r="874" spans="1:7" x14ac:dyDescent="0.3">
      <c r="A874" s="5">
        <f>Raw_Load_Data!A874</f>
        <v>46222.166666668782</v>
      </c>
      <c r="B874">
        <f>Raw_Load_Data!B874</f>
        <v>2.6</v>
      </c>
      <c r="C874">
        <f>MAX(0,IF(AND(HOUR(A874)&gt;=6,HOUR(A874)&lt;=18),Assumptions!$B$8*SIN(PI()*(HOUR(A874)+MINUTE(A874)/60-6)/12),0))</f>
        <v>0</v>
      </c>
      <c r="D874">
        <f t="shared" si="13"/>
        <v>2.6</v>
      </c>
      <c r="E874">
        <f>MIN(B874,C874)*Assumptions!$B$2</f>
        <v>0</v>
      </c>
      <c r="F874">
        <f>MAX(C874-B874,0)*Assumptions!$B$2</f>
        <v>0</v>
      </c>
      <c r="G874">
        <f>MAX(B874-C874,0)*Assumptions!$B$2</f>
        <v>1.3</v>
      </c>
    </row>
    <row r="875" spans="1:7" x14ac:dyDescent="0.3">
      <c r="A875" s="5">
        <f>Raw_Load_Data!A875</f>
        <v>46222.187500002117</v>
      </c>
      <c r="B875">
        <f>Raw_Load_Data!B875</f>
        <v>2</v>
      </c>
      <c r="C875">
        <f>MAX(0,IF(AND(HOUR(A875)&gt;=6,HOUR(A875)&lt;=18),Assumptions!$B$8*SIN(PI()*(HOUR(A875)+MINUTE(A875)/60-6)/12),0))</f>
        <v>0</v>
      </c>
      <c r="D875">
        <f t="shared" si="13"/>
        <v>2</v>
      </c>
      <c r="E875">
        <f>MIN(B875,C875)*Assumptions!$B$2</f>
        <v>0</v>
      </c>
      <c r="F875">
        <f>MAX(C875-B875,0)*Assumptions!$B$2</f>
        <v>0</v>
      </c>
      <c r="G875">
        <f>MAX(B875-C875,0)*Assumptions!$B$2</f>
        <v>1</v>
      </c>
    </row>
    <row r="876" spans="1:7" x14ac:dyDescent="0.3">
      <c r="A876" s="5">
        <f>Raw_Load_Data!A876</f>
        <v>46222.208333335453</v>
      </c>
      <c r="B876">
        <f>Raw_Load_Data!B876</f>
        <v>2.6</v>
      </c>
      <c r="C876">
        <f>MAX(0,IF(AND(HOUR(A876)&gt;=6,HOUR(A876)&lt;=18),Assumptions!$B$8*SIN(PI()*(HOUR(A876)+MINUTE(A876)/60-6)/12),0))</f>
        <v>0</v>
      </c>
      <c r="D876">
        <f t="shared" si="13"/>
        <v>2.6</v>
      </c>
      <c r="E876">
        <f>MIN(B876,C876)*Assumptions!$B$2</f>
        <v>0</v>
      </c>
      <c r="F876">
        <f>MAX(C876-B876,0)*Assumptions!$B$2</f>
        <v>0</v>
      </c>
      <c r="G876">
        <f>MAX(B876-C876,0)*Assumptions!$B$2</f>
        <v>1.3</v>
      </c>
    </row>
    <row r="877" spans="1:7" x14ac:dyDescent="0.3">
      <c r="A877" s="5">
        <f>Raw_Load_Data!A877</f>
        <v>46222.229166668789</v>
      </c>
      <c r="B877">
        <f>Raw_Load_Data!B877</f>
        <v>2.1</v>
      </c>
      <c r="C877">
        <f>MAX(0,IF(AND(HOUR(A877)&gt;=6,HOUR(A877)&lt;=18),Assumptions!$B$8*SIN(PI()*(HOUR(A877)+MINUTE(A877)/60-6)/12),0))</f>
        <v>0</v>
      </c>
      <c r="D877">
        <f t="shared" si="13"/>
        <v>2.1</v>
      </c>
      <c r="E877">
        <f>MIN(B877,C877)*Assumptions!$B$2</f>
        <v>0</v>
      </c>
      <c r="F877">
        <f>MAX(C877-B877,0)*Assumptions!$B$2</f>
        <v>0</v>
      </c>
      <c r="G877">
        <f>MAX(B877-C877,0)*Assumptions!$B$2</f>
        <v>1.05</v>
      </c>
    </row>
    <row r="878" spans="1:7" x14ac:dyDescent="0.3">
      <c r="A878" s="5">
        <f>Raw_Load_Data!A878</f>
        <v>46222.250000002125</v>
      </c>
      <c r="B878">
        <f>Raw_Load_Data!B878</f>
        <v>7.3</v>
      </c>
      <c r="C878">
        <f>MAX(0,IF(AND(HOUR(A878)&gt;=6,HOUR(A878)&lt;=18),Assumptions!$B$8*SIN(PI()*(HOUR(A878)+MINUTE(A878)/60-6)/12),0))</f>
        <v>0</v>
      </c>
      <c r="D878">
        <f t="shared" si="13"/>
        <v>7.3</v>
      </c>
      <c r="E878">
        <f>MIN(B878,C878)*Assumptions!$B$2</f>
        <v>0</v>
      </c>
      <c r="F878">
        <f>MAX(C878-B878,0)*Assumptions!$B$2</f>
        <v>0</v>
      </c>
      <c r="G878">
        <f>MAX(B878-C878,0)*Assumptions!$B$2</f>
        <v>3.65</v>
      </c>
    </row>
    <row r="879" spans="1:7" x14ac:dyDescent="0.3">
      <c r="A879" s="5">
        <f>Raw_Load_Data!A879</f>
        <v>46222.27083333546</v>
      </c>
      <c r="B879">
        <f>Raw_Load_Data!B879</f>
        <v>6.6</v>
      </c>
      <c r="C879">
        <f>MAX(0,IF(AND(HOUR(A879)&gt;=6,HOUR(A879)&lt;=18),Assumptions!$B$8*SIN(PI()*(HOUR(A879)+MINUTE(A879)/60-6)/12),0))</f>
        <v>3.9157857666015472</v>
      </c>
      <c r="D879">
        <f t="shared" si="13"/>
        <v>2.6842142333984524</v>
      </c>
      <c r="E879">
        <f>MIN(B879,C879)*Assumptions!$B$2</f>
        <v>1.9578928833007736</v>
      </c>
      <c r="F879">
        <f>MAX(C879-B879,0)*Assumptions!$B$2</f>
        <v>0</v>
      </c>
      <c r="G879">
        <f>MAX(B879-C879,0)*Assumptions!$B$2</f>
        <v>1.3421071166992262</v>
      </c>
    </row>
    <row r="880" spans="1:7" x14ac:dyDescent="0.3">
      <c r="A880" s="5">
        <f>Raw_Load_Data!A880</f>
        <v>46222.291666668796</v>
      </c>
      <c r="B880">
        <f>Raw_Load_Data!B880</f>
        <v>4</v>
      </c>
      <c r="C880">
        <f>MAX(0,IF(AND(HOUR(A880)&gt;=6,HOUR(A880)&lt;=18),Assumptions!$B$8*SIN(PI()*(HOUR(A880)+MINUTE(A880)/60-6)/12),0))</f>
        <v>7.7645713530756222</v>
      </c>
      <c r="D880">
        <f t="shared" si="13"/>
        <v>-3.7645713530756222</v>
      </c>
      <c r="E880">
        <f>MIN(B880,C880)*Assumptions!$B$2</f>
        <v>2</v>
      </c>
      <c r="F880">
        <f>MAX(C880-B880,0)*Assumptions!$B$2</f>
        <v>1.8822856765378111</v>
      </c>
      <c r="G880">
        <f>MAX(B880-C880,0)*Assumptions!$B$2</f>
        <v>0</v>
      </c>
    </row>
    <row r="881" spans="1:7" x14ac:dyDescent="0.3">
      <c r="A881" s="5">
        <f>Raw_Load_Data!A881</f>
        <v>46222.312500002132</v>
      </c>
      <c r="B881">
        <f>Raw_Load_Data!B881</f>
        <v>5.5</v>
      </c>
      <c r="C881">
        <f>MAX(0,IF(AND(HOUR(A881)&gt;=6,HOUR(A881)&lt;=18),Assumptions!$B$8*SIN(PI()*(HOUR(A881)+MINUTE(A881)/60-6)/12),0))</f>
        <v>11.480502970952694</v>
      </c>
      <c r="D881">
        <f t="shared" si="13"/>
        <v>-5.9805029709526938</v>
      </c>
      <c r="E881">
        <f>MIN(B881,C881)*Assumptions!$B$2</f>
        <v>2.75</v>
      </c>
      <c r="F881">
        <f>MAX(C881-B881,0)*Assumptions!$B$2</f>
        <v>2.9902514854763469</v>
      </c>
      <c r="G881">
        <f>MAX(B881-C881,0)*Assumptions!$B$2</f>
        <v>0</v>
      </c>
    </row>
    <row r="882" spans="1:7" x14ac:dyDescent="0.3">
      <c r="A882" s="5">
        <f>Raw_Load_Data!A882</f>
        <v>46222.333333335468</v>
      </c>
      <c r="B882">
        <f>Raw_Load_Data!B882</f>
        <v>19.899999999999999</v>
      </c>
      <c r="C882">
        <f>MAX(0,IF(AND(HOUR(A882)&gt;=6,HOUR(A882)&lt;=18),Assumptions!$B$8*SIN(PI()*(HOUR(A882)+MINUTE(A882)/60-6)/12),0))</f>
        <v>14.999999999999998</v>
      </c>
      <c r="D882">
        <f t="shared" si="13"/>
        <v>4.9000000000000004</v>
      </c>
      <c r="E882">
        <f>MIN(B882,C882)*Assumptions!$B$2</f>
        <v>7.4999999999999991</v>
      </c>
      <c r="F882">
        <f>MAX(C882-B882,0)*Assumptions!$B$2</f>
        <v>0</v>
      </c>
      <c r="G882">
        <f>MAX(B882-C882,0)*Assumptions!$B$2</f>
        <v>2.4500000000000002</v>
      </c>
    </row>
    <row r="883" spans="1:7" x14ac:dyDescent="0.3">
      <c r="A883" s="5">
        <f>Raw_Load_Data!A883</f>
        <v>46222.354166668803</v>
      </c>
      <c r="B883">
        <f>Raw_Load_Data!B883</f>
        <v>18.100000000000001</v>
      </c>
      <c r="C883">
        <f>MAX(0,IF(AND(HOUR(A883)&gt;=6,HOUR(A883)&lt;=18),Assumptions!$B$8*SIN(PI()*(HOUR(A883)+MINUTE(A883)/60-6)/12),0))</f>
        <v>18.262842870261618</v>
      </c>
      <c r="D883">
        <f t="shared" si="13"/>
        <v>-0.16284287026161692</v>
      </c>
      <c r="E883">
        <f>MIN(B883,C883)*Assumptions!$B$2</f>
        <v>9.0500000000000007</v>
      </c>
      <c r="F883">
        <f>MAX(C883-B883,0)*Assumptions!$B$2</f>
        <v>8.1421435130808462E-2</v>
      </c>
      <c r="G883">
        <f>MAX(B883-C883,0)*Assumptions!$B$2</f>
        <v>0</v>
      </c>
    </row>
    <row r="884" spans="1:7" x14ac:dyDescent="0.3">
      <c r="A884" s="5">
        <f>Raw_Load_Data!A884</f>
        <v>46222.375000002139</v>
      </c>
      <c r="B884">
        <f>Raw_Load_Data!B884</f>
        <v>12.1</v>
      </c>
      <c r="C884">
        <f>MAX(0,IF(AND(HOUR(A884)&gt;=6,HOUR(A884)&lt;=18),Assumptions!$B$8*SIN(PI()*(HOUR(A884)+MINUTE(A884)/60-6)/12),0))</f>
        <v>21.213203435596423</v>
      </c>
      <c r="D884">
        <f t="shared" si="13"/>
        <v>-9.1132034355964233</v>
      </c>
      <c r="E884">
        <f>MIN(B884,C884)*Assumptions!$B$2</f>
        <v>6.05</v>
      </c>
      <c r="F884">
        <f>MAX(C884-B884,0)*Assumptions!$B$2</f>
        <v>4.5566017177982117</v>
      </c>
      <c r="G884">
        <f>MAX(B884-C884,0)*Assumptions!$B$2</f>
        <v>0</v>
      </c>
    </row>
    <row r="885" spans="1:7" x14ac:dyDescent="0.3">
      <c r="A885" s="5">
        <f>Raw_Load_Data!A885</f>
        <v>46222.395833335475</v>
      </c>
      <c r="B885">
        <f>Raw_Load_Data!B885</f>
        <v>16.399999999999999</v>
      </c>
      <c r="C885">
        <f>MAX(0,IF(AND(HOUR(A885)&gt;=6,HOUR(A885)&lt;=18),Assumptions!$B$8*SIN(PI()*(HOUR(A885)+MINUTE(A885)/60-6)/12),0))</f>
        <v>23.800600208737055</v>
      </c>
      <c r="D885">
        <f t="shared" si="13"/>
        <v>-7.4006002087370568</v>
      </c>
      <c r="E885">
        <f>MIN(B885,C885)*Assumptions!$B$2</f>
        <v>8.1999999999999993</v>
      </c>
      <c r="F885">
        <f>MAX(C885-B885,0)*Assumptions!$B$2</f>
        <v>3.7003001043685284</v>
      </c>
      <c r="G885">
        <f>MAX(B885-C885,0)*Assumptions!$B$2</f>
        <v>0</v>
      </c>
    </row>
    <row r="886" spans="1:7" x14ac:dyDescent="0.3">
      <c r="A886" s="5">
        <f>Raw_Load_Data!A886</f>
        <v>46222.416666668811</v>
      </c>
      <c r="B886">
        <f>Raw_Load_Data!B886</f>
        <v>14.2</v>
      </c>
      <c r="C886">
        <f>MAX(0,IF(AND(HOUR(A886)&gt;=6,HOUR(A886)&lt;=18),Assumptions!$B$8*SIN(PI()*(HOUR(A886)+MINUTE(A886)/60-6)/12),0))</f>
        <v>25.980762113533157</v>
      </c>
      <c r="D886">
        <f t="shared" si="13"/>
        <v>-11.780762113533157</v>
      </c>
      <c r="E886">
        <f>MIN(B886,C886)*Assumptions!$B$2</f>
        <v>7.1</v>
      </c>
      <c r="F886">
        <f>MAX(C886-B886,0)*Assumptions!$B$2</f>
        <v>5.8903810567665786</v>
      </c>
      <c r="G886">
        <f>MAX(B886-C886,0)*Assumptions!$B$2</f>
        <v>0</v>
      </c>
    </row>
    <row r="887" spans="1:7" x14ac:dyDescent="0.3">
      <c r="A887" s="5">
        <f>Raw_Load_Data!A887</f>
        <v>46222.437500002146</v>
      </c>
      <c r="B887">
        <f>Raw_Load_Data!B887</f>
        <v>14.1</v>
      </c>
      <c r="C887">
        <f>MAX(0,IF(AND(HOUR(A887)&gt;=6,HOUR(A887)&lt;=18),Assumptions!$B$8*SIN(PI()*(HOUR(A887)+MINUTE(A887)/60-6)/12),0))</f>
        <v>27.716385975338603</v>
      </c>
      <c r="D887">
        <f t="shared" si="13"/>
        <v>-13.616385975338604</v>
      </c>
      <c r="E887">
        <f>MIN(B887,C887)*Assumptions!$B$2</f>
        <v>7.05</v>
      </c>
      <c r="F887">
        <f>MAX(C887-B887,0)*Assumptions!$B$2</f>
        <v>6.8081929876693019</v>
      </c>
      <c r="G887">
        <f>MAX(B887-C887,0)*Assumptions!$B$2</f>
        <v>0</v>
      </c>
    </row>
    <row r="888" spans="1:7" x14ac:dyDescent="0.3">
      <c r="A888" s="5">
        <f>Raw_Load_Data!A888</f>
        <v>46222.458333335482</v>
      </c>
      <c r="B888">
        <f>Raw_Load_Data!B888</f>
        <v>17.899999999999999</v>
      </c>
      <c r="C888">
        <f>MAX(0,IF(AND(HOUR(A888)&gt;=6,HOUR(A888)&lt;=18),Assumptions!$B$8*SIN(PI()*(HOUR(A888)+MINUTE(A888)/60-6)/12),0))</f>
        <v>28.97777478867205</v>
      </c>
      <c r="D888">
        <f t="shared" si="13"/>
        <v>-11.077774788672052</v>
      </c>
      <c r="E888">
        <f>MIN(B888,C888)*Assumptions!$B$2</f>
        <v>8.9499999999999993</v>
      </c>
      <c r="F888">
        <f>MAX(C888-B888,0)*Assumptions!$B$2</f>
        <v>5.5388873943360259</v>
      </c>
      <c r="G888">
        <f>MAX(B888-C888,0)*Assumptions!$B$2</f>
        <v>0</v>
      </c>
    </row>
    <row r="889" spans="1:7" x14ac:dyDescent="0.3">
      <c r="A889" s="5">
        <f>Raw_Load_Data!A889</f>
        <v>46222.479166668818</v>
      </c>
      <c r="B889">
        <f>Raw_Load_Data!B889</f>
        <v>20.399999999999999</v>
      </c>
      <c r="C889">
        <f>MAX(0,IF(AND(HOUR(A889)&gt;=6,HOUR(A889)&lt;=18),Assumptions!$B$8*SIN(PI()*(HOUR(A889)+MINUTE(A889)/60-6)/12),0))</f>
        <v>29.74334584121431</v>
      </c>
      <c r="D889">
        <f t="shared" si="13"/>
        <v>-9.3433458412143118</v>
      </c>
      <c r="E889">
        <f>MIN(B889,C889)*Assumptions!$B$2</f>
        <v>10.199999999999999</v>
      </c>
      <c r="F889">
        <f>MAX(C889-B889,0)*Assumptions!$B$2</f>
        <v>4.6716729206071559</v>
      </c>
      <c r="G889">
        <f>MAX(B889-C889,0)*Assumptions!$B$2</f>
        <v>0</v>
      </c>
    </row>
    <row r="890" spans="1:7" x14ac:dyDescent="0.3">
      <c r="A890" s="5">
        <f>Raw_Load_Data!A890</f>
        <v>46222.500000002154</v>
      </c>
      <c r="B890">
        <f>Raw_Load_Data!B890</f>
        <v>25.4</v>
      </c>
      <c r="C890">
        <f>MAX(0,IF(AND(HOUR(A890)&gt;=6,HOUR(A890)&lt;=18),Assumptions!$B$8*SIN(PI()*(HOUR(A890)+MINUTE(A890)/60-6)/12),0))</f>
        <v>30</v>
      </c>
      <c r="D890">
        <f t="shared" si="13"/>
        <v>-4.6000000000000014</v>
      </c>
      <c r="E890">
        <f>MIN(B890,C890)*Assumptions!$B$2</f>
        <v>12.7</v>
      </c>
      <c r="F890">
        <f>MAX(C890-B890,0)*Assumptions!$B$2</f>
        <v>2.3000000000000007</v>
      </c>
      <c r="G890">
        <f>MAX(B890-C890,0)*Assumptions!$B$2</f>
        <v>0</v>
      </c>
    </row>
    <row r="891" spans="1:7" x14ac:dyDescent="0.3">
      <c r="A891" s="5">
        <f>Raw_Load_Data!A891</f>
        <v>46222.520833335489</v>
      </c>
      <c r="B891">
        <f>Raw_Load_Data!B891</f>
        <v>19.100000000000001</v>
      </c>
      <c r="C891">
        <f>MAX(0,IF(AND(HOUR(A891)&gt;=6,HOUR(A891)&lt;=18),Assumptions!$B$8*SIN(PI()*(HOUR(A891)+MINUTE(A891)/60-6)/12),0))</f>
        <v>29.74334584121431</v>
      </c>
      <c r="D891">
        <f t="shared" si="13"/>
        <v>-10.643345841214309</v>
      </c>
      <c r="E891">
        <f>MIN(B891,C891)*Assumptions!$B$2</f>
        <v>9.5500000000000007</v>
      </c>
      <c r="F891">
        <f>MAX(C891-B891,0)*Assumptions!$B$2</f>
        <v>5.3216729206071545</v>
      </c>
      <c r="G891">
        <f>MAX(B891-C891,0)*Assumptions!$B$2</f>
        <v>0</v>
      </c>
    </row>
    <row r="892" spans="1:7" x14ac:dyDescent="0.3">
      <c r="A892" s="5">
        <f>Raw_Load_Data!A892</f>
        <v>46222.541666668825</v>
      </c>
      <c r="B892">
        <f>Raw_Load_Data!B892</f>
        <v>20</v>
      </c>
      <c r="C892">
        <f>MAX(0,IF(AND(HOUR(A892)&gt;=6,HOUR(A892)&lt;=18),Assumptions!$B$8*SIN(PI()*(HOUR(A892)+MINUTE(A892)/60-6)/12),0))</f>
        <v>28.97777478867205</v>
      </c>
      <c r="D892">
        <f t="shared" si="13"/>
        <v>-8.9777747886720505</v>
      </c>
      <c r="E892">
        <f>MIN(B892,C892)*Assumptions!$B$2</f>
        <v>10</v>
      </c>
      <c r="F892">
        <f>MAX(C892-B892,0)*Assumptions!$B$2</f>
        <v>4.4888873943360252</v>
      </c>
      <c r="G892">
        <f>MAX(B892-C892,0)*Assumptions!$B$2</f>
        <v>0</v>
      </c>
    </row>
    <row r="893" spans="1:7" x14ac:dyDescent="0.3">
      <c r="A893" s="5">
        <f>Raw_Load_Data!A893</f>
        <v>46222.562500002161</v>
      </c>
      <c r="B893">
        <f>Raw_Load_Data!B893</f>
        <v>20.100000000000001</v>
      </c>
      <c r="C893">
        <f>MAX(0,IF(AND(HOUR(A893)&gt;=6,HOUR(A893)&lt;=18),Assumptions!$B$8*SIN(PI()*(HOUR(A893)+MINUTE(A893)/60-6)/12),0))</f>
        <v>27.716385975338607</v>
      </c>
      <c r="D893">
        <f t="shared" si="13"/>
        <v>-7.6163859753386056</v>
      </c>
      <c r="E893">
        <f>MIN(B893,C893)*Assumptions!$B$2</f>
        <v>10.050000000000001</v>
      </c>
      <c r="F893">
        <f>MAX(C893-B893,0)*Assumptions!$B$2</f>
        <v>3.8081929876693028</v>
      </c>
      <c r="G893">
        <f>MAX(B893-C893,0)*Assumptions!$B$2</f>
        <v>0</v>
      </c>
    </row>
    <row r="894" spans="1:7" x14ac:dyDescent="0.3">
      <c r="A894" s="5">
        <f>Raw_Load_Data!A894</f>
        <v>46222.583333335497</v>
      </c>
      <c r="B894">
        <f>Raw_Load_Data!B894</f>
        <v>29.9</v>
      </c>
      <c r="C894">
        <f>MAX(0,IF(AND(HOUR(A894)&gt;=6,HOUR(A894)&lt;=18),Assumptions!$B$8*SIN(PI()*(HOUR(A894)+MINUTE(A894)/60-6)/12),0))</f>
        <v>25.98076211353316</v>
      </c>
      <c r="D894">
        <f t="shared" si="13"/>
        <v>3.9192378864668385</v>
      </c>
      <c r="E894">
        <f>MIN(B894,C894)*Assumptions!$B$2</f>
        <v>12.99038105676658</v>
      </c>
      <c r="F894">
        <f>MAX(C894-B894,0)*Assumptions!$B$2</f>
        <v>0</v>
      </c>
      <c r="G894">
        <f>MAX(B894-C894,0)*Assumptions!$B$2</f>
        <v>1.9596189432334192</v>
      </c>
    </row>
    <row r="895" spans="1:7" x14ac:dyDescent="0.3">
      <c r="A895" s="5">
        <f>Raw_Load_Data!A895</f>
        <v>46222.604166668832</v>
      </c>
      <c r="B895">
        <f>Raw_Load_Data!B895</f>
        <v>20.8</v>
      </c>
      <c r="C895">
        <f>MAX(0,IF(AND(HOUR(A895)&gt;=6,HOUR(A895)&lt;=18),Assumptions!$B$8*SIN(PI()*(HOUR(A895)+MINUTE(A895)/60-6)/12),0))</f>
        <v>23.800600208737055</v>
      </c>
      <c r="D895">
        <f t="shared" si="13"/>
        <v>-3.0006002087370547</v>
      </c>
      <c r="E895">
        <f>MIN(B895,C895)*Assumptions!$B$2</f>
        <v>10.4</v>
      </c>
      <c r="F895">
        <f>MAX(C895-B895,0)*Assumptions!$B$2</f>
        <v>1.5003001043685273</v>
      </c>
      <c r="G895">
        <f>MAX(B895-C895,0)*Assumptions!$B$2</f>
        <v>0</v>
      </c>
    </row>
    <row r="896" spans="1:7" x14ac:dyDescent="0.3">
      <c r="A896" s="5">
        <f>Raw_Load_Data!A896</f>
        <v>46222.625000002168</v>
      </c>
      <c r="B896">
        <f>Raw_Load_Data!B896</f>
        <v>27.8</v>
      </c>
      <c r="C896">
        <f>MAX(0,IF(AND(HOUR(A896)&gt;=6,HOUR(A896)&lt;=18),Assumptions!$B$8*SIN(PI()*(HOUR(A896)+MINUTE(A896)/60-6)/12),0))</f>
        <v>21.213203435596427</v>
      </c>
      <c r="D896">
        <f t="shared" si="13"/>
        <v>6.5867965644035742</v>
      </c>
      <c r="E896">
        <f>MIN(B896,C896)*Assumptions!$B$2</f>
        <v>10.606601717798213</v>
      </c>
      <c r="F896">
        <f>MAX(C896-B896,0)*Assumptions!$B$2</f>
        <v>0</v>
      </c>
      <c r="G896">
        <f>MAX(B896-C896,0)*Assumptions!$B$2</f>
        <v>3.2933982822017871</v>
      </c>
    </row>
    <row r="897" spans="1:7" x14ac:dyDescent="0.3">
      <c r="A897" s="5">
        <f>Raw_Load_Data!A897</f>
        <v>46222.645833335504</v>
      </c>
      <c r="B897">
        <f>Raw_Load_Data!B897</f>
        <v>27.1</v>
      </c>
      <c r="C897">
        <f>MAX(0,IF(AND(HOUR(A897)&gt;=6,HOUR(A897)&lt;=18),Assumptions!$B$8*SIN(PI()*(HOUR(A897)+MINUTE(A897)/60-6)/12),0))</f>
        <v>18.262842870261625</v>
      </c>
      <c r="D897">
        <f t="shared" si="13"/>
        <v>8.837157129738376</v>
      </c>
      <c r="E897">
        <f>MIN(B897,C897)*Assumptions!$B$2</f>
        <v>9.1314214351308127</v>
      </c>
      <c r="F897">
        <f>MAX(C897-B897,0)*Assumptions!$B$2</f>
        <v>0</v>
      </c>
      <c r="G897">
        <f>MAX(B897-C897,0)*Assumptions!$B$2</f>
        <v>4.418578564869188</v>
      </c>
    </row>
    <row r="898" spans="1:7" x14ac:dyDescent="0.3">
      <c r="A898" s="5">
        <f>Raw_Load_Data!A898</f>
        <v>46222.66666666884</v>
      </c>
      <c r="B898">
        <f>Raw_Load_Data!B898</f>
        <v>13.8</v>
      </c>
      <c r="C898">
        <f>MAX(0,IF(AND(HOUR(A898)&gt;=6,HOUR(A898)&lt;=18),Assumptions!$B$8*SIN(PI()*(HOUR(A898)+MINUTE(A898)/60-6)/12),0))</f>
        <v>14.999999999999998</v>
      </c>
      <c r="D898">
        <f t="shared" si="13"/>
        <v>-1.1999999999999975</v>
      </c>
      <c r="E898">
        <f>MIN(B898,C898)*Assumptions!$B$2</f>
        <v>6.9</v>
      </c>
      <c r="F898">
        <f>MAX(C898-B898,0)*Assumptions!$B$2</f>
        <v>0.59999999999999876</v>
      </c>
      <c r="G898">
        <f>MAX(B898-C898,0)*Assumptions!$B$2</f>
        <v>0</v>
      </c>
    </row>
    <row r="899" spans="1:7" x14ac:dyDescent="0.3">
      <c r="A899" s="5">
        <f>Raw_Load_Data!A899</f>
        <v>46222.687500002176</v>
      </c>
      <c r="B899">
        <f>Raw_Load_Data!B899</f>
        <v>18.8</v>
      </c>
      <c r="C899">
        <f>MAX(0,IF(AND(HOUR(A899)&gt;=6,HOUR(A899)&lt;=18),Assumptions!$B$8*SIN(PI()*(HOUR(A899)+MINUTE(A899)/60-6)/12),0))</f>
        <v>11.480502970952697</v>
      </c>
      <c r="D899">
        <f t="shared" ref="D899:D962" si="14">B899-C899</f>
        <v>7.3194970290473034</v>
      </c>
      <c r="E899">
        <f>MIN(B899,C899)*Assumptions!$B$2</f>
        <v>5.7402514854763487</v>
      </c>
      <c r="F899">
        <f>MAX(C899-B899,0)*Assumptions!$B$2</f>
        <v>0</v>
      </c>
      <c r="G899">
        <f>MAX(B899-C899,0)*Assumptions!$B$2</f>
        <v>3.6597485145236517</v>
      </c>
    </row>
    <row r="900" spans="1:7" x14ac:dyDescent="0.3">
      <c r="A900" s="5">
        <f>Raw_Load_Data!A900</f>
        <v>46222.708333335511</v>
      </c>
      <c r="B900">
        <f>Raw_Load_Data!B900</f>
        <v>12.8</v>
      </c>
      <c r="C900">
        <f>MAX(0,IF(AND(HOUR(A900)&gt;=6,HOUR(A900)&lt;=18),Assumptions!$B$8*SIN(PI()*(HOUR(A900)+MINUTE(A900)/60-6)/12),0))</f>
        <v>7.7645713530756302</v>
      </c>
      <c r="D900">
        <f t="shared" si="14"/>
        <v>5.0354286469243705</v>
      </c>
      <c r="E900">
        <f>MIN(B900,C900)*Assumptions!$B$2</f>
        <v>3.8822856765378151</v>
      </c>
      <c r="F900">
        <f>MAX(C900-B900,0)*Assumptions!$B$2</f>
        <v>0</v>
      </c>
      <c r="G900">
        <f>MAX(B900-C900,0)*Assumptions!$B$2</f>
        <v>2.5177143234621853</v>
      </c>
    </row>
    <row r="901" spans="1:7" x14ac:dyDescent="0.3">
      <c r="A901" s="5">
        <f>Raw_Load_Data!A901</f>
        <v>46222.729166668847</v>
      </c>
      <c r="B901">
        <f>Raw_Load_Data!B901</f>
        <v>18.3</v>
      </c>
      <c r="C901">
        <f>MAX(0,IF(AND(HOUR(A901)&gt;=6,HOUR(A901)&lt;=18),Assumptions!$B$8*SIN(PI()*(HOUR(A901)+MINUTE(A901)/60-6)/12),0))</f>
        <v>3.9157857666015596</v>
      </c>
      <c r="D901">
        <f t="shared" si="14"/>
        <v>14.384214233398442</v>
      </c>
      <c r="E901">
        <f>MIN(B901,C901)*Assumptions!$B$2</f>
        <v>1.9578928833007798</v>
      </c>
      <c r="F901">
        <f>MAX(C901-B901,0)*Assumptions!$B$2</f>
        <v>0</v>
      </c>
      <c r="G901">
        <f>MAX(B901-C901,0)*Assumptions!$B$2</f>
        <v>7.192107116699221</v>
      </c>
    </row>
    <row r="902" spans="1:7" x14ac:dyDescent="0.3">
      <c r="A902" s="5">
        <f>Raw_Load_Data!A902</f>
        <v>46222.750000002183</v>
      </c>
      <c r="B902">
        <f>Raw_Load_Data!B902</f>
        <v>13.3</v>
      </c>
      <c r="C902">
        <f>MAX(0,IF(AND(HOUR(A902)&gt;=6,HOUR(A902)&lt;=18),Assumptions!$B$8*SIN(PI()*(HOUR(A902)+MINUTE(A902)/60-6)/12),0))</f>
        <v>3.67544536472586E-15</v>
      </c>
      <c r="D902">
        <f t="shared" si="14"/>
        <v>13.299999999999997</v>
      </c>
      <c r="E902">
        <f>MIN(B902,C902)*Assumptions!$B$2</f>
        <v>1.83772268236293E-15</v>
      </c>
      <c r="F902">
        <f>MAX(C902-B902,0)*Assumptions!$B$2</f>
        <v>0</v>
      </c>
      <c r="G902">
        <f>MAX(B902-C902,0)*Assumptions!$B$2</f>
        <v>6.6499999999999986</v>
      </c>
    </row>
    <row r="903" spans="1:7" x14ac:dyDescent="0.3">
      <c r="A903" s="5">
        <f>Raw_Load_Data!A903</f>
        <v>46222.770833335519</v>
      </c>
      <c r="B903">
        <f>Raw_Load_Data!B903</f>
        <v>10.6</v>
      </c>
      <c r="C903">
        <f>MAX(0,IF(AND(HOUR(A903)&gt;=6,HOUR(A903)&lt;=18),Assumptions!$B$8*SIN(PI()*(HOUR(A903)+MINUTE(A903)/60-6)/12),0))</f>
        <v>0</v>
      </c>
      <c r="D903">
        <f t="shared" si="14"/>
        <v>10.6</v>
      </c>
      <c r="E903">
        <f>MIN(B903,C903)*Assumptions!$B$2</f>
        <v>0</v>
      </c>
      <c r="F903">
        <f>MAX(C903-B903,0)*Assumptions!$B$2</f>
        <v>0</v>
      </c>
      <c r="G903">
        <f>MAX(B903-C903,0)*Assumptions!$B$2</f>
        <v>5.3</v>
      </c>
    </row>
    <row r="904" spans="1:7" x14ac:dyDescent="0.3">
      <c r="A904" s="5">
        <f>Raw_Load_Data!A904</f>
        <v>46222.791666668854</v>
      </c>
      <c r="B904">
        <f>Raw_Load_Data!B904</f>
        <v>7.8</v>
      </c>
      <c r="C904">
        <f>MAX(0,IF(AND(HOUR(A904)&gt;=6,HOUR(A904)&lt;=18),Assumptions!$B$8*SIN(PI()*(HOUR(A904)+MINUTE(A904)/60-6)/12),0))</f>
        <v>0</v>
      </c>
      <c r="D904">
        <f t="shared" si="14"/>
        <v>7.8</v>
      </c>
      <c r="E904">
        <f>MIN(B904,C904)*Assumptions!$B$2</f>
        <v>0</v>
      </c>
      <c r="F904">
        <f>MAX(C904-B904,0)*Assumptions!$B$2</f>
        <v>0</v>
      </c>
      <c r="G904">
        <f>MAX(B904-C904,0)*Assumptions!$B$2</f>
        <v>3.9</v>
      </c>
    </row>
    <row r="905" spans="1:7" x14ac:dyDescent="0.3">
      <c r="A905" s="5">
        <f>Raw_Load_Data!A905</f>
        <v>46222.81250000219</v>
      </c>
      <c r="B905">
        <f>Raw_Load_Data!B905</f>
        <v>5.8</v>
      </c>
      <c r="C905">
        <f>MAX(0,IF(AND(HOUR(A905)&gt;=6,HOUR(A905)&lt;=18),Assumptions!$B$8*SIN(PI()*(HOUR(A905)+MINUTE(A905)/60-6)/12),0))</f>
        <v>0</v>
      </c>
      <c r="D905">
        <f t="shared" si="14"/>
        <v>5.8</v>
      </c>
      <c r="E905">
        <f>MIN(B905,C905)*Assumptions!$B$2</f>
        <v>0</v>
      </c>
      <c r="F905">
        <f>MAX(C905-B905,0)*Assumptions!$B$2</f>
        <v>0</v>
      </c>
      <c r="G905">
        <f>MAX(B905-C905,0)*Assumptions!$B$2</f>
        <v>2.9</v>
      </c>
    </row>
    <row r="906" spans="1:7" x14ac:dyDescent="0.3">
      <c r="A906" s="5">
        <f>Raw_Load_Data!A906</f>
        <v>46222.833333335526</v>
      </c>
      <c r="B906">
        <f>Raw_Load_Data!B906</f>
        <v>4.0999999999999996</v>
      </c>
      <c r="C906">
        <f>MAX(0,IF(AND(HOUR(A906)&gt;=6,HOUR(A906)&lt;=18),Assumptions!$B$8*SIN(PI()*(HOUR(A906)+MINUTE(A906)/60-6)/12),0))</f>
        <v>0</v>
      </c>
      <c r="D906">
        <f t="shared" si="14"/>
        <v>4.0999999999999996</v>
      </c>
      <c r="E906">
        <f>MIN(B906,C906)*Assumptions!$B$2</f>
        <v>0</v>
      </c>
      <c r="F906">
        <f>MAX(C906-B906,0)*Assumptions!$B$2</f>
        <v>0</v>
      </c>
      <c r="G906">
        <f>MAX(B906-C906,0)*Assumptions!$B$2</f>
        <v>2.0499999999999998</v>
      </c>
    </row>
    <row r="907" spans="1:7" x14ac:dyDescent="0.3">
      <c r="A907" s="5">
        <f>Raw_Load_Data!A907</f>
        <v>46222.854166668862</v>
      </c>
      <c r="B907">
        <f>Raw_Load_Data!B907</f>
        <v>8</v>
      </c>
      <c r="C907">
        <f>MAX(0,IF(AND(HOUR(A907)&gt;=6,HOUR(A907)&lt;=18),Assumptions!$B$8*SIN(PI()*(HOUR(A907)+MINUTE(A907)/60-6)/12),0))</f>
        <v>0</v>
      </c>
      <c r="D907">
        <f t="shared" si="14"/>
        <v>8</v>
      </c>
      <c r="E907">
        <f>MIN(B907,C907)*Assumptions!$B$2</f>
        <v>0</v>
      </c>
      <c r="F907">
        <f>MAX(C907-B907,0)*Assumptions!$B$2</f>
        <v>0</v>
      </c>
      <c r="G907">
        <f>MAX(B907-C907,0)*Assumptions!$B$2</f>
        <v>4</v>
      </c>
    </row>
    <row r="908" spans="1:7" x14ac:dyDescent="0.3">
      <c r="A908" s="5">
        <f>Raw_Load_Data!A908</f>
        <v>46222.875000002197</v>
      </c>
      <c r="B908">
        <f>Raw_Load_Data!B908</f>
        <v>7.3</v>
      </c>
      <c r="C908">
        <f>MAX(0,IF(AND(HOUR(A908)&gt;=6,HOUR(A908)&lt;=18),Assumptions!$B$8*SIN(PI()*(HOUR(A908)+MINUTE(A908)/60-6)/12),0))</f>
        <v>0</v>
      </c>
      <c r="D908">
        <f t="shared" si="14"/>
        <v>7.3</v>
      </c>
      <c r="E908">
        <f>MIN(B908,C908)*Assumptions!$B$2</f>
        <v>0</v>
      </c>
      <c r="F908">
        <f>MAX(C908-B908,0)*Assumptions!$B$2</f>
        <v>0</v>
      </c>
      <c r="G908">
        <f>MAX(B908-C908,0)*Assumptions!$B$2</f>
        <v>3.65</v>
      </c>
    </row>
    <row r="909" spans="1:7" x14ac:dyDescent="0.3">
      <c r="A909" s="5">
        <f>Raw_Load_Data!A909</f>
        <v>46222.895833335533</v>
      </c>
      <c r="B909">
        <f>Raw_Load_Data!B909</f>
        <v>6.2</v>
      </c>
      <c r="C909">
        <f>MAX(0,IF(AND(HOUR(A909)&gt;=6,HOUR(A909)&lt;=18),Assumptions!$B$8*SIN(PI()*(HOUR(A909)+MINUTE(A909)/60-6)/12),0))</f>
        <v>0</v>
      </c>
      <c r="D909">
        <f t="shared" si="14"/>
        <v>6.2</v>
      </c>
      <c r="E909">
        <f>MIN(B909,C909)*Assumptions!$B$2</f>
        <v>0</v>
      </c>
      <c r="F909">
        <f>MAX(C909-B909,0)*Assumptions!$B$2</f>
        <v>0</v>
      </c>
      <c r="G909">
        <f>MAX(B909-C909,0)*Assumptions!$B$2</f>
        <v>3.1</v>
      </c>
    </row>
    <row r="910" spans="1:7" x14ac:dyDescent="0.3">
      <c r="A910" s="5">
        <f>Raw_Load_Data!A910</f>
        <v>46222.916666668869</v>
      </c>
      <c r="B910">
        <f>Raw_Load_Data!B910</f>
        <v>7.8</v>
      </c>
      <c r="C910">
        <f>MAX(0,IF(AND(HOUR(A910)&gt;=6,HOUR(A910)&lt;=18),Assumptions!$B$8*SIN(PI()*(HOUR(A910)+MINUTE(A910)/60-6)/12),0))</f>
        <v>0</v>
      </c>
      <c r="D910">
        <f t="shared" si="14"/>
        <v>7.8</v>
      </c>
      <c r="E910">
        <f>MIN(B910,C910)*Assumptions!$B$2</f>
        <v>0</v>
      </c>
      <c r="F910">
        <f>MAX(C910-B910,0)*Assumptions!$B$2</f>
        <v>0</v>
      </c>
      <c r="G910">
        <f>MAX(B910-C910,0)*Assumptions!$B$2</f>
        <v>3.9</v>
      </c>
    </row>
    <row r="911" spans="1:7" x14ac:dyDescent="0.3">
      <c r="A911" s="5">
        <f>Raw_Load_Data!A911</f>
        <v>46222.937500002205</v>
      </c>
      <c r="B911">
        <f>Raw_Load_Data!B911</f>
        <v>4.5999999999999996</v>
      </c>
      <c r="C911">
        <f>MAX(0,IF(AND(HOUR(A911)&gt;=6,HOUR(A911)&lt;=18),Assumptions!$B$8*SIN(PI()*(HOUR(A911)+MINUTE(A911)/60-6)/12),0))</f>
        <v>0</v>
      </c>
      <c r="D911">
        <f t="shared" si="14"/>
        <v>4.5999999999999996</v>
      </c>
      <c r="E911">
        <f>MIN(B911,C911)*Assumptions!$B$2</f>
        <v>0</v>
      </c>
      <c r="F911">
        <f>MAX(C911-B911,0)*Assumptions!$B$2</f>
        <v>0</v>
      </c>
      <c r="G911">
        <f>MAX(B911-C911,0)*Assumptions!$B$2</f>
        <v>2.2999999999999998</v>
      </c>
    </row>
    <row r="912" spans="1:7" x14ac:dyDescent="0.3">
      <c r="A912" s="5">
        <f>Raw_Load_Data!A912</f>
        <v>46222.95833333554</v>
      </c>
      <c r="B912">
        <f>Raw_Load_Data!B912</f>
        <v>3.8</v>
      </c>
      <c r="C912">
        <f>MAX(0,IF(AND(HOUR(A912)&gt;=6,HOUR(A912)&lt;=18),Assumptions!$B$8*SIN(PI()*(HOUR(A912)+MINUTE(A912)/60-6)/12),0))</f>
        <v>0</v>
      </c>
      <c r="D912">
        <f t="shared" si="14"/>
        <v>3.8</v>
      </c>
      <c r="E912">
        <f>MIN(B912,C912)*Assumptions!$B$2</f>
        <v>0</v>
      </c>
      <c r="F912">
        <f>MAX(C912-B912,0)*Assumptions!$B$2</f>
        <v>0</v>
      </c>
      <c r="G912">
        <f>MAX(B912-C912,0)*Assumptions!$B$2</f>
        <v>1.9</v>
      </c>
    </row>
    <row r="913" spans="1:7" x14ac:dyDescent="0.3">
      <c r="A913" s="5">
        <f>Raw_Load_Data!A913</f>
        <v>46222.979166668876</v>
      </c>
      <c r="B913">
        <f>Raw_Load_Data!B913</f>
        <v>6.4</v>
      </c>
      <c r="C913">
        <f>MAX(0,IF(AND(HOUR(A913)&gt;=6,HOUR(A913)&lt;=18),Assumptions!$B$8*SIN(PI()*(HOUR(A913)+MINUTE(A913)/60-6)/12),0))</f>
        <v>0</v>
      </c>
      <c r="D913">
        <f t="shared" si="14"/>
        <v>6.4</v>
      </c>
      <c r="E913">
        <f>MIN(B913,C913)*Assumptions!$B$2</f>
        <v>0</v>
      </c>
      <c r="F913">
        <f>MAX(C913-B913,0)*Assumptions!$B$2</f>
        <v>0</v>
      </c>
      <c r="G913">
        <f>MAX(B913-C913,0)*Assumptions!$B$2</f>
        <v>3.2</v>
      </c>
    </row>
    <row r="914" spans="1:7" x14ac:dyDescent="0.3">
      <c r="A914" s="5">
        <f>Raw_Load_Data!A914</f>
        <v>46223.000000002212</v>
      </c>
      <c r="B914">
        <f>Raw_Load_Data!B914</f>
        <v>2.4</v>
      </c>
      <c r="C914">
        <f>MAX(0,IF(AND(HOUR(A914)&gt;=6,HOUR(A914)&lt;=18),Assumptions!$B$8*SIN(PI()*(HOUR(A914)+MINUTE(A914)/60-6)/12),0))</f>
        <v>0</v>
      </c>
      <c r="D914">
        <f t="shared" si="14"/>
        <v>2.4</v>
      </c>
      <c r="E914">
        <f>MIN(B914,C914)*Assumptions!$B$2</f>
        <v>0</v>
      </c>
      <c r="F914">
        <f>MAX(C914-B914,0)*Assumptions!$B$2</f>
        <v>0</v>
      </c>
      <c r="G914">
        <f>MAX(B914-C914,0)*Assumptions!$B$2</f>
        <v>1.2</v>
      </c>
    </row>
    <row r="915" spans="1:7" x14ac:dyDescent="0.3">
      <c r="A915" s="5">
        <f>Raw_Load_Data!A915</f>
        <v>46223.020833335548</v>
      </c>
      <c r="B915">
        <f>Raw_Load_Data!B915</f>
        <v>2.6</v>
      </c>
      <c r="C915">
        <f>MAX(0,IF(AND(HOUR(A915)&gt;=6,HOUR(A915)&lt;=18),Assumptions!$B$8*SIN(PI()*(HOUR(A915)+MINUTE(A915)/60-6)/12),0))</f>
        <v>0</v>
      </c>
      <c r="D915">
        <f t="shared" si="14"/>
        <v>2.6</v>
      </c>
      <c r="E915">
        <f>MIN(B915,C915)*Assumptions!$B$2</f>
        <v>0</v>
      </c>
      <c r="F915">
        <f>MAX(C915-B915,0)*Assumptions!$B$2</f>
        <v>0</v>
      </c>
      <c r="G915">
        <f>MAX(B915-C915,0)*Assumptions!$B$2</f>
        <v>1.3</v>
      </c>
    </row>
    <row r="916" spans="1:7" x14ac:dyDescent="0.3">
      <c r="A916" s="5">
        <f>Raw_Load_Data!A916</f>
        <v>46223.041666668883</v>
      </c>
      <c r="B916">
        <f>Raw_Load_Data!B916</f>
        <v>3</v>
      </c>
      <c r="C916">
        <f>MAX(0,IF(AND(HOUR(A916)&gt;=6,HOUR(A916)&lt;=18),Assumptions!$B$8*SIN(PI()*(HOUR(A916)+MINUTE(A916)/60-6)/12),0))</f>
        <v>0</v>
      </c>
      <c r="D916">
        <f t="shared" si="14"/>
        <v>3</v>
      </c>
      <c r="E916">
        <f>MIN(B916,C916)*Assumptions!$B$2</f>
        <v>0</v>
      </c>
      <c r="F916">
        <f>MAX(C916-B916,0)*Assumptions!$B$2</f>
        <v>0</v>
      </c>
      <c r="G916">
        <f>MAX(B916-C916,0)*Assumptions!$B$2</f>
        <v>1.5</v>
      </c>
    </row>
    <row r="917" spans="1:7" x14ac:dyDescent="0.3">
      <c r="A917" s="5">
        <f>Raw_Load_Data!A917</f>
        <v>46223.062500002219</v>
      </c>
      <c r="B917">
        <f>Raw_Load_Data!B917</f>
        <v>3</v>
      </c>
      <c r="C917">
        <f>MAX(0,IF(AND(HOUR(A917)&gt;=6,HOUR(A917)&lt;=18),Assumptions!$B$8*SIN(PI()*(HOUR(A917)+MINUTE(A917)/60-6)/12),0))</f>
        <v>0</v>
      </c>
      <c r="D917">
        <f t="shared" si="14"/>
        <v>3</v>
      </c>
      <c r="E917">
        <f>MIN(B917,C917)*Assumptions!$B$2</f>
        <v>0</v>
      </c>
      <c r="F917">
        <f>MAX(C917-B917,0)*Assumptions!$B$2</f>
        <v>0</v>
      </c>
      <c r="G917">
        <f>MAX(B917-C917,0)*Assumptions!$B$2</f>
        <v>1.5</v>
      </c>
    </row>
    <row r="918" spans="1:7" x14ac:dyDescent="0.3">
      <c r="A918" s="5">
        <f>Raw_Load_Data!A918</f>
        <v>46223.083333335555</v>
      </c>
      <c r="B918">
        <f>Raw_Load_Data!B918</f>
        <v>2.2000000000000002</v>
      </c>
      <c r="C918">
        <f>MAX(0,IF(AND(HOUR(A918)&gt;=6,HOUR(A918)&lt;=18),Assumptions!$B$8*SIN(PI()*(HOUR(A918)+MINUTE(A918)/60-6)/12),0))</f>
        <v>0</v>
      </c>
      <c r="D918">
        <f t="shared" si="14"/>
        <v>2.2000000000000002</v>
      </c>
      <c r="E918">
        <f>MIN(B918,C918)*Assumptions!$B$2</f>
        <v>0</v>
      </c>
      <c r="F918">
        <f>MAX(C918-B918,0)*Assumptions!$B$2</f>
        <v>0</v>
      </c>
      <c r="G918">
        <f>MAX(B918-C918,0)*Assumptions!$B$2</f>
        <v>1.1000000000000001</v>
      </c>
    </row>
    <row r="919" spans="1:7" x14ac:dyDescent="0.3">
      <c r="A919" s="5">
        <f>Raw_Load_Data!A919</f>
        <v>46223.104166668891</v>
      </c>
      <c r="B919">
        <f>Raw_Load_Data!B919</f>
        <v>1.9</v>
      </c>
      <c r="C919">
        <f>MAX(0,IF(AND(HOUR(A919)&gt;=6,HOUR(A919)&lt;=18),Assumptions!$B$8*SIN(PI()*(HOUR(A919)+MINUTE(A919)/60-6)/12),0))</f>
        <v>0</v>
      </c>
      <c r="D919">
        <f t="shared" si="14"/>
        <v>1.9</v>
      </c>
      <c r="E919">
        <f>MIN(B919,C919)*Assumptions!$B$2</f>
        <v>0</v>
      </c>
      <c r="F919">
        <f>MAX(C919-B919,0)*Assumptions!$B$2</f>
        <v>0</v>
      </c>
      <c r="G919">
        <f>MAX(B919-C919,0)*Assumptions!$B$2</f>
        <v>0.95</v>
      </c>
    </row>
    <row r="920" spans="1:7" x14ac:dyDescent="0.3">
      <c r="A920" s="5">
        <f>Raw_Load_Data!A920</f>
        <v>46223.125000002226</v>
      </c>
      <c r="B920">
        <f>Raw_Load_Data!B920</f>
        <v>2.8</v>
      </c>
      <c r="C920">
        <f>MAX(0,IF(AND(HOUR(A920)&gt;=6,HOUR(A920)&lt;=18),Assumptions!$B$8*SIN(PI()*(HOUR(A920)+MINUTE(A920)/60-6)/12),0))</f>
        <v>0</v>
      </c>
      <c r="D920">
        <f t="shared" si="14"/>
        <v>2.8</v>
      </c>
      <c r="E920">
        <f>MIN(B920,C920)*Assumptions!$B$2</f>
        <v>0</v>
      </c>
      <c r="F920">
        <f>MAX(C920-B920,0)*Assumptions!$B$2</f>
        <v>0</v>
      </c>
      <c r="G920">
        <f>MAX(B920-C920,0)*Assumptions!$B$2</f>
        <v>1.4</v>
      </c>
    </row>
    <row r="921" spans="1:7" x14ac:dyDescent="0.3">
      <c r="A921" s="5">
        <f>Raw_Load_Data!A921</f>
        <v>46223.145833335562</v>
      </c>
      <c r="B921">
        <f>Raw_Load_Data!B921</f>
        <v>2.6</v>
      </c>
      <c r="C921">
        <f>MAX(0,IF(AND(HOUR(A921)&gt;=6,HOUR(A921)&lt;=18),Assumptions!$B$8*SIN(PI()*(HOUR(A921)+MINUTE(A921)/60-6)/12),0))</f>
        <v>0</v>
      </c>
      <c r="D921">
        <f t="shared" si="14"/>
        <v>2.6</v>
      </c>
      <c r="E921">
        <f>MIN(B921,C921)*Assumptions!$B$2</f>
        <v>0</v>
      </c>
      <c r="F921">
        <f>MAX(C921-B921,0)*Assumptions!$B$2</f>
        <v>0</v>
      </c>
      <c r="G921">
        <f>MAX(B921-C921,0)*Assumptions!$B$2</f>
        <v>1.3</v>
      </c>
    </row>
    <row r="922" spans="1:7" x14ac:dyDescent="0.3">
      <c r="A922" s="5">
        <f>Raw_Load_Data!A922</f>
        <v>46223.166666668898</v>
      </c>
      <c r="B922">
        <f>Raw_Load_Data!B922</f>
        <v>2.2999999999999998</v>
      </c>
      <c r="C922">
        <f>MAX(0,IF(AND(HOUR(A922)&gt;=6,HOUR(A922)&lt;=18),Assumptions!$B$8*SIN(PI()*(HOUR(A922)+MINUTE(A922)/60-6)/12),0))</f>
        <v>0</v>
      </c>
      <c r="D922">
        <f t="shared" si="14"/>
        <v>2.2999999999999998</v>
      </c>
      <c r="E922">
        <f>MIN(B922,C922)*Assumptions!$B$2</f>
        <v>0</v>
      </c>
      <c r="F922">
        <f>MAX(C922-B922,0)*Assumptions!$B$2</f>
        <v>0</v>
      </c>
      <c r="G922">
        <f>MAX(B922-C922,0)*Assumptions!$B$2</f>
        <v>1.1499999999999999</v>
      </c>
    </row>
    <row r="923" spans="1:7" x14ac:dyDescent="0.3">
      <c r="A923" s="5">
        <f>Raw_Load_Data!A923</f>
        <v>46223.187500002234</v>
      </c>
      <c r="B923">
        <f>Raw_Load_Data!B923</f>
        <v>2.7</v>
      </c>
      <c r="C923">
        <f>MAX(0,IF(AND(HOUR(A923)&gt;=6,HOUR(A923)&lt;=18),Assumptions!$B$8*SIN(PI()*(HOUR(A923)+MINUTE(A923)/60-6)/12),0))</f>
        <v>0</v>
      </c>
      <c r="D923">
        <f t="shared" si="14"/>
        <v>2.7</v>
      </c>
      <c r="E923">
        <f>MIN(B923,C923)*Assumptions!$B$2</f>
        <v>0</v>
      </c>
      <c r="F923">
        <f>MAX(C923-B923,0)*Assumptions!$B$2</f>
        <v>0</v>
      </c>
      <c r="G923">
        <f>MAX(B923-C923,0)*Assumptions!$B$2</f>
        <v>1.35</v>
      </c>
    </row>
    <row r="924" spans="1:7" x14ac:dyDescent="0.3">
      <c r="A924" s="5">
        <f>Raw_Load_Data!A924</f>
        <v>46223.208333335569</v>
      </c>
      <c r="B924">
        <f>Raw_Load_Data!B924</f>
        <v>2.7</v>
      </c>
      <c r="C924">
        <f>MAX(0,IF(AND(HOUR(A924)&gt;=6,HOUR(A924)&lt;=18),Assumptions!$B$8*SIN(PI()*(HOUR(A924)+MINUTE(A924)/60-6)/12),0))</f>
        <v>0</v>
      </c>
      <c r="D924">
        <f t="shared" si="14"/>
        <v>2.7</v>
      </c>
      <c r="E924">
        <f>MIN(B924,C924)*Assumptions!$B$2</f>
        <v>0</v>
      </c>
      <c r="F924">
        <f>MAX(C924-B924,0)*Assumptions!$B$2</f>
        <v>0</v>
      </c>
      <c r="G924">
        <f>MAX(B924-C924,0)*Assumptions!$B$2</f>
        <v>1.35</v>
      </c>
    </row>
    <row r="925" spans="1:7" x14ac:dyDescent="0.3">
      <c r="A925" s="5">
        <f>Raw_Load_Data!A925</f>
        <v>46223.229166668905</v>
      </c>
      <c r="B925">
        <f>Raw_Load_Data!B925</f>
        <v>2.1</v>
      </c>
      <c r="C925">
        <f>MAX(0,IF(AND(HOUR(A925)&gt;=6,HOUR(A925)&lt;=18),Assumptions!$B$8*SIN(PI()*(HOUR(A925)+MINUTE(A925)/60-6)/12),0))</f>
        <v>0</v>
      </c>
      <c r="D925">
        <f t="shared" si="14"/>
        <v>2.1</v>
      </c>
      <c r="E925">
        <f>MIN(B925,C925)*Assumptions!$B$2</f>
        <v>0</v>
      </c>
      <c r="F925">
        <f>MAX(C925-B925,0)*Assumptions!$B$2</f>
        <v>0</v>
      </c>
      <c r="G925">
        <f>MAX(B925-C925,0)*Assumptions!$B$2</f>
        <v>1.05</v>
      </c>
    </row>
    <row r="926" spans="1:7" x14ac:dyDescent="0.3">
      <c r="A926" s="5">
        <f>Raw_Load_Data!A926</f>
        <v>46223.250000002241</v>
      </c>
      <c r="B926">
        <f>Raw_Load_Data!B926</f>
        <v>4</v>
      </c>
      <c r="C926">
        <f>MAX(0,IF(AND(HOUR(A926)&gt;=6,HOUR(A926)&lt;=18),Assumptions!$B$8*SIN(PI()*(HOUR(A926)+MINUTE(A926)/60-6)/12),0))</f>
        <v>0</v>
      </c>
      <c r="D926">
        <f t="shared" si="14"/>
        <v>4</v>
      </c>
      <c r="E926">
        <f>MIN(B926,C926)*Assumptions!$B$2</f>
        <v>0</v>
      </c>
      <c r="F926">
        <f>MAX(C926-B926,0)*Assumptions!$B$2</f>
        <v>0</v>
      </c>
      <c r="G926">
        <f>MAX(B926-C926,0)*Assumptions!$B$2</f>
        <v>2</v>
      </c>
    </row>
    <row r="927" spans="1:7" x14ac:dyDescent="0.3">
      <c r="A927" s="5">
        <f>Raw_Load_Data!A927</f>
        <v>46223.270833335577</v>
      </c>
      <c r="B927">
        <f>Raw_Load_Data!B927</f>
        <v>5.7</v>
      </c>
      <c r="C927">
        <f>MAX(0,IF(AND(HOUR(A927)&gt;=6,HOUR(A927)&lt;=18),Assumptions!$B$8*SIN(PI()*(HOUR(A927)+MINUTE(A927)/60-6)/12),0))</f>
        <v>3.9157857666015472</v>
      </c>
      <c r="D927">
        <f t="shared" si="14"/>
        <v>1.784214233398453</v>
      </c>
      <c r="E927">
        <f>MIN(B927,C927)*Assumptions!$B$2</f>
        <v>1.9578928833007736</v>
      </c>
      <c r="F927">
        <f>MAX(C927-B927,0)*Assumptions!$B$2</f>
        <v>0</v>
      </c>
      <c r="G927">
        <f>MAX(B927-C927,0)*Assumptions!$B$2</f>
        <v>0.89210711669922649</v>
      </c>
    </row>
    <row r="928" spans="1:7" x14ac:dyDescent="0.3">
      <c r="A928" s="5">
        <f>Raw_Load_Data!A928</f>
        <v>46223.291666668913</v>
      </c>
      <c r="B928">
        <f>Raw_Load_Data!B928</f>
        <v>6.5</v>
      </c>
      <c r="C928">
        <f>MAX(0,IF(AND(HOUR(A928)&gt;=6,HOUR(A928)&lt;=18),Assumptions!$B$8*SIN(PI()*(HOUR(A928)+MINUTE(A928)/60-6)/12),0))</f>
        <v>7.7645713530756222</v>
      </c>
      <c r="D928">
        <f t="shared" si="14"/>
        <v>-1.2645713530756222</v>
      </c>
      <c r="E928">
        <f>MIN(B928,C928)*Assumptions!$B$2</f>
        <v>3.25</v>
      </c>
      <c r="F928">
        <f>MAX(C928-B928,0)*Assumptions!$B$2</f>
        <v>0.63228567653781109</v>
      </c>
      <c r="G928">
        <f>MAX(B928-C928,0)*Assumptions!$B$2</f>
        <v>0</v>
      </c>
    </row>
    <row r="929" spans="1:7" x14ac:dyDescent="0.3">
      <c r="A929" s="5">
        <f>Raw_Load_Data!A929</f>
        <v>46223.312500002248</v>
      </c>
      <c r="B929">
        <f>Raw_Load_Data!B929</f>
        <v>7.1</v>
      </c>
      <c r="C929">
        <f>MAX(0,IF(AND(HOUR(A929)&gt;=6,HOUR(A929)&lt;=18),Assumptions!$B$8*SIN(PI()*(HOUR(A929)+MINUTE(A929)/60-6)/12),0))</f>
        <v>11.480502970952694</v>
      </c>
      <c r="D929">
        <f t="shared" si="14"/>
        <v>-4.3805029709526941</v>
      </c>
      <c r="E929">
        <f>MIN(B929,C929)*Assumptions!$B$2</f>
        <v>3.55</v>
      </c>
      <c r="F929">
        <f>MAX(C929-B929,0)*Assumptions!$B$2</f>
        <v>2.1902514854763471</v>
      </c>
      <c r="G929">
        <f>MAX(B929-C929,0)*Assumptions!$B$2</f>
        <v>0</v>
      </c>
    </row>
    <row r="930" spans="1:7" x14ac:dyDescent="0.3">
      <c r="A930" s="5">
        <f>Raw_Load_Data!A930</f>
        <v>46223.333333335584</v>
      </c>
      <c r="B930">
        <f>Raw_Load_Data!B930</f>
        <v>15.9</v>
      </c>
      <c r="C930">
        <f>MAX(0,IF(AND(HOUR(A930)&gt;=6,HOUR(A930)&lt;=18),Assumptions!$B$8*SIN(PI()*(HOUR(A930)+MINUTE(A930)/60-6)/12),0))</f>
        <v>14.999999999999998</v>
      </c>
      <c r="D930">
        <f t="shared" si="14"/>
        <v>0.90000000000000213</v>
      </c>
      <c r="E930">
        <f>MIN(B930,C930)*Assumptions!$B$2</f>
        <v>7.4999999999999991</v>
      </c>
      <c r="F930">
        <f>MAX(C930-B930,0)*Assumptions!$B$2</f>
        <v>0</v>
      </c>
      <c r="G930">
        <f>MAX(B930-C930,0)*Assumptions!$B$2</f>
        <v>0.45000000000000107</v>
      </c>
    </row>
    <row r="931" spans="1:7" x14ac:dyDescent="0.3">
      <c r="A931" s="5">
        <f>Raw_Load_Data!A931</f>
        <v>46223.35416666892</v>
      </c>
      <c r="B931">
        <f>Raw_Load_Data!B931</f>
        <v>19.5</v>
      </c>
      <c r="C931">
        <f>MAX(0,IF(AND(HOUR(A931)&gt;=6,HOUR(A931)&lt;=18),Assumptions!$B$8*SIN(PI()*(HOUR(A931)+MINUTE(A931)/60-6)/12),0))</f>
        <v>18.262842870261618</v>
      </c>
      <c r="D931">
        <f t="shared" si="14"/>
        <v>1.2371571297383817</v>
      </c>
      <c r="E931">
        <f>MIN(B931,C931)*Assumptions!$B$2</f>
        <v>9.1314214351308092</v>
      </c>
      <c r="F931">
        <f>MAX(C931-B931,0)*Assumptions!$B$2</f>
        <v>0</v>
      </c>
      <c r="G931">
        <f>MAX(B931-C931,0)*Assumptions!$B$2</f>
        <v>0.61857856486919083</v>
      </c>
    </row>
    <row r="932" spans="1:7" x14ac:dyDescent="0.3">
      <c r="A932" s="5">
        <f>Raw_Load_Data!A932</f>
        <v>46223.375000002256</v>
      </c>
      <c r="B932">
        <f>Raw_Load_Data!B932</f>
        <v>12.9</v>
      </c>
      <c r="C932">
        <f>MAX(0,IF(AND(HOUR(A932)&gt;=6,HOUR(A932)&lt;=18),Assumptions!$B$8*SIN(PI()*(HOUR(A932)+MINUTE(A932)/60-6)/12),0))</f>
        <v>21.213203435596423</v>
      </c>
      <c r="D932">
        <f t="shared" si="14"/>
        <v>-8.3132034355964226</v>
      </c>
      <c r="E932">
        <f>MIN(B932,C932)*Assumptions!$B$2</f>
        <v>6.45</v>
      </c>
      <c r="F932">
        <f>MAX(C932-B932,0)*Assumptions!$B$2</f>
        <v>4.1566017177982113</v>
      </c>
      <c r="G932">
        <f>MAX(B932-C932,0)*Assumptions!$B$2</f>
        <v>0</v>
      </c>
    </row>
    <row r="933" spans="1:7" x14ac:dyDescent="0.3">
      <c r="A933" s="5">
        <f>Raw_Load_Data!A933</f>
        <v>46223.395833335591</v>
      </c>
      <c r="B933">
        <f>Raw_Load_Data!B933</f>
        <v>13.4</v>
      </c>
      <c r="C933">
        <f>MAX(0,IF(AND(HOUR(A933)&gt;=6,HOUR(A933)&lt;=18),Assumptions!$B$8*SIN(PI()*(HOUR(A933)+MINUTE(A933)/60-6)/12),0))</f>
        <v>23.800600208737055</v>
      </c>
      <c r="D933">
        <f t="shared" si="14"/>
        <v>-10.400600208737055</v>
      </c>
      <c r="E933">
        <f>MIN(B933,C933)*Assumptions!$B$2</f>
        <v>6.7</v>
      </c>
      <c r="F933">
        <f>MAX(C933-B933,0)*Assumptions!$B$2</f>
        <v>5.2003001043685275</v>
      </c>
      <c r="G933">
        <f>MAX(B933-C933,0)*Assumptions!$B$2</f>
        <v>0</v>
      </c>
    </row>
    <row r="934" spans="1:7" x14ac:dyDescent="0.3">
      <c r="A934" s="5">
        <f>Raw_Load_Data!A934</f>
        <v>46223.416666668927</v>
      </c>
      <c r="B934">
        <f>Raw_Load_Data!B934</f>
        <v>17.7</v>
      </c>
      <c r="C934">
        <f>MAX(0,IF(AND(HOUR(A934)&gt;=6,HOUR(A934)&lt;=18),Assumptions!$B$8*SIN(PI()*(HOUR(A934)+MINUTE(A934)/60-6)/12),0))</f>
        <v>25.980762113533157</v>
      </c>
      <c r="D934">
        <f t="shared" si="14"/>
        <v>-8.2807621135331573</v>
      </c>
      <c r="E934">
        <f>MIN(B934,C934)*Assumptions!$B$2</f>
        <v>8.85</v>
      </c>
      <c r="F934">
        <f>MAX(C934-B934,0)*Assumptions!$B$2</f>
        <v>4.1403810567665786</v>
      </c>
      <c r="G934">
        <f>MAX(B934-C934,0)*Assumptions!$B$2</f>
        <v>0</v>
      </c>
    </row>
    <row r="935" spans="1:7" x14ac:dyDescent="0.3">
      <c r="A935" s="5">
        <f>Raw_Load_Data!A935</f>
        <v>46223.437500002263</v>
      </c>
      <c r="B935">
        <f>Raw_Load_Data!B935</f>
        <v>13.4</v>
      </c>
      <c r="C935">
        <f>MAX(0,IF(AND(HOUR(A935)&gt;=6,HOUR(A935)&lt;=18),Assumptions!$B$8*SIN(PI()*(HOUR(A935)+MINUTE(A935)/60-6)/12),0))</f>
        <v>27.716385975338603</v>
      </c>
      <c r="D935">
        <f t="shared" si="14"/>
        <v>-14.316385975338603</v>
      </c>
      <c r="E935">
        <f>MIN(B935,C935)*Assumptions!$B$2</f>
        <v>6.7</v>
      </c>
      <c r="F935">
        <f>MAX(C935-B935,0)*Assumptions!$B$2</f>
        <v>7.1581929876693016</v>
      </c>
      <c r="G935">
        <f>MAX(B935-C935,0)*Assumptions!$B$2</f>
        <v>0</v>
      </c>
    </row>
    <row r="936" spans="1:7" x14ac:dyDescent="0.3">
      <c r="A936" s="5">
        <f>Raw_Load_Data!A936</f>
        <v>46223.458333335599</v>
      </c>
      <c r="B936">
        <f>Raw_Load_Data!B936</f>
        <v>16.8</v>
      </c>
      <c r="C936">
        <f>MAX(0,IF(AND(HOUR(A936)&gt;=6,HOUR(A936)&lt;=18),Assumptions!$B$8*SIN(PI()*(HOUR(A936)+MINUTE(A936)/60-6)/12),0))</f>
        <v>28.97777478867205</v>
      </c>
      <c r="D936">
        <f t="shared" si="14"/>
        <v>-12.17777478867205</v>
      </c>
      <c r="E936">
        <f>MIN(B936,C936)*Assumptions!$B$2</f>
        <v>8.4</v>
      </c>
      <c r="F936">
        <f>MAX(C936-B936,0)*Assumptions!$B$2</f>
        <v>6.0888873943360249</v>
      </c>
      <c r="G936">
        <f>MAX(B936-C936,0)*Assumptions!$B$2</f>
        <v>0</v>
      </c>
    </row>
    <row r="937" spans="1:7" x14ac:dyDescent="0.3">
      <c r="A937" s="5">
        <f>Raw_Load_Data!A937</f>
        <v>46223.479166668934</v>
      </c>
      <c r="B937">
        <f>Raw_Load_Data!B937</f>
        <v>21.9</v>
      </c>
      <c r="C937">
        <f>MAX(0,IF(AND(HOUR(A937)&gt;=6,HOUR(A937)&lt;=18),Assumptions!$B$8*SIN(PI()*(HOUR(A937)+MINUTE(A937)/60-6)/12),0))</f>
        <v>29.74334584121431</v>
      </c>
      <c r="D937">
        <f t="shared" si="14"/>
        <v>-7.8433458412143118</v>
      </c>
      <c r="E937">
        <f>MIN(B937,C937)*Assumptions!$B$2</f>
        <v>10.95</v>
      </c>
      <c r="F937">
        <f>MAX(C937-B937,0)*Assumptions!$B$2</f>
        <v>3.9216729206071559</v>
      </c>
      <c r="G937">
        <f>MAX(B937-C937,0)*Assumptions!$B$2</f>
        <v>0</v>
      </c>
    </row>
    <row r="938" spans="1:7" x14ac:dyDescent="0.3">
      <c r="A938" s="5">
        <f>Raw_Load_Data!A938</f>
        <v>46223.50000000227</v>
      </c>
      <c r="B938">
        <f>Raw_Load_Data!B938</f>
        <v>21.5</v>
      </c>
      <c r="C938">
        <f>MAX(0,IF(AND(HOUR(A938)&gt;=6,HOUR(A938)&lt;=18),Assumptions!$B$8*SIN(PI()*(HOUR(A938)+MINUTE(A938)/60-6)/12),0))</f>
        <v>30</v>
      </c>
      <c r="D938">
        <f t="shared" si="14"/>
        <v>-8.5</v>
      </c>
      <c r="E938">
        <f>MIN(B938,C938)*Assumptions!$B$2</f>
        <v>10.75</v>
      </c>
      <c r="F938">
        <f>MAX(C938-B938,0)*Assumptions!$B$2</f>
        <v>4.25</v>
      </c>
      <c r="G938">
        <f>MAX(B938-C938,0)*Assumptions!$B$2</f>
        <v>0</v>
      </c>
    </row>
    <row r="939" spans="1:7" x14ac:dyDescent="0.3">
      <c r="A939" s="5">
        <f>Raw_Load_Data!A939</f>
        <v>46223.520833335606</v>
      </c>
      <c r="B939">
        <f>Raw_Load_Data!B939</f>
        <v>27.7</v>
      </c>
      <c r="C939">
        <f>MAX(0,IF(AND(HOUR(A939)&gt;=6,HOUR(A939)&lt;=18),Assumptions!$B$8*SIN(PI()*(HOUR(A939)+MINUTE(A939)/60-6)/12),0))</f>
        <v>29.74334584121431</v>
      </c>
      <c r="D939">
        <f t="shared" si="14"/>
        <v>-2.0433458412143111</v>
      </c>
      <c r="E939">
        <f>MIN(B939,C939)*Assumptions!$B$2</f>
        <v>13.85</v>
      </c>
      <c r="F939">
        <f>MAX(C939-B939,0)*Assumptions!$B$2</f>
        <v>1.0216729206071555</v>
      </c>
      <c r="G939">
        <f>MAX(B939-C939,0)*Assumptions!$B$2</f>
        <v>0</v>
      </c>
    </row>
    <row r="940" spans="1:7" x14ac:dyDescent="0.3">
      <c r="A940" s="5">
        <f>Raw_Load_Data!A940</f>
        <v>46223.541666668942</v>
      </c>
      <c r="B940">
        <f>Raw_Load_Data!B940</f>
        <v>33.9</v>
      </c>
      <c r="C940">
        <f>MAX(0,IF(AND(HOUR(A940)&gt;=6,HOUR(A940)&lt;=18),Assumptions!$B$8*SIN(PI()*(HOUR(A940)+MINUTE(A940)/60-6)/12),0))</f>
        <v>28.97777478867205</v>
      </c>
      <c r="D940">
        <f t="shared" si="14"/>
        <v>4.9222252113279481</v>
      </c>
      <c r="E940">
        <f>MIN(B940,C940)*Assumptions!$B$2</f>
        <v>14.488887394336025</v>
      </c>
      <c r="F940">
        <f>MAX(C940-B940,0)*Assumptions!$B$2</f>
        <v>0</v>
      </c>
      <c r="G940">
        <f>MAX(B940-C940,0)*Assumptions!$B$2</f>
        <v>2.4611126056639741</v>
      </c>
    </row>
    <row r="941" spans="1:7" x14ac:dyDescent="0.3">
      <c r="A941" s="5">
        <f>Raw_Load_Data!A941</f>
        <v>46223.562500002277</v>
      </c>
      <c r="B941">
        <f>Raw_Load_Data!B941</f>
        <v>21.8</v>
      </c>
      <c r="C941">
        <f>MAX(0,IF(AND(HOUR(A941)&gt;=6,HOUR(A941)&lt;=18),Assumptions!$B$8*SIN(PI()*(HOUR(A941)+MINUTE(A941)/60-6)/12),0))</f>
        <v>27.716385975338607</v>
      </c>
      <c r="D941">
        <f t="shared" si="14"/>
        <v>-5.9163859753386063</v>
      </c>
      <c r="E941">
        <f>MIN(B941,C941)*Assumptions!$B$2</f>
        <v>10.9</v>
      </c>
      <c r="F941">
        <f>MAX(C941-B941,0)*Assumptions!$B$2</f>
        <v>2.9581929876693032</v>
      </c>
      <c r="G941">
        <f>MAX(B941-C941,0)*Assumptions!$B$2</f>
        <v>0</v>
      </c>
    </row>
    <row r="942" spans="1:7" x14ac:dyDescent="0.3">
      <c r="A942" s="5">
        <f>Raw_Load_Data!A942</f>
        <v>46223.583333335613</v>
      </c>
      <c r="B942">
        <f>Raw_Load_Data!B942</f>
        <v>28.8</v>
      </c>
      <c r="C942">
        <f>MAX(0,IF(AND(HOUR(A942)&gt;=6,HOUR(A942)&lt;=18),Assumptions!$B$8*SIN(PI()*(HOUR(A942)+MINUTE(A942)/60-6)/12),0))</f>
        <v>25.98076211353316</v>
      </c>
      <c r="D942">
        <f t="shared" si="14"/>
        <v>2.8192378864668406</v>
      </c>
      <c r="E942">
        <f>MIN(B942,C942)*Assumptions!$B$2</f>
        <v>12.99038105676658</v>
      </c>
      <c r="F942">
        <f>MAX(C942-B942,0)*Assumptions!$B$2</f>
        <v>0</v>
      </c>
      <c r="G942">
        <f>MAX(B942-C942,0)*Assumptions!$B$2</f>
        <v>1.4096189432334203</v>
      </c>
    </row>
    <row r="943" spans="1:7" x14ac:dyDescent="0.3">
      <c r="A943" s="5">
        <f>Raw_Load_Data!A943</f>
        <v>46223.604166668949</v>
      </c>
      <c r="B943">
        <f>Raw_Load_Data!B943</f>
        <v>24</v>
      </c>
      <c r="C943">
        <f>MAX(0,IF(AND(HOUR(A943)&gt;=6,HOUR(A943)&lt;=18),Assumptions!$B$8*SIN(PI()*(HOUR(A943)+MINUTE(A943)/60-6)/12),0))</f>
        <v>23.800600208737055</v>
      </c>
      <c r="D943">
        <f t="shared" si="14"/>
        <v>0.1993997912629446</v>
      </c>
      <c r="E943">
        <f>MIN(B943,C943)*Assumptions!$B$2</f>
        <v>11.900300104368528</v>
      </c>
      <c r="F943">
        <f>MAX(C943-B943,0)*Assumptions!$B$2</f>
        <v>0</v>
      </c>
      <c r="G943">
        <f>MAX(B943-C943,0)*Assumptions!$B$2</f>
        <v>9.9699895631472302E-2</v>
      </c>
    </row>
    <row r="944" spans="1:7" x14ac:dyDescent="0.3">
      <c r="A944" s="5">
        <f>Raw_Load_Data!A944</f>
        <v>46223.625000002285</v>
      </c>
      <c r="B944">
        <f>Raw_Load_Data!B944</f>
        <v>33.4</v>
      </c>
      <c r="C944">
        <f>MAX(0,IF(AND(HOUR(A944)&gt;=6,HOUR(A944)&lt;=18),Assumptions!$B$8*SIN(PI()*(HOUR(A944)+MINUTE(A944)/60-6)/12),0))</f>
        <v>21.213203435596427</v>
      </c>
      <c r="D944">
        <f t="shared" si="14"/>
        <v>12.186796564403572</v>
      </c>
      <c r="E944">
        <f>MIN(B944,C944)*Assumptions!$B$2</f>
        <v>10.606601717798213</v>
      </c>
      <c r="F944">
        <f>MAX(C944-B944,0)*Assumptions!$B$2</f>
        <v>0</v>
      </c>
      <c r="G944">
        <f>MAX(B944-C944,0)*Assumptions!$B$2</f>
        <v>6.093398282201786</v>
      </c>
    </row>
    <row r="945" spans="1:7" x14ac:dyDescent="0.3">
      <c r="A945" s="5">
        <f>Raw_Load_Data!A945</f>
        <v>46223.64583333562</v>
      </c>
      <c r="B945">
        <f>Raw_Load_Data!B945</f>
        <v>21.1</v>
      </c>
      <c r="C945">
        <f>MAX(0,IF(AND(HOUR(A945)&gt;=6,HOUR(A945)&lt;=18),Assumptions!$B$8*SIN(PI()*(HOUR(A945)+MINUTE(A945)/60-6)/12),0))</f>
        <v>18.262842870261625</v>
      </c>
      <c r="D945">
        <f t="shared" si="14"/>
        <v>2.837157129738376</v>
      </c>
      <c r="E945">
        <f>MIN(B945,C945)*Assumptions!$B$2</f>
        <v>9.1314214351308127</v>
      </c>
      <c r="F945">
        <f>MAX(C945-B945,0)*Assumptions!$B$2</f>
        <v>0</v>
      </c>
      <c r="G945">
        <f>MAX(B945-C945,0)*Assumptions!$B$2</f>
        <v>1.418578564869188</v>
      </c>
    </row>
    <row r="946" spans="1:7" x14ac:dyDescent="0.3">
      <c r="A946" s="5">
        <f>Raw_Load_Data!A946</f>
        <v>46223.666666668956</v>
      </c>
      <c r="B946">
        <f>Raw_Load_Data!B946</f>
        <v>15.5</v>
      </c>
      <c r="C946">
        <f>MAX(0,IF(AND(HOUR(A946)&gt;=6,HOUR(A946)&lt;=18),Assumptions!$B$8*SIN(PI()*(HOUR(A946)+MINUTE(A946)/60-6)/12),0))</f>
        <v>14.999999999999998</v>
      </c>
      <c r="D946">
        <f t="shared" si="14"/>
        <v>0.50000000000000178</v>
      </c>
      <c r="E946">
        <f>MIN(B946,C946)*Assumptions!$B$2</f>
        <v>7.4999999999999991</v>
      </c>
      <c r="F946">
        <f>MAX(C946-B946,0)*Assumptions!$B$2</f>
        <v>0</v>
      </c>
      <c r="G946">
        <f>MAX(B946-C946,0)*Assumptions!$B$2</f>
        <v>0.25000000000000089</v>
      </c>
    </row>
    <row r="947" spans="1:7" x14ac:dyDescent="0.3">
      <c r="A947" s="5">
        <f>Raw_Load_Data!A947</f>
        <v>46223.687500002292</v>
      </c>
      <c r="B947">
        <f>Raw_Load_Data!B947</f>
        <v>19.899999999999999</v>
      </c>
      <c r="C947">
        <f>MAX(0,IF(AND(HOUR(A947)&gt;=6,HOUR(A947)&lt;=18),Assumptions!$B$8*SIN(PI()*(HOUR(A947)+MINUTE(A947)/60-6)/12),0))</f>
        <v>11.480502970952697</v>
      </c>
      <c r="D947">
        <f t="shared" si="14"/>
        <v>8.4194970290473012</v>
      </c>
      <c r="E947">
        <f>MIN(B947,C947)*Assumptions!$B$2</f>
        <v>5.7402514854763487</v>
      </c>
      <c r="F947">
        <f>MAX(C947-B947,0)*Assumptions!$B$2</f>
        <v>0</v>
      </c>
      <c r="G947">
        <f>MAX(B947-C947,0)*Assumptions!$B$2</f>
        <v>4.2097485145236506</v>
      </c>
    </row>
    <row r="948" spans="1:7" x14ac:dyDescent="0.3">
      <c r="A948" s="5">
        <f>Raw_Load_Data!A948</f>
        <v>46223.708333335628</v>
      </c>
      <c r="B948">
        <f>Raw_Load_Data!B948</f>
        <v>16.899999999999999</v>
      </c>
      <c r="C948">
        <f>MAX(0,IF(AND(HOUR(A948)&gt;=6,HOUR(A948)&lt;=18),Assumptions!$B$8*SIN(PI()*(HOUR(A948)+MINUTE(A948)/60-6)/12),0))</f>
        <v>7.7645713530756302</v>
      </c>
      <c r="D948">
        <f t="shared" si="14"/>
        <v>9.1354286469243675</v>
      </c>
      <c r="E948">
        <f>MIN(B948,C948)*Assumptions!$B$2</f>
        <v>3.8822856765378151</v>
      </c>
      <c r="F948">
        <f>MAX(C948-B948,0)*Assumptions!$B$2</f>
        <v>0</v>
      </c>
      <c r="G948">
        <f>MAX(B948-C948,0)*Assumptions!$B$2</f>
        <v>4.5677143234621838</v>
      </c>
    </row>
    <row r="949" spans="1:7" x14ac:dyDescent="0.3">
      <c r="A949" s="5">
        <f>Raw_Load_Data!A949</f>
        <v>46223.729166668963</v>
      </c>
      <c r="B949">
        <f>Raw_Load_Data!B949</f>
        <v>15</v>
      </c>
      <c r="C949">
        <f>MAX(0,IF(AND(HOUR(A949)&gt;=6,HOUR(A949)&lt;=18),Assumptions!$B$8*SIN(PI()*(HOUR(A949)+MINUTE(A949)/60-6)/12),0))</f>
        <v>3.9157857666015596</v>
      </c>
      <c r="D949">
        <f t="shared" si="14"/>
        <v>11.084214233398441</v>
      </c>
      <c r="E949">
        <f>MIN(B949,C949)*Assumptions!$B$2</f>
        <v>1.9578928833007798</v>
      </c>
      <c r="F949">
        <f>MAX(C949-B949,0)*Assumptions!$B$2</f>
        <v>0</v>
      </c>
      <c r="G949">
        <f>MAX(B949-C949,0)*Assumptions!$B$2</f>
        <v>5.5421071166992206</v>
      </c>
    </row>
    <row r="950" spans="1:7" x14ac:dyDescent="0.3">
      <c r="A950" s="5">
        <f>Raw_Load_Data!A950</f>
        <v>46223.750000002299</v>
      </c>
      <c r="B950">
        <f>Raw_Load_Data!B950</f>
        <v>11.1</v>
      </c>
      <c r="C950">
        <f>MAX(0,IF(AND(HOUR(A950)&gt;=6,HOUR(A950)&lt;=18),Assumptions!$B$8*SIN(PI()*(HOUR(A950)+MINUTE(A950)/60-6)/12),0))</f>
        <v>3.67544536472586E-15</v>
      </c>
      <c r="D950">
        <f t="shared" si="14"/>
        <v>11.099999999999996</v>
      </c>
      <c r="E950">
        <f>MIN(B950,C950)*Assumptions!$B$2</f>
        <v>1.83772268236293E-15</v>
      </c>
      <c r="F950">
        <f>MAX(C950-B950,0)*Assumptions!$B$2</f>
        <v>0</v>
      </c>
      <c r="G950">
        <f>MAX(B950-C950,0)*Assumptions!$B$2</f>
        <v>5.549999999999998</v>
      </c>
    </row>
    <row r="951" spans="1:7" x14ac:dyDescent="0.3">
      <c r="A951" s="5">
        <f>Raw_Load_Data!A951</f>
        <v>46223.770833335635</v>
      </c>
      <c r="B951">
        <f>Raw_Load_Data!B951</f>
        <v>10.1</v>
      </c>
      <c r="C951">
        <f>MAX(0,IF(AND(HOUR(A951)&gt;=6,HOUR(A951)&lt;=18),Assumptions!$B$8*SIN(PI()*(HOUR(A951)+MINUTE(A951)/60-6)/12),0))</f>
        <v>0</v>
      </c>
      <c r="D951">
        <f t="shared" si="14"/>
        <v>10.1</v>
      </c>
      <c r="E951">
        <f>MIN(B951,C951)*Assumptions!$B$2</f>
        <v>0</v>
      </c>
      <c r="F951">
        <f>MAX(C951-B951,0)*Assumptions!$B$2</f>
        <v>0</v>
      </c>
      <c r="G951">
        <f>MAX(B951-C951,0)*Assumptions!$B$2</f>
        <v>5.05</v>
      </c>
    </row>
    <row r="952" spans="1:7" x14ac:dyDescent="0.3">
      <c r="A952" s="5">
        <f>Raw_Load_Data!A952</f>
        <v>46223.791666668971</v>
      </c>
      <c r="B952">
        <f>Raw_Load_Data!B952</f>
        <v>3</v>
      </c>
      <c r="C952">
        <f>MAX(0,IF(AND(HOUR(A952)&gt;=6,HOUR(A952)&lt;=18),Assumptions!$B$8*SIN(PI()*(HOUR(A952)+MINUTE(A952)/60-6)/12),0))</f>
        <v>0</v>
      </c>
      <c r="D952">
        <f t="shared" si="14"/>
        <v>3</v>
      </c>
      <c r="E952">
        <f>MIN(B952,C952)*Assumptions!$B$2</f>
        <v>0</v>
      </c>
      <c r="F952">
        <f>MAX(C952-B952,0)*Assumptions!$B$2</f>
        <v>0</v>
      </c>
      <c r="G952">
        <f>MAX(B952-C952,0)*Assumptions!$B$2</f>
        <v>1.5</v>
      </c>
    </row>
    <row r="953" spans="1:7" x14ac:dyDescent="0.3">
      <c r="A953" s="5">
        <f>Raw_Load_Data!A953</f>
        <v>46223.812500002306</v>
      </c>
      <c r="B953">
        <f>Raw_Load_Data!B953</f>
        <v>7.4</v>
      </c>
      <c r="C953">
        <f>MAX(0,IF(AND(HOUR(A953)&gt;=6,HOUR(A953)&lt;=18),Assumptions!$B$8*SIN(PI()*(HOUR(A953)+MINUTE(A953)/60-6)/12),0))</f>
        <v>0</v>
      </c>
      <c r="D953">
        <f t="shared" si="14"/>
        <v>7.4</v>
      </c>
      <c r="E953">
        <f>MIN(B953,C953)*Assumptions!$B$2</f>
        <v>0</v>
      </c>
      <c r="F953">
        <f>MAX(C953-B953,0)*Assumptions!$B$2</f>
        <v>0</v>
      </c>
      <c r="G953">
        <f>MAX(B953-C953,0)*Assumptions!$B$2</f>
        <v>3.7</v>
      </c>
    </row>
    <row r="954" spans="1:7" x14ac:dyDescent="0.3">
      <c r="A954" s="5">
        <f>Raw_Load_Data!A954</f>
        <v>46223.833333335642</v>
      </c>
      <c r="B954">
        <f>Raw_Load_Data!B954</f>
        <v>7.8</v>
      </c>
      <c r="C954">
        <f>MAX(0,IF(AND(HOUR(A954)&gt;=6,HOUR(A954)&lt;=18),Assumptions!$B$8*SIN(PI()*(HOUR(A954)+MINUTE(A954)/60-6)/12),0))</f>
        <v>0</v>
      </c>
      <c r="D954">
        <f t="shared" si="14"/>
        <v>7.8</v>
      </c>
      <c r="E954">
        <f>MIN(B954,C954)*Assumptions!$B$2</f>
        <v>0</v>
      </c>
      <c r="F954">
        <f>MAX(C954-B954,0)*Assumptions!$B$2</f>
        <v>0</v>
      </c>
      <c r="G954">
        <f>MAX(B954-C954,0)*Assumptions!$B$2</f>
        <v>3.9</v>
      </c>
    </row>
    <row r="955" spans="1:7" x14ac:dyDescent="0.3">
      <c r="A955" s="5">
        <f>Raw_Load_Data!A955</f>
        <v>46223.854166668978</v>
      </c>
      <c r="B955">
        <f>Raw_Load_Data!B955</f>
        <v>3</v>
      </c>
      <c r="C955">
        <f>MAX(0,IF(AND(HOUR(A955)&gt;=6,HOUR(A955)&lt;=18),Assumptions!$B$8*SIN(PI()*(HOUR(A955)+MINUTE(A955)/60-6)/12),0))</f>
        <v>0</v>
      </c>
      <c r="D955">
        <f t="shared" si="14"/>
        <v>3</v>
      </c>
      <c r="E955">
        <f>MIN(B955,C955)*Assumptions!$B$2</f>
        <v>0</v>
      </c>
      <c r="F955">
        <f>MAX(C955-B955,0)*Assumptions!$B$2</f>
        <v>0</v>
      </c>
      <c r="G955">
        <f>MAX(B955-C955,0)*Assumptions!$B$2</f>
        <v>1.5</v>
      </c>
    </row>
    <row r="956" spans="1:7" x14ac:dyDescent="0.3">
      <c r="A956" s="5">
        <f>Raw_Load_Data!A956</f>
        <v>46223.875000002314</v>
      </c>
      <c r="B956">
        <f>Raw_Load_Data!B956</f>
        <v>4.9000000000000004</v>
      </c>
      <c r="C956">
        <f>MAX(0,IF(AND(HOUR(A956)&gt;=6,HOUR(A956)&lt;=18),Assumptions!$B$8*SIN(PI()*(HOUR(A956)+MINUTE(A956)/60-6)/12),0))</f>
        <v>0</v>
      </c>
      <c r="D956">
        <f t="shared" si="14"/>
        <v>4.9000000000000004</v>
      </c>
      <c r="E956">
        <f>MIN(B956,C956)*Assumptions!$B$2</f>
        <v>0</v>
      </c>
      <c r="F956">
        <f>MAX(C956-B956,0)*Assumptions!$B$2</f>
        <v>0</v>
      </c>
      <c r="G956">
        <f>MAX(B956-C956,0)*Assumptions!$B$2</f>
        <v>2.4500000000000002</v>
      </c>
    </row>
    <row r="957" spans="1:7" x14ac:dyDescent="0.3">
      <c r="A957" s="5">
        <f>Raw_Load_Data!A957</f>
        <v>46223.89583333565</v>
      </c>
      <c r="B957">
        <f>Raw_Load_Data!B957</f>
        <v>7.5</v>
      </c>
      <c r="C957">
        <f>MAX(0,IF(AND(HOUR(A957)&gt;=6,HOUR(A957)&lt;=18),Assumptions!$B$8*SIN(PI()*(HOUR(A957)+MINUTE(A957)/60-6)/12),0))</f>
        <v>0</v>
      </c>
      <c r="D957">
        <f t="shared" si="14"/>
        <v>7.5</v>
      </c>
      <c r="E957">
        <f>MIN(B957,C957)*Assumptions!$B$2</f>
        <v>0</v>
      </c>
      <c r="F957">
        <f>MAX(C957-B957,0)*Assumptions!$B$2</f>
        <v>0</v>
      </c>
      <c r="G957">
        <f>MAX(B957-C957,0)*Assumptions!$B$2</f>
        <v>3.75</v>
      </c>
    </row>
    <row r="958" spans="1:7" x14ac:dyDescent="0.3">
      <c r="A958" s="5">
        <f>Raw_Load_Data!A958</f>
        <v>46223.916666668985</v>
      </c>
      <c r="B958">
        <f>Raw_Load_Data!B958</f>
        <v>5.4</v>
      </c>
      <c r="C958">
        <f>MAX(0,IF(AND(HOUR(A958)&gt;=6,HOUR(A958)&lt;=18),Assumptions!$B$8*SIN(PI()*(HOUR(A958)+MINUTE(A958)/60-6)/12),0))</f>
        <v>0</v>
      </c>
      <c r="D958">
        <f t="shared" si="14"/>
        <v>5.4</v>
      </c>
      <c r="E958">
        <f>MIN(B958,C958)*Assumptions!$B$2</f>
        <v>0</v>
      </c>
      <c r="F958">
        <f>MAX(C958-B958,0)*Assumptions!$B$2</f>
        <v>0</v>
      </c>
      <c r="G958">
        <f>MAX(B958-C958,0)*Assumptions!$B$2</f>
        <v>2.7</v>
      </c>
    </row>
    <row r="959" spans="1:7" x14ac:dyDescent="0.3">
      <c r="A959" s="5">
        <f>Raw_Load_Data!A959</f>
        <v>46223.937500002321</v>
      </c>
      <c r="B959">
        <f>Raw_Load_Data!B959</f>
        <v>7.7</v>
      </c>
      <c r="C959">
        <f>MAX(0,IF(AND(HOUR(A959)&gt;=6,HOUR(A959)&lt;=18),Assumptions!$B$8*SIN(PI()*(HOUR(A959)+MINUTE(A959)/60-6)/12),0))</f>
        <v>0</v>
      </c>
      <c r="D959">
        <f t="shared" si="14"/>
        <v>7.7</v>
      </c>
      <c r="E959">
        <f>MIN(B959,C959)*Assumptions!$B$2</f>
        <v>0</v>
      </c>
      <c r="F959">
        <f>MAX(C959-B959,0)*Assumptions!$B$2</f>
        <v>0</v>
      </c>
      <c r="G959">
        <f>MAX(B959-C959,0)*Assumptions!$B$2</f>
        <v>3.85</v>
      </c>
    </row>
    <row r="960" spans="1:7" x14ac:dyDescent="0.3">
      <c r="A960" s="5">
        <f>Raw_Load_Data!A960</f>
        <v>46223.958333335657</v>
      </c>
      <c r="B960">
        <f>Raw_Load_Data!B960</f>
        <v>4.7</v>
      </c>
      <c r="C960">
        <f>MAX(0,IF(AND(HOUR(A960)&gt;=6,HOUR(A960)&lt;=18),Assumptions!$B$8*SIN(PI()*(HOUR(A960)+MINUTE(A960)/60-6)/12),0))</f>
        <v>0</v>
      </c>
      <c r="D960">
        <f t="shared" si="14"/>
        <v>4.7</v>
      </c>
      <c r="E960">
        <f>MIN(B960,C960)*Assumptions!$B$2</f>
        <v>0</v>
      </c>
      <c r="F960">
        <f>MAX(C960-B960,0)*Assumptions!$B$2</f>
        <v>0</v>
      </c>
      <c r="G960">
        <f>MAX(B960-C960,0)*Assumptions!$B$2</f>
        <v>2.35</v>
      </c>
    </row>
    <row r="961" spans="1:7" x14ac:dyDescent="0.3">
      <c r="A961" s="5">
        <f>Raw_Load_Data!A961</f>
        <v>46223.979166668993</v>
      </c>
      <c r="B961">
        <f>Raw_Load_Data!B961</f>
        <v>6.6</v>
      </c>
      <c r="C961">
        <f>MAX(0,IF(AND(HOUR(A961)&gt;=6,HOUR(A961)&lt;=18),Assumptions!$B$8*SIN(PI()*(HOUR(A961)+MINUTE(A961)/60-6)/12),0))</f>
        <v>0</v>
      </c>
      <c r="D961">
        <f t="shared" si="14"/>
        <v>6.6</v>
      </c>
      <c r="E961">
        <f>MIN(B961,C961)*Assumptions!$B$2</f>
        <v>0</v>
      </c>
      <c r="F961">
        <f>MAX(C961-B961,0)*Assumptions!$B$2</f>
        <v>0</v>
      </c>
      <c r="G961">
        <f>MAX(B961-C961,0)*Assumptions!$B$2</f>
        <v>3.3</v>
      </c>
    </row>
    <row r="962" spans="1:7" x14ac:dyDescent="0.3">
      <c r="A962" s="5">
        <f>Raw_Load_Data!A962</f>
        <v>46224.000000002328</v>
      </c>
      <c r="B962">
        <f>Raw_Load_Data!B962</f>
        <v>2.2999999999999998</v>
      </c>
      <c r="C962">
        <f>MAX(0,IF(AND(HOUR(A962)&gt;=6,HOUR(A962)&lt;=18),Assumptions!$B$8*SIN(PI()*(HOUR(A962)+MINUTE(A962)/60-6)/12),0))</f>
        <v>0</v>
      </c>
      <c r="D962">
        <f t="shared" si="14"/>
        <v>2.2999999999999998</v>
      </c>
      <c r="E962">
        <f>MIN(B962,C962)*Assumptions!$B$2</f>
        <v>0</v>
      </c>
      <c r="F962">
        <f>MAX(C962-B962,0)*Assumptions!$B$2</f>
        <v>0</v>
      </c>
      <c r="G962">
        <f>MAX(B962-C962,0)*Assumptions!$B$2</f>
        <v>1.1499999999999999</v>
      </c>
    </row>
    <row r="963" spans="1:7" x14ac:dyDescent="0.3">
      <c r="A963" s="5">
        <f>Raw_Load_Data!A963</f>
        <v>46224.020833335664</v>
      </c>
      <c r="B963">
        <f>Raw_Load_Data!B963</f>
        <v>2.2999999999999998</v>
      </c>
      <c r="C963">
        <f>MAX(0,IF(AND(HOUR(A963)&gt;=6,HOUR(A963)&lt;=18),Assumptions!$B$8*SIN(PI()*(HOUR(A963)+MINUTE(A963)/60-6)/12),0))</f>
        <v>0</v>
      </c>
      <c r="D963">
        <f t="shared" ref="D963:D1026" si="15">B963-C963</f>
        <v>2.2999999999999998</v>
      </c>
      <c r="E963">
        <f>MIN(B963,C963)*Assumptions!$B$2</f>
        <v>0</v>
      </c>
      <c r="F963">
        <f>MAX(C963-B963,0)*Assumptions!$B$2</f>
        <v>0</v>
      </c>
      <c r="G963">
        <f>MAX(B963-C963,0)*Assumptions!$B$2</f>
        <v>1.1499999999999999</v>
      </c>
    </row>
    <row r="964" spans="1:7" x14ac:dyDescent="0.3">
      <c r="A964" s="5">
        <f>Raw_Load_Data!A964</f>
        <v>46224.041666669</v>
      </c>
      <c r="B964">
        <f>Raw_Load_Data!B964</f>
        <v>3</v>
      </c>
      <c r="C964">
        <f>MAX(0,IF(AND(HOUR(A964)&gt;=6,HOUR(A964)&lt;=18),Assumptions!$B$8*SIN(PI()*(HOUR(A964)+MINUTE(A964)/60-6)/12),0))</f>
        <v>0</v>
      </c>
      <c r="D964">
        <f t="shared" si="15"/>
        <v>3</v>
      </c>
      <c r="E964">
        <f>MIN(B964,C964)*Assumptions!$B$2</f>
        <v>0</v>
      </c>
      <c r="F964">
        <f>MAX(C964-B964,0)*Assumptions!$B$2</f>
        <v>0</v>
      </c>
      <c r="G964">
        <f>MAX(B964-C964,0)*Assumptions!$B$2</f>
        <v>1.5</v>
      </c>
    </row>
    <row r="965" spans="1:7" x14ac:dyDescent="0.3">
      <c r="A965" s="5">
        <f>Raw_Load_Data!A965</f>
        <v>46224.062500002336</v>
      </c>
      <c r="B965">
        <f>Raw_Load_Data!B965</f>
        <v>2.4</v>
      </c>
      <c r="C965">
        <f>MAX(0,IF(AND(HOUR(A965)&gt;=6,HOUR(A965)&lt;=18),Assumptions!$B$8*SIN(PI()*(HOUR(A965)+MINUTE(A965)/60-6)/12),0))</f>
        <v>0</v>
      </c>
      <c r="D965">
        <f t="shared" si="15"/>
        <v>2.4</v>
      </c>
      <c r="E965">
        <f>MIN(B965,C965)*Assumptions!$B$2</f>
        <v>0</v>
      </c>
      <c r="F965">
        <f>MAX(C965-B965,0)*Assumptions!$B$2</f>
        <v>0</v>
      </c>
      <c r="G965">
        <f>MAX(B965-C965,0)*Assumptions!$B$2</f>
        <v>1.2</v>
      </c>
    </row>
    <row r="966" spans="1:7" x14ac:dyDescent="0.3">
      <c r="A966" s="5">
        <f>Raw_Load_Data!A966</f>
        <v>46224.083333335671</v>
      </c>
      <c r="B966">
        <f>Raw_Load_Data!B966</f>
        <v>2.2000000000000002</v>
      </c>
      <c r="C966">
        <f>MAX(0,IF(AND(HOUR(A966)&gt;=6,HOUR(A966)&lt;=18),Assumptions!$B$8*SIN(PI()*(HOUR(A966)+MINUTE(A966)/60-6)/12),0))</f>
        <v>0</v>
      </c>
      <c r="D966">
        <f t="shared" si="15"/>
        <v>2.2000000000000002</v>
      </c>
      <c r="E966">
        <f>MIN(B966,C966)*Assumptions!$B$2</f>
        <v>0</v>
      </c>
      <c r="F966">
        <f>MAX(C966-B966,0)*Assumptions!$B$2</f>
        <v>0</v>
      </c>
      <c r="G966">
        <f>MAX(B966-C966,0)*Assumptions!$B$2</f>
        <v>1.1000000000000001</v>
      </c>
    </row>
    <row r="967" spans="1:7" x14ac:dyDescent="0.3">
      <c r="A967" s="5">
        <f>Raw_Load_Data!A967</f>
        <v>46224.104166669007</v>
      </c>
      <c r="B967">
        <f>Raw_Load_Data!B967</f>
        <v>2.8</v>
      </c>
      <c r="C967">
        <f>MAX(0,IF(AND(HOUR(A967)&gt;=6,HOUR(A967)&lt;=18),Assumptions!$B$8*SIN(PI()*(HOUR(A967)+MINUTE(A967)/60-6)/12),0))</f>
        <v>0</v>
      </c>
      <c r="D967">
        <f t="shared" si="15"/>
        <v>2.8</v>
      </c>
      <c r="E967">
        <f>MIN(B967,C967)*Assumptions!$B$2</f>
        <v>0</v>
      </c>
      <c r="F967">
        <f>MAX(C967-B967,0)*Assumptions!$B$2</f>
        <v>0</v>
      </c>
      <c r="G967">
        <f>MAX(B967-C967,0)*Assumptions!$B$2</f>
        <v>1.4</v>
      </c>
    </row>
    <row r="968" spans="1:7" x14ac:dyDescent="0.3">
      <c r="A968" s="5">
        <f>Raw_Load_Data!A968</f>
        <v>46224.125000002343</v>
      </c>
      <c r="B968">
        <f>Raw_Load_Data!B968</f>
        <v>2.5</v>
      </c>
      <c r="C968">
        <f>MAX(0,IF(AND(HOUR(A968)&gt;=6,HOUR(A968)&lt;=18),Assumptions!$B$8*SIN(PI()*(HOUR(A968)+MINUTE(A968)/60-6)/12),0))</f>
        <v>0</v>
      </c>
      <c r="D968">
        <f t="shared" si="15"/>
        <v>2.5</v>
      </c>
      <c r="E968">
        <f>MIN(B968,C968)*Assumptions!$B$2</f>
        <v>0</v>
      </c>
      <c r="F968">
        <f>MAX(C968-B968,0)*Assumptions!$B$2</f>
        <v>0</v>
      </c>
      <c r="G968">
        <f>MAX(B968-C968,0)*Assumptions!$B$2</f>
        <v>1.25</v>
      </c>
    </row>
    <row r="969" spans="1:7" x14ac:dyDescent="0.3">
      <c r="A969" s="5">
        <f>Raw_Load_Data!A969</f>
        <v>46224.145833335679</v>
      </c>
      <c r="B969">
        <f>Raw_Load_Data!B969</f>
        <v>2.6</v>
      </c>
      <c r="C969">
        <f>MAX(0,IF(AND(HOUR(A969)&gt;=6,HOUR(A969)&lt;=18),Assumptions!$B$8*SIN(PI()*(HOUR(A969)+MINUTE(A969)/60-6)/12),0))</f>
        <v>0</v>
      </c>
      <c r="D969">
        <f t="shared" si="15"/>
        <v>2.6</v>
      </c>
      <c r="E969">
        <f>MIN(B969,C969)*Assumptions!$B$2</f>
        <v>0</v>
      </c>
      <c r="F969">
        <f>MAX(C969-B969,0)*Assumptions!$B$2</f>
        <v>0</v>
      </c>
      <c r="G969">
        <f>MAX(B969-C969,0)*Assumptions!$B$2</f>
        <v>1.3</v>
      </c>
    </row>
    <row r="970" spans="1:7" x14ac:dyDescent="0.3">
      <c r="A970" s="5">
        <f>Raw_Load_Data!A970</f>
        <v>46224.166666669014</v>
      </c>
      <c r="B970">
        <f>Raw_Load_Data!B970</f>
        <v>2.9</v>
      </c>
      <c r="C970">
        <f>MAX(0,IF(AND(HOUR(A970)&gt;=6,HOUR(A970)&lt;=18),Assumptions!$B$8*SIN(PI()*(HOUR(A970)+MINUTE(A970)/60-6)/12),0))</f>
        <v>0</v>
      </c>
      <c r="D970">
        <f t="shared" si="15"/>
        <v>2.9</v>
      </c>
      <c r="E970">
        <f>MIN(B970,C970)*Assumptions!$B$2</f>
        <v>0</v>
      </c>
      <c r="F970">
        <f>MAX(C970-B970,0)*Assumptions!$B$2</f>
        <v>0</v>
      </c>
      <c r="G970">
        <f>MAX(B970-C970,0)*Assumptions!$B$2</f>
        <v>1.45</v>
      </c>
    </row>
    <row r="971" spans="1:7" x14ac:dyDescent="0.3">
      <c r="A971" s="5">
        <f>Raw_Load_Data!A971</f>
        <v>46224.18750000235</v>
      </c>
      <c r="B971">
        <f>Raw_Load_Data!B971</f>
        <v>2.2000000000000002</v>
      </c>
      <c r="C971">
        <f>MAX(0,IF(AND(HOUR(A971)&gt;=6,HOUR(A971)&lt;=18),Assumptions!$B$8*SIN(PI()*(HOUR(A971)+MINUTE(A971)/60-6)/12),0))</f>
        <v>0</v>
      </c>
      <c r="D971">
        <f t="shared" si="15"/>
        <v>2.2000000000000002</v>
      </c>
      <c r="E971">
        <f>MIN(B971,C971)*Assumptions!$B$2</f>
        <v>0</v>
      </c>
      <c r="F971">
        <f>MAX(C971-B971,0)*Assumptions!$B$2</f>
        <v>0</v>
      </c>
      <c r="G971">
        <f>MAX(B971-C971,0)*Assumptions!$B$2</f>
        <v>1.1000000000000001</v>
      </c>
    </row>
    <row r="972" spans="1:7" x14ac:dyDescent="0.3">
      <c r="A972" s="5">
        <f>Raw_Load_Data!A972</f>
        <v>46224.208333335686</v>
      </c>
      <c r="B972">
        <f>Raw_Load_Data!B972</f>
        <v>2</v>
      </c>
      <c r="C972">
        <f>MAX(0,IF(AND(HOUR(A972)&gt;=6,HOUR(A972)&lt;=18),Assumptions!$B$8*SIN(PI()*(HOUR(A972)+MINUTE(A972)/60-6)/12),0))</f>
        <v>0</v>
      </c>
      <c r="D972">
        <f t="shared" si="15"/>
        <v>2</v>
      </c>
      <c r="E972">
        <f>MIN(B972,C972)*Assumptions!$B$2</f>
        <v>0</v>
      </c>
      <c r="F972">
        <f>MAX(C972-B972,0)*Assumptions!$B$2</f>
        <v>0</v>
      </c>
      <c r="G972">
        <f>MAX(B972-C972,0)*Assumptions!$B$2</f>
        <v>1</v>
      </c>
    </row>
    <row r="973" spans="1:7" x14ac:dyDescent="0.3">
      <c r="A973" s="5">
        <f>Raw_Load_Data!A973</f>
        <v>46224.229166669022</v>
      </c>
      <c r="B973">
        <f>Raw_Load_Data!B973</f>
        <v>2.8</v>
      </c>
      <c r="C973">
        <f>MAX(0,IF(AND(HOUR(A973)&gt;=6,HOUR(A973)&lt;=18),Assumptions!$B$8*SIN(PI()*(HOUR(A973)+MINUTE(A973)/60-6)/12),0))</f>
        <v>0</v>
      </c>
      <c r="D973">
        <f t="shared" si="15"/>
        <v>2.8</v>
      </c>
      <c r="E973">
        <f>MIN(B973,C973)*Assumptions!$B$2</f>
        <v>0</v>
      </c>
      <c r="F973">
        <f>MAX(C973-B973,0)*Assumptions!$B$2</f>
        <v>0</v>
      </c>
      <c r="G973">
        <f>MAX(B973-C973,0)*Assumptions!$B$2</f>
        <v>1.4</v>
      </c>
    </row>
    <row r="974" spans="1:7" x14ac:dyDescent="0.3">
      <c r="A974" s="5">
        <f>Raw_Load_Data!A974</f>
        <v>46224.250000002357</v>
      </c>
      <c r="B974">
        <f>Raw_Load_Data!B974</f>
        <v>6.7</v>
      </c>
      <c r="C974">
        <f>MAX(0,IF(AND(HOUR(A974)&gt;=6,HOUR(A974)&lt;=18),Assumptions!$B$8*SIN(PI()*(HOUR(A974)+MINUTE(A974)/60-6)/12),0))</f>
        <v>0</v>
      </c>
      <c r="D974">
        <f t="shared" si="15"/>
        <v>6.7</v>
      </c>
      <c r="E974">
        <f>MIN(B974,C974)*Assumptions!$B$2</f>
        <v>0</v>
      </c>
      <c r="F974">
        <f>MAX(C974-B974,0)*Assumptions!$B$2</f>
        <v>0</v>
      </c>
      <c r="G974">
        <f>MAX(B974-C974,0)*Assumptions!$B$2</f>
        <v>3.35</v>
      </c>
    </row>
    <row r="975" spans="1:7" x14ac:dyDescent="0.3">
      <c r="A975" s="5">
        <f>Raw_Load_Data!A975</f>
        <v>46224.270833335693</v>
      </c>
      <c r="B975">
        <f>Raw_Load_Data!B975</f>
        <v>7.7</v>
      </c>
      <c r="C975">
        <f>MAX(0,IF(AND(HOUR(A975)&gt;=6,HOUR(A975)&lt;=18),Assumptions!$B$8*SIN(PI()*(HOUR(A975)+MINUTE(A975)/60-6)/12),0))</f>
        <v>3.9157857666015472</v>
      </c>
      <c r="D975">
        <f t="shared" si="15"/>
        <v>3.784214233398453</v>
      </c>
      <c r="E975">
        <f>MIN(B975,C975)*Assumptions!$B$2</f>
        <v>1.9578928833007736</v>
      </c>
      <c r="F975">
        <f>MAX(C975-B975,0)*Assumptions!$B$2</f>
        <v>0</v>
      </c>
      <c r="G975">
        <f>MAX(B975-C975,0)*Assumptions!$B$2</f>
        <v>1.8921071166992265</v>
      </c>
    </row>
    <row r="976" spans="1:7" x14ac:dyDescent="0.3">
      <c r="A976" s="5">
        <f>Raw_Load_Data!A976</f>
        <v>46224.291666669029</v>
      </c>
      <c r="B976">
        <f>Raw_Load_Data!B976</f>
        <v>5.8</v>
      </c>
      <c r="C976">
        <f>MAX(0,IF(AND(HOUR(A976)&gt;=6,HOUR(A976)&lt;=18),Assumptions!$B$8*SIN(PI()*(HOUR(A976)+MINUTE(A976)/60-6)/12),0))</f>
        <v>7.7645713530756222</v>
      </c>
      <c r="D976">
        <f t="shared" si="15"/>
        <v>-1.9645713530756224</v>
      </c>
      <c r="E976">
        <f>MIN(B976,C976)*Assumptions!$B$2</f>
        <v>2.9</v>
      </c>
      <c r="F976">
        <f>MAX(C976-B976,0)*Assumptions!$B$2</f>
        <v>0.98228567653781118</v>
      </c>
      <c r="G976">
        <f>MAX(B976-C976,0)*Assumptions!$B$2</f>
        <v>0</v>
      </c>
    </row>
    <row r="977" spans="1:7" x14ac:dyDescent="0.3">
      <c r="A977" s="5">
        <f>Raw_Load_Data!A977</f>
        <v>46224.312500002365</v>
      </c>
      <c r="B977">
        <f>Raw_Load_Data!B977</f>
        <v>7.3</v>
      </c>
      <c r="C977">
        <f>MAX(0,IF(AND(HOUR(A977)&gt;=6,HOUR(A977)&lt;=18),Assumptions!$B$8*SIN(PI()*(HOUR(A977)+MINUTE(A977)/60-6)/12),0))</f>
        <v>11.480502970952694</v>
      </c>
      <c r="D977">
        <f t="shared" si="15"/>
        <v>-4.180502970952694</v>
      </c>
      <c r="E977">
        <f>MIN(B977,C977)*Assumptions!$B$2</f>
        <v>3.65</v>
      </c>
      <c r="F977">
        <f>MAX(C977-B977,0)*Assumptions!$B$2</f>
        <v>2.090251485476347</v>
      </c>
      <c r="G977">
        <f>MAX(B977-C977,0)*Assumptions!$B$2</f>
        <v>0</v>
      </c>
    </row>
    <row r="978" spans="1:7" x14ac:dyDescent="0.3">
      <c r="A978" s="5">
        <f>Raw_Load_Data!A978</f>
        <v>46224.3333333357</v>
      </c>
      <c r="B978">
        <f>Raw_Load_Data!B978</f>
        <v>15.2</v>
      </c>
      <c r="C978">
        <f>MAX(0,IF(AND(HOUR(A978)&gt;=6,HOUR(A978)&lt;=18),Assumptions!$B$8*SIN(PI()*(HOUR(A978)+MINUTE(A978)/60-6)/12),0))</f>
        <v>14.999999999999998</v>
      </c>
      <c r="D978">
        <f t="shared" si="15"/>
        <v>0.20000000000000107</v>
      </c>
      <c r="E978">
        <f>MIN(B978,C978)*Assumptions!$B$2</f>
        <v>7.4999999999999991</v>
      </c>
      <c r="F978">
        <f>MAX(C978-B978,0)*Assumptions!$B$2</f>
        <v>0</v>
      </c>
      <c r="G978">
        <f>MAX(B978-C978,0)*Assumptions!$B$2</f>
        <v>0.10000000000000053</v>
      </c>
    </row>
    <row r="979" spans="1:7" x14ac:dyDescent="0.3">
      <c r="A979" s="5">
        <f>Raw_Load_Data!A979</f>
        <v>46224.354166669036</v>
      </c>
      <c r="B979">
        <f>Raw_Load_Data!B979</f>
        <v>19.5</v>
      </c>
      <c r="C979">
        <f>MAX(0,IF(AND(HOUR(A979)&gt;=6,HOUR(A979)&lt;=18),Assumptions!$B$8*SIN(PI()*(HOUR(A979)+MINUTE(A979)/60-6)/12),0))</f>
        <v>18.262842870261618</v>
      </c>
      <c r="D979">
        <f t="shared" si="15"/>
        <v>1.2371571297383817</v>
      </c>
      <c r="E979">
        <f>MIN(B979,C979)*Assumptions!$B$2</f>
        <v>9.1314214351308092</v>
      </c>
      <c r="F979">
        <f>MAX(C979-B979,0)*Assumptions!$B$2</f>
        <v>0</v>
      </c>
      <c r="G979">
        <f>MAX(B979-C979,0)*Assumptions!$B$2</f>
        <v>0.61857856486919083</v>
      </c>
    </row>
    <row r="980" spans="1:7" x14ac:dyDescent="0.3">
      <c r="A980" s="5">
        <f>Raw_Load_Data!A980</f>
        <v>46224.375000002372</v>
      </c>
      <c r="B980">
        <f>Raw_Load_Data!B980</f>
        <v>13</v>
      </c>
      <c r="C980">
        <f>MAX(0,IF(AND(HOUR(A980)&gt;=6,HOUR(A980)&lt;=18),Assumptions!$B$8*SIN(PI()*(HOUR(A980)+MINUTE(A980)/60-6)/12),0))</f>
        <v>21.213203435596423</v>
      </c>
      <c r="D980">
        <f t="shared" si="15"/>
        <v>-8.213203435596423</v>
      </c>
      <c r="E980">
        <f>MIN(B980,C980)*Assumptions!$B$2</f>
        <v>6.5</v>
      </c>
      <c r="F980">
        <f>MAX(C980-B980,0)*Assumptions!$B$2</f>
        <v>4.1066017177982115</v>
      </c>
      <c r="G980">
        <f>MAX(B980-C980,0)*Assumptions!$B$2</f>
        <v>0</v>
      </c>
    </row>
    <row r="981" spans="1:7" x14ac:dyDescent="0.3">
      <c r="A981" s="5">
        <f>Raw_Load_Data!A981</f>
        <v>46224.395833335708</v>
      </c>
      <c r="B981">
        <f>Raw_Load_Data!B981</f>
        <v>16.3</v>
      </c>
      <c r="C981">
        <f>MAX(0,IF(AND(HOUR(A981)&gt;=6,HOUR(A981)&lt;=18),Assumptions!$B$8*SIN(PI()*(HOUR(A981)+MINUTE(A981)/60-6)/12),0))</f>
        <v>23.800600208737055</v>
      </c>
      <c r="D981">
        <f t="shared" si="15"/>
        <v>-7.5006002087370547</v>
      </c>
      <c r="E981">
        <f>MIN(B981,C981)*Assumptions!$B$2</f>
        <v>8.15</v>
      </c>
      <c r="F981">
        <f>MAX(C981-B981,0)*Assumptions!$B$2</f>
        <v>3.7503001043685273</v>
      </c>
      <c r="G981">
        <f>MAX(B981-C981,0)*Assumptions!$B$2</f>
        <v>0</v>
      </c>
    </row>
    <row r="982" spans="1:7" x14ac:dyDescent="0.3">
      <c r="A982" s="5">
        <f>Raw_Load_Data!A982</f>
        <v>46224.416666669043</v>
      </c>
      <c r="B982">
        <f>Raw_Load_Data!B982</f>
        <v>16.2</v>
      </c>
      <c r="C982">
        <f>MAX(0,IF(AND(HOUR(A982)&gt;=6,HOUR(A982)&lt;=18),Assumptions!$B$8*SIN(PI()*(HOUR(A982)+MINUTE(A982)/60-6)/12),0))</f>
        <v>25.980762113533157</v>
      </c>
      <c r="D982">
        <f t="shared" si="15"/>
        <v>-9.7807621135331573</v>
      </c>
      <c r="E982">
        <f>MIN(B982,C982)*Assumptions!$B$2</f>
        <v>8.1</v>
      </c>
      <c r="F982">
        <f>MAX(C982-B982,0)*Assumptions!$B$2</f>
        <v>4.8903810567665786</v>
      </c>
      <c r="G982">
        <f>MAX(B982-C982,0)*Assumptions!$B$2</f>
        <v>0</v>
      </c>
    </row>
    <row r="983" spans="1:7" x14ac:dyDescent="0.3">
      <c r="A983" s="5">
        <f>Raw_Load_Data!A983</f>
        <v>46224.437500002379</v>
      </c>
      <c r="B983">
        <f>Raw_Load_Data!B983</f>
        <v>17.3</v>
      </c>
      <c r="C983">
        <f>MAX(0,IF(AND(HOUR(A983)&gt;=6,HOUR(A983)&lt;=18),Assumptions!$B$8*SIN(PI()*(HOUR(A983)+MINUTE(A983)/60-6)/12),0))</f>
        <v>27.716385975338603</v>
      </c>
      <c r="D983">
        <f t="shared" si="15"/>
        <v>-10.416385975338603</v>
      </c>
      <c r="E983">
        <f>MIN(B983,C983)*Assumptions!$B$2</f>
        <v>8.65</v>
      </c>
      <c r="F983">
        <f>MAX(C983-B983,0)*Assumptions!$B$2</f>
        <v>5.2081929876693014</v>
      </c>
      <c r="G983">
        <f>MAX(B983-C983,0)*Assumptions!$B$2</f>
        <v>0</v>
      </c>
    </row>
    <row r="984" spans="1:7" x14ac:dyDescent="0.3">
      <c r="A984" s="5">
        <f>Raw_Load_Data!A984</f>
        <v>46224.458333335715</v>
      </c>
      <c r="B984">
        <f>Raw_Load_Data!B984</f>
        <v>14.3</v>
      </c>
      <c r="C984">
        <f>MAX(0,IF(AND(HOUR(A984)&gt;=6,HOUR(A984)&lt;=18),Assumptions!$B$8*SIN(PI()*(HOUR(A984)+MINUTE(A984)/60-6)/12),0))</f>
        <v>28.97777478867205</v>
      </c>
      <c r="D984">
        <f t="shared" si="15"/>
        <v>-14.67777478867205</v>
      </c>
      <c r="E984">
        <f>MIN(B984,C984)*Assumptions!$B$2</f>
        <v>7.15</v>
      </c>
      <c r="F984">
        <f>MAX(C984-B984,0)*Assumptions!$B$2</f>
        <v>7.3388873943360249</v>
      </c>
      <c r="G984">
        <f>MAX(B984-C984,0)*Assumptions!$B$2</f>
        <v>0</v>
      </c>
    </row>
    <row r="985" spans="1:7" x14ac:dyDescent="0.3">
      <c r="A985" s="5">
        <f>Raw_Load_Data!A985</f>
        <v>46224.479166669051</v>
      </c>
      <c r="B985">
        <f>Raw_Load_Data!B985</f>
        <v>13.5</v>
      </c>
      <c r="C985">
        <f>MAX(0,IF(AND(HOUR(A985)&gt;=6,HOUR(A985)&lt;=18),Assumptions!$B$8*SIN(PI()*(HOUR(A985)+MINUTE(A985)/60-6)/12),0))</f>
        <v>29.74334584121431</v>
      </c>
      <c r="D985">
        <f t="shared" si="15"/>
        <v>-16.24334584121431</v>
      </c>
      <c r="E985">
        <f>MIN(B985,C985)*Assumptions!$B$2</f>
        <v>6.75</v>
      </c>
      <c r="F985">
        <f>MAX(C985-B985,0)*Assumptions!$B$2</f>
        <v>8.1216729206071552</v>
      </c>
      <c r="G985">
        <f>MAX(B985-C985,0)*Assumptions!$B$2</f>
        <v>0</v>
      </c>
    </row>
    <row r="986" spans="1:7" x14ac:dyDescent="0.3">
      <c r="A986" s="5">
        <f>Raw_Load_Data!A986</f>
        <v>46224.500000002387</v>
      </c>
      <c r="B986">
        <f>Raw_Load_Data!B986</f>
        <v>32.200000000000003</v>
      </c>
      <c r="C986">
        <f>MAX(0,IF(AND(HOUR(A986)&gt;=6,HOUR(A986)&lt;=18),Assumptions!$B$8*SIN(PI()*(HOUR(A986)+MINUTE(A986)/60-6)/12),0))</f>
        <v>30</v>
      </c>
      <c r="D986">
        <f t="shared" si="15"/>
        <v>2.2000000000000028</v>
      </c>
      <c r="E986">
        <f>MIN(B986,C986)*Assumptions!$B$2</f>
        <v>15</v>
      </c>
      <c r="F986">
        <f>MAX(C986-B986,0)*Assumptions!$B$2</f>
        <v>0</v>
      </c>
      <c r="G986">
        <f>MAX(B986-C986,0)*Assumptions!$B$2</f>
        <v>1.1000000000000014</v>
      </c>
    </row>
    <row r="987" spans="1:7" x14ac:dyDescent="0.3">
      <c r="A987" s="5">
        <f>Raw_Load_Data!A987</f>
        <v>46224.520833335722</v>
      </c>
      <c r="B987">
        <f>Raw_Load_Data!B987</f>
        <v>19.2</v>
      </c>
      <c r="C987">
        <f>MAX(0,IF(AND(HOUR(A987)&gt;=6,HOUR(A987)&lt;=18),Assumptions!$B$8*SIN(PI()*(HOUR(A987)+MINUTE(A987)/60-6)/12),0))</f>
        <v>29.74334584121431</v>
      </c>
      <c r="D987">
        <f t="shared" si="15"/>
        <v>-10.543345841214311</v>
      </c>
      <c r="E987">
        <f>MIN(B987,C987)*Assumptions!$B$2</f>
        <v>9.6</v>
      </c>
      <c r="F987">
        <f>MAX(C987-B987,0)*Assumptions!$B$2</f>
        <v>5.2716729206071555</v>
      </c>
      <c r="G987">
        <f>MAX(B987-C987,0)*Assumptions!$B$2</f>
        <v>0</v>
      </c>
    </row>
    <row r="988" spans="1:7" x14ac:dyDescent="0.3">
      <c r="A988" s="5">
        <f>Raw_Load_Data!A988</f>
        <v>46224.541666669058</v>
      </c>
      <c r="B988">
        <f>Raw_Load_Data!B988</f>
        <v>26.5</v>
      </c>
      <c r="C988">
        <f>MAX(0,IF(AND(HOUR(A988)&gt;=6,HOUR(A988)&lt;=18),Assumptions!$B$8*SIN(PI()*(HOUR(A988)+MINUTE(A988)/60-6)/12),0))</f>
        <v>28.97777478867205</v>
      </c>
      <c r="D988">
        <f t="shared" si="15"/>
        <v>-2.4777747886720505</v>
      </c>
      <c r="E988">
        <f>MIN(B988,C988)*Assumptions!$B$2</f>
        <v>13.25</v>
      </c>
      <c r="F988">
        <f>MAX(C988-B988,0)*Assumptions!$B$2</f>
        <v>1.2388873943360252</v>
      </c>
      <c r="G988">
        <f>MAX(B988-C988,0)*Assumptions!$B$2</f>
        <v>0</v>
      </c>
    </row>
    <row r="989" spans="1:7" x14ac:dyDescent="0.3">
      <c r="A989" s="5">
        <f>Raw_Load_Data!A989</f>
        <v>46224.562500002394</v>
      </c>
      <c r="B989">
        <f>Raw_Load_Data!B989</f>
        <v>21.3</v>
      </c>
      <c r="C989">
        <f>MAX(0,IF(AND(HOUR(A989)&gt;=6,HOUR(A989)&lt;=18),Assumptions!$B$8*SIN(PI()*(HOUR(A989)+MINUTE(A989)/60-6)/12),0))</f>
        <v>27.716385975338607</v>
      </c>
      <c r="D989">
        <f t="shared" si="15"/>
        <v>-6.4163859753386063</v>
      </c>
      <c r="E989">
        <f>MIN(B989,C989)*Assumptions!$B$2</f>
        <v>10.65</v>
      </c>
      <c r="F989">
        <f>MAX(C989-B989,0)*Assumptions!$B$2</f>
        <v>3.2081929876693032</v>
      </c>
      <c r="G989">
        <f>MAX(B989-C989,0)*Assumptions!$B$2</f>
        <v>0</v>
      </c>
    </row>
    <row r="990" spans="1:7" x14ac:dyDescent="0.3">
      <c r="A990" s="5">
        <f>Raw_Load_Data!A990</f>
        <v>46224.58333333573</v>
      </c>
      <c r="B990">
        <f>Raw_Load_Data!B990</f>
        <v>18.100000000000001</v>
      </c>
      <c r="C990">
        <f>MAX(0,IF(AND(HOUR(A990)&gt;=6,HOUR(A990)&lt;=18),Assumptions!$B$8*SIN(PI()*(HOUR(A990)+MINUTE(A990)/60-6)/12),0))</f>
        <v>25.98076211353316</v>
      </c>
      <c r="D990">
        <f t="shared" si="15"/>
        <v>-7.8807621135331587</v>
      </c>
      <c r="E990">
        <f>MIN(B990,C990)*Assumptions!$B$2</f>
        <v>9.0500000000000007</v>
      </c>
      <c r="F990">
        <f>MAX(C990-B990,0)*Assumptions!$B$2</f>
        <v>3.9403810567665793</v>
      </c>
      <c r="G990">
        <f>MAX(B990-C990,0)*Assumptions!$B$2</f>
        <v>0</v>
      </c>
    </row>
    <row r="991" spans="1:7" x14ac:dyDescent="0.3">
      <c r="A991" s="5">
        <f>Raw_Load_Data!A991</f>
        <v>46224.604166669065</v>
      </c>
      <c r="B991">
        <f>Raw_Load_Data!B991</f>
        <v>27.6</v>
      </c>
      <c r="C991">
        <f>MAX(0,IF(AND(HOUR(A991)&gt;=6,HOUR(A991)&lt;=18),Assumptions!$B$8*SIN(PI()*(HOUR(A991)+MINUTE(A991)/60-6)/12),0))</f>
        <v>23.800600208737055</v>
      </c>
      <c r="D991">
        <f t="shared" si="15"/>
        <v>3.799399791262946</v>
      </c>
      <c r="E991">
        <f>MIN(B991,C991)*Assumptions!$B$2</f>
        <v>11.900300104368528</v>
      </c>
      <c r="F991">
        <f>MAX(C991-B991,0)*Assumptions!$B$2</f>
        <v>0</v>
      </c>
      <c r="G991">
        <f>MAX(B991-C991,0)*Assumptions!$B$2</f>
        <v>1.899699895631473</v>
      </c>
    </row>
    <row r="992" spans="1:7" x14ac:dyDescent="0.3">
      <c r="A992" s="5">
        <f>Raw_Load_Data!A992</f>
        <v>46224.625000002401</v>
      </c>
      <c r="B992">
        <f>Raw_Load_Data!B992</f>
        <v>26.7</v>
      </c>
      <c r="C992">
        <f>MAX(0,IF(AND(HOUR(A992)&gt;=6,HOUR(A992)&lt;=18),Assumptions!$B$8*SIN(PI()*(HOUR(A992)+MINUTE(A992)/60-6)/12),0))</f>
        <v>21.213203435596427</v>
      </c>
      <c r="D992">
        <f t="shared" si="15"/>
        <v>5.4867965644035728</v>
      </c>
      <c r="E992">
        <f>MIN(B992,C992)*Assumptions!$B$2</f>
        <v>10.606601717798213</v>
      </c>
      <c r="F992">
        <f>MAX(C992-B992,0)*Assumptions!$B$2</f>
        <v>0</v>
      </c>
      <c r="G992">
        <f>MAX(B992-C992,0)*Assumptions!$B$2</f>
        <v>2.7433982822017864</v>
      </c>
    </row>
    <row r="993" spans="1:7" x14ac:dyDescent="0.3">
      <c r="A993" s="5">
        <f>Raw_Load_Data!A993</f>
        <v>46224.645833335737</v>
      </c>
      <c r="B993">
        <f>Raw_Load_Data!B993</f>
        <v>22</v>
      </c>
      <c r="C993">
        <f>MAX(0,IF(AND(HOUR(A993)&gt;=6,HOUR(A993)&lt;=18),Assumptions!$B$8*SIN(PI()*(HOUR(A993)+MINUTE(A993)/60-6)/12),0))</f>
        <v>18.262842870261625</v>
      </c>
      <c r="D993">
        <f t="shared" si="15"/>
        <v>3.7371571297383746</v>
      </c>
      <c r="E993">
        <f>MIN(B993,C993)*Assumptions!$B$2</f>
        <v>9.1314214351308127</v>
      </c>
      <c r="F993">
        <f>MAX(C993-B993,0)*Assumptions!$B$2</f>
        <v>0</v>
      </c>
      <c r="G993">
        <f>MAX(B993-C993,0)*Assumptions!$B$2</f>
        <v>1.8685785648691873</v>
      </c>
    </row>
    <row r="994" spans="1:7" x14ac:dyDescent="0.3">
      <c r="A994" s="5">
        <f>Raw_Load_Data!A994</f>
        <v>46224.666666669073</v>
      </c>
      <c r="B994">
        <f>Raw_Load_Data!B994</f>
        <v>10.199999999999999</v>
      </c>
      <c r="C994">
        <f>MAX(0,IF(AND(HOUR(A994)&gt;=6,HOUR(A994)&lt;=18),Assumptions!$B$8*SIN(PI()*(HOUR(A994)+MINUTE(A994)/60-6)/12),0))</f>
        <v>14.999999999999998</v>
      </c>
      <c r="D994">
        <f t="shared" si="15"/>
        <v>-4.7999999999999989</v>
      </c>
      <c r="E994">
        <f>MIN(B994,C994)*Assumptions!$B$2</f>
        <v>5.0999999999999996</v>
      </c>
      <c r="F994">
        <f>MAX(C994-B994,0)*Assumptions!$B$2</f>
        <v>2.3999999999999995</v>
      </c>
      <c r="G994">
        <f>MAX(B994-C994,0)*Assumptions!$B$2</f>
        <v>0</v>
      </c>
    </row>
    <row r="995" spans="1:7" x14ac:dyDescent="0.3">
      <c r="A995" s="5">
        <f>Raw_Load_Data!A995</f>
        <v>46224.687500002408</v>
      </c>
      <c r="B995">
        <f>Raw_Load_Data!B995</f>
        <v>12.2</v>
      </c>
      <c r="C995">
        <f>MAX(0,IF(AND(HOUR(A995)&gt;=6,HOUR(A995)&lt;=18),Assumptions!$B$8*SIN(PI()*(HOUR(A995)+MINUTE(A995)/60-6)/12),0))</f>
        <v>11.480502970952697</v>
      </c>
      <c r="D995">
        <f t="shared" si="15"/>
        <v>0.71949702904730195</v>
      </c>
      <c r="E995">
        <f>MIN(B995,C995)*Assumptions!$B$2</f>
        <v>5.7402514854763487</v>
      </c>
      <c r="F995">
        <f>MAX(C995-B995,0)*Assumptions!$B$2</f>
        <v>0</v>
      </c>
      <c r="G995">
        <f>MAX(B995-C995,0)*Assumptions!$B$2</f>
        <v>0.35974851452365098</v>
      </c>
    </row>
    <row r="996" spans="1:7" x14ac:dyDescent="0.3">
      <c r="A996" s="5">
        <f>Raw_Load_Data!A996</f>
        <v>46224.708333335744</v>
      </c>
      <c r="B996">
        <f>Raw_Load_Data!B996</f>
        <v>13.4</v>
      </c>
      <c r="C996">
        <f>MAX(0,IF(AND(HOUR(A996)&gt;=6,HOUR(A996)&lt;=18),Assumptions!$B$8*SIN(PI()*(HOUR(A996)+MINUTE(A996)/60-6)/12),0))</f>
        <v>7.7645713530756302</v>
      </c>
      <c r="D996">
        <f t="shared" si="15"/>
        <v>5.6354286469243702</v>
      </c>
      <c r="E996">
        <f>MIN(B996,C996)*Assumptions!$B$2</f>
        <v>3.8822856765378151</v>
      </c>
      <c r="F996">
        <f>MAX(C996-B996,0)*Assumptions!$B$2</f>
        <v>0</v>
      </c>
      <c r="G996">
        <f>MAX(B996-C996,0)*Assumptions!$B$2</f>
        <v>2.8177143234621851</v>
      </c>
    </row>
    <row r="997" spans="1:7" x14ac:dyDescent="0.3">
      <c r="A997" s="5">
        <f>Raw_Load_Data!A997</f>
        <v>46224.72916666908</v>
      </c>
      <c r="B997">
        <f>Raw_Load_Data!B997</f>
        <v>16.399999999999999</v>
      </c>
      <c r="C997">
        <f>MAX(0,IF(AND(HOUR(A997)&gt;=6,HOUR(A997)&lt;=18),Assumptions!$B$8*SIN(PI()*(HOUR(A997)+MINUTE(A997)/60-6)/12),0))</f>
        <v>3.9157857666015596</v>
      </c>
      <c r="D997">
        <f t="shared" si="15"/>
        <v>12.48421423339844</v>
      </c>
      <c r="E997">
        <f>MIN(B997,C997)*Assumptions!$B$2</f>
        <v>1.9578928833007798</v>
      </c>
      <c r="F997">
        <f>MAX(C997-B997,0)*Assumptions!$B$2</f>
        <v>0</v>
      </c>
      <c r="G997">
        <f>MAX(B997-C997,0)*Assumptions!$B$2</f>
        <v>6.2421071166992199</v>
      </c>
    </row>
    <row r="998" spans="1:7" x14ac:dyDescent="0.3">
      <c r="A998" s="5">
        <f>Raw_Load_Data!A998</f>
        <v>46224.750000002416</v>
      </c>
      <c r="B998">
        <f>Raw_Load_Data!B998</f>
        <v>13.6</v>
      </c>
      <c r="C998">
        <f>MAX(0,IF(AND(HOUR(A998)&gt;=6,HOUR(A998)&lt;=18),Assumptions!$B$8*SIN(PI()*(HOUR(A998)+MINUTE(A998)/60-6)/12),0))</f>
        <v>3.67544536472586E-15</v>
      </c>
      <c r="D998">
        <f t="shared" si="15"/>
        <v>13.599999999999996</v>
      </c>
      <c r="E998">
        <f>MIN(B998,C998)*Assumptions!$B$2</f>
        <v>1.83772268236293E-15</v>
      </c>
      <c r="F998">
        <f>MAX(C998-B998,0)*Assumptions!$B$2</f>
        <v>0</v>
      </c>
      <c r="G998">
        <f>MAX(B998-C998,0)*Assumptions!$B$2</f>
        <v>6.799999999999998</v>
      </c>
    </row>
    <row r="999" spans="1:7" x14ac:dyDescent="0.3">
      <c r="A999" s="5">
        <f>Raw_Load_Data!A999</f>
        <v>46224.770833335751</v>
      </c>
      <c r="B999">
        <f>Raw_Load_Data!B999</f>
        <v>19.3</v>
      </c>
      <c r="C999">
        <f>MAX(0,IF(AND(HOUR(A999)&gt;=6,HOUR(A999)&lt;=18),Assumptions!$B$8*SIN(PI()*(HOUR(A999)+MINUTE(A999)/60-6)/12),0))</f>
        <v>0</v>
      </c>
      <c r="D999">
        <f t="shared" si="15"/>
        <v>19.3</v>
      </c>
      <c r="E999">
        <f>MIN(B999,C999)*Assumptions!$B$2</f>
        <v>0</v>
      </c>
      <c r="F999">
        <f>MAX(C999-B999,0)*Assumptions!$B$2</f>
        <v>0</v>
      </c>
      <c r="G999">
        <f>MAX(B999-C999,0)*Assumptions!$B$2</f>
        <v>9.65</v>
      </c>
    </row>
    <row r="1000" spans="1:7" x14ac:dyDescent="0.3">
      <c r="A1000" s="5">
        <f>Raw_Load_Data!A1000</f>
        <v>46224.791666669087</v>
      </c>
      <c r="B1000">
        <f>Raw_Load_Data!B1000</f>
        <v>7.1</v>
      </c>
      <c r="C1000">
        <f>MAX(0,IF(AND(HOUR(A1000)&gt;=6,HOUR(A1000)&lt;=18),Assumptions!$B$8*SIN(PI()*(HOUR(A1000)+MINUTE(A1000)/60-6)/12),0))</f>
        <v>0</v>
      </c>
      <c r="D1000">
        <f t="shared" si="15"/>
        <v>7.1</v>
      </c>
      <c r="E1000">
        <f>MIN(B1000,C1000)*Assumptions!$B$2</f>
        <v>0</v>
      </c>
      <c r="F1000">
        <f>MAX(C1000-B1000,0)*Assumptions!$B$2</f>
        <v>0</v>
      </c>
      <c r="G1000">
        <f>MAX(B1000-C1000,0)*Assumptions!$B$2</f>
        <v>3.55</v>
      </c>
    </row>
    <row r="1001" spans="1:7" x14ac:dyDescent="0.3">
      <c r="A1001" s="5">
        <f>Raw_Load_Data!A1001</f>
        <v>46224.812500002423</v>
      </c>
      <c r="B1001">
        <f>Raw_Load_Data!B1001</f>
        <v>5.8</v>
      </c>
      <c r="C1001">
        <f>MAX(0,IF(AND(HOUR(A1001)&gt;=6,HOUR(A1001)&lt;=18),Assumptions!$B$8*SIN(PI()*(HOUR(A1001)+MINUTE(A1001)/60-6)/12),0))</f>
        <v>0</v>
      </c>
      <c r="D1001">
        <f t="shared" si="15"/>
        <v>5.8</v>
      </c>
      <c r="E1001">
        <f>MIN(B1001,C1001)*Assumptions!$B$2</f>
        <v>0</v>
      </c>
      <c r="F1001">
        <f>MAX(C1001-B1001,0)*Assumptions!$B$2</f>
        <v>0</v>
      </c>
      <c r="G1001">
        <f>MAX(B1001-C1001,0)*Assumptions!$B$2</f>
        <v>2.9</v>
      </c>
    </row>
    <row r="1002" spans="1:7" x14ac:dyDescent="0.3">
      <c r="A1002" s="5">
        <f>Raw_Load_Data!A1002</f>
        <v>46224.833333335759</v>
      </c>
      <c r="B1002">
        <f>Raw_Load_Data!B1002</f>
        <v>7.6</v>
      </c>
      <c r="C1002">
        <f>MAX(0,IF(AND(HOUR(A1002)&gt;=6,HOUR(A1002)&lt;=18),Assumptions!$B$8*SIN(PI()*(HOUR(A1002)+MINUTE(A1002)/60-6)/12),0))</f>
        <v>0</v>
      </c>
      <c r="D1002">
        <f t="shared" si="15"/>
        <v>7.6</v>
      </c>
      <c r="E1002">
        <f>MIN(B1002,C1002)*Assumptions!$B$2</f>
        <v>0</v>
      </c>
      <c r="F1002">
        <f>MAX(C1002-B1002,0)*Assumptions!$B$2</f>
        <v>0</v>
      </c>
      <c r="G1002">
        <f>MAX(B1002-C1002,0)*Assumptions!$B$2</f>
        <v>3.8</v>
      </c>
    </row>
    <row r="1003" spans="1:7" x14ac:dyDescent="0.3">
      <c r="A1003" s="5">
        <f>Raw_Load_Data!A1003</f>
        <v>46224.854166669094</v>
      </c>
      <c r="B1003">
        <f>Raw_Load_Data!B1003</f>
        <v>5.3</v>
      </c>
      <c r="C1003">
        <f>MAX(0,IF(AND(HOUR(A1003)&gt;=6,HOUR(A1003)&lt;=18),Assumptions!$B$8*SIN(PI()*(HOUR(A1003)+MINUTE(A1003)/60-6)/12),0))</f>
        <v>0</v>
      </c>
      <c r="D1003">
        <f t="shared" si="15"/>
        <v>5.3</v>
      </c>
      <c r="E1003">
        <f>MIN(B1003,C1003)*Assumptions!$B$2</f>
        <v>0</v>
      </c>
      <c r="F1003">
        <f>MAX(C1003-B1003,0)*Assumptions!$B$2</f>
        <v>0</v>
      </c>
      <c r="G1003">
        <f>MAX(B1003-C1003,0)*Assumptions!$B$2</f>
        <v>2.65</v>
      </c>
    </row>
    <row r="1004" spans="1:7" x14ac:dyDescent="0.3">
      <c r="A1004" s="5">
        <f>Raw_Load_Data!A1004</f>
        <v>46224.87500000243</v>
      </c>
      <c r="B1004">
        <f>Raw_Load_Data!B1004</f>
        <v>4.9000000000000004</v>
      </c>
      <c r="C1004">
        <f>MAX(0,IF(AND(HOUR(A1004)&gt;=6,HOUR(A1004)&lt;=18),Assumptions!$B$8*SIN(PI()*(HOUR(A1004)+MINUTE(A1004)/60-6)/12),0))</f>
        <v>0</v>
      </c>
      <c r="D1004">
        <f t="shared" si="15"/>
        <v>4.9000000000000004</v>
      </c>
      <c r="E1004">
        <f>MIN(B1004,C1004)*Assumptions!$B$2</f>
        <v>0</v>
      </c>
      <c r="F1004">
        <f>MAX(C1004-B1004,0)*Assumptions!$B$2</f>
        <v>0</v>
      </c>
      <c r="G1004">
        <f>MAX(B1004-C1004,0)*Assumptions!$B$2</f>
        <v>2.4500000000000002</v>
      </c>
    </row>
    <row r="1005" spans="1:7" x14ac:dyDescent="0.3">
      <c r="A1005" s="5">
        <f>Raw_Load_Data!A1005</f>
        <v>46224.895833335766</v>
      </c>
      <c r="B1005">
        <f>Raw_Load_Data!B1005</f>
        <v>5.4</v>
      </c>
      <c r="C1005">
        <f>MAX(0,IF(AND(HOUR(A1005)&gt;=6,HOUR(A1005)&lt;=18),Assumptions!$B$8*SIN(PI()*(HOUR(A1005)+MINUTE(A1005)/60-6)/12),0))</f>
        <v>0</v>
      </c>
      <c r="D1005">
        <f t="shared" si="15"/>
        <v>5.4</v>
      </c>
      <c r="E1005">
        <f>MIN(B1005,C1005)*Assumptions!$B$2</f>
        <v>0</v>
      </c>
      <c r="F1005">
        <f>MAX(C1005-B1005,0)*Assumptions!$B$2</f>
        <v>0</v>
      </c>
      <c r="G1005">
        <f>MAX(B1005-C1005,0)*Assumptions!$B$2</f>
        <v>2.7</v>
      </c>
    </row>
    <row r="1006" spans="1:7" x14ac:dyDescent="0.3">
      <c r="A1006" s="5">
        <f>Raw_Load_Data!A1006</f>
        <v>46224.916666669102</v>
      </c>
      <c r="B1006">
        <f>Raw_Load_Data!B1006</f>
        <v>6.5</v>
      </c>
      <c r="C1006">
        <f>MAX(0,IF(AND(HOUR(A1006)&gt;=6,HOUR(A1006)&lt;=18),Assumptions!$B$8*SIN(PI()*(HOUR(A1006)+MINUTE(A1006)/60-6)/12),0))</f>
        <v>0</v>
      </c>
      <c r="D1006">
        <f t="shared" si="15"/>
        <v>6.5</v>
      </c>
      <c r="E1006">
        <f>MIN(B1006,C1006)*Assumptions!$B$2</f>
        <v>0</v>
      </c>
      <c r="F1006">
        <f>MAX(C1006-B1006,0)*Assumptions!$B$2</f>
        <v>0</v>
      </c>
      <c r="G1006">
        <f>MAX(B1006-C1006,0)*Assumptions!$B$2</f>
        <v>3.25</v>
      </c>
    </row>
    <row r="1007" spans="1:7" x14ac:dyDescent="0.3">
      <c r="A1007" s="5">
        <f>Raw_Load_Data!A1007</f>
        <v>46224.937500002437</v>
      </c>
      <c r="B1007">
        <f>Raw_Load_Data!B1007</f>
        <v>7</v>
      </c>
      <c r="C1007">
        <f>MAX(0,IF(AND(HOUR(A1007)&gt;=6,HOUR(A1007)&lt;=18),Assumptions!$B$8*SIN(PI()*(HOUR(A1007)+MINUTE(A1007)/60-6)/12),0))</f>
        <v>0</v>
      </c>
      <c r="D1007">
        <f t="shared" si="15"/>
        <v>7</v>
      </c>
      <c r="E1007">
        <f>MIN(B1007,C1007)*Assumptions!$B$2</f>
        <v>0</v>
      </c>
      <c r="F1007">
        <f>MAX(C1007-B1007,0)*Assumptions!$B$2</f>
        <v>0</v>
      </c>
      <c r="G1007">
        <f>MAX(B1007-C1007,0)*Assumptions!$B$2</f>
        <v>3.5</v>
      </c>
    </row>
    <row r="1008" spans="1:7" x14ac:dyDescent="0.3">
      <c r="A1008" s="5">
        <f>Raw_Load_Data!A1008</f>
        <v>46224.958333335773</v>
      </c>
      <c r="B1008">
        <f>Raw_Load_Data!B1008</f>
        <v>7.7</v>
      </c>
      <c r="C1008">
        <f>MAX(0,IF(AND(HOUR(A1008)&gt;=6,HOUR(A1008)&lt;=18),Assumptions!$B$8*SIN(PI()*(HOUR(A1008)+MINUTE(A1008)/60-6)/12),0))</f>
        <v>0</v>
      </c>
      <c r="D1008">
        <f t="shared" si="15"/>
        <v>7.7</v>
      </c>
      <c r="E1008">
        <f>MIN(B1008,C1008)*Assumptions!$B$2</f>
        <v>0</v>
      </c>
      <c r="F1008">
        <f>MAX(C1008-B1008,0)*Assumptions!$B$2</f>
        <v>0</v>
      </c>
      <c r="G1008">
        <f>MAX(B1008-C1008,0)*Assumptions!$B$2</f>
        <v>3.85</v>
      </c>
    </row>
    <row r="1009" spans="1:7" x14ac:dyDescent="0.3">
      <c r="A1009" s="5">
        <f>Raw_Load_Data!A1009</f>
        <v>46224.979166669109</v>
      </c>
      <c r="B1009">
        <f>Raw_Load_Data!B1009</f>
        <v>7.5</v>
      </c>
      <c r="C1009">
        <f>MAX(0,IF(AND(HOUR(A1009)&gt;=6,HOUR(A1009)&lt;=18),Assumptions!$B$8*SIN(PI()*(HOUR(A1009)+MINUTE(A1009)/60-6)/12),0))</f>
        <v>0</v>
      </c>
      <c r="D1009">
        <f t="shared" si="15"/>
        <v>7.5</v>
      </c>
      <c r="E1009">
        <f>MIN(B1009,C1009)*Assumptions!$B$2</f>
        <v>0</v>
      </c>
      <c r="F1009">
        <f>MAX(C1009-B1009,0)*Assumptions!$B$2</f>
        <v>0</v>
      </c>
      <c r="G1009">
        <f>MAX(B1009-C1009,0)*Assumptions!$B$2</f>
        <v>3.75</v>
      </c>
    </row>
    <row r="1010" spans="1:7" x14ac:dyDescent="0.3">
      <c r="A1010" s="5">
        <f>Raw_Load_Data!A1010</f>
        <v>46225.000000002445</v>
      </c>
      <c r="B1010">
        <f>Raw_Load_Data!B1010</f>
        <v>2.2999999999999998</v>
      </c>
      <c r="C1010">
        <f>MAX(0,IF(AND(HOUR(A1010)&gt;=6,HOUR(A1010)&lt;=18),Assumptions!$B$8*SIN(PI()*(HOUR(A1010)+MINUTE(A1010)/60-6)/12),0))</f>
        <v>0</v>
      </c>
      <c r="D1010">
        <f t="shared" si="15"/>
        <v>2.2999999999999998</v>
      </c>
      <c r="E1010">
        <f>MIN(B1010,C1010)*Assumptions!$B$2</f>
        <v>0</v>
      </c>
      <c r="F1010">
        <f>MAX(C1010-B1010,0)*Assumptions!$B$2</f>
        <v>0</v>
      </c>
      <c r="G1010">
        <f>MAX(B1010-C1010,0)*Assumptions!$B$2</f>
        <v>1.1499999999999999</v>
      </c>
    </row>
    <row r="1011" spans="1:7" x14ac:dyDescent="0.3">
      <c r="A1011" s="5">
        <f>Raw_Load_Data!A1011</f>
        <v>46225.02083333578</v>
      </c>
      <c r="B1011">
        <f>Raw_Load_Data!B1011</f>
        <v>1.9</v>
      </c>
      <c r="C1011">
        <f>MAX(0,IF(AND(HOUR(A1011)&gt;=6,HOUR(A1011)&lt;=18),Assumptions!$B$8*SIN(PI()*(HOUR(A1011)+MINUTE(A1011)/60-6)/12),0))</f>
        <v>0</v>
      </c>
      <c r="D1011">
        <f t="shared" si="15"/>
        <v>1.9</v>
      </c>
      <c r="E1011">
        <f>MIN(B1011,C1011)*Assumptions!$B$2</f>
        <v>0</v>
      </c>
      <c r="F1011">
        <f>MAX(C1011-B1011,0)*Assumptions!$B$2</f>
        <v>0</v>
      </c>
      <c r="G1011">
        <f>MAX(B1011-C1011,0)*Assumptions!$B$2</f>
        <v>0.95</v>
      </c>
    </row>
    <row r="1012" spans="1:7" x14ac:dyDescent="0.3">
      <c r="A1012" s="5">
        <f>Raw_Load_Data!A1012</f>
        <v>46225.041666669116</v>
      </c>
      <c r="B1012">
        <f>Raw_Load_Data!B1012</f>
        <v>2.6</v>
      </c>
      <c r="C1012">
        <f>MAX(0,IF(AND(HOUR(A1012)&gt;=6,HOUR(A1012)&lt;=18),Assumptions!$B$8*SIN(PI()*(HOUR(A1012)+MINUTE(A1012)/60-6)/12),0))</f>
        <v>0</v>
      </c>
      <c r="D1012">
        <f t="shared" si="15"/>
        <v>2.6</v>
      </c>
      <c r="E1012">
        <f>MIN(B1012,C1012)*Assumptions!$B$2</f>
        <v>0</v>
      </c>
      <c r="F1012">
        <f>MAX(C1012-B1012,0)*Assumptions!$B$2</f>
        <v>0</v>
      </c>
      <c r="G1012">
        <f>MAX(B1012-C1012,0)*Assumptions!$B$2</f>
        <v>1.3</v>
      </c>
    </row>
    <row r="1013" spans="1:7" x14ac:dyDescent="0.3">
      <c r="A1013" s="5">
        <f>Raw_Load_Data!A1013</f>
        <v>46225.062500002452</v>
      </c>
      <c r="B1013">
        <f>Raw_Load_Data!B1013</f>
        <v>2.9</v>
      </c>
      <c r="C1013">
        <f>MAX(0,IF(AND(HOUR(A1013)&gt;=6,HOUR(A1013)&lt;=18),Assumptions!$B$8*SIN(PI()*(HOUR(A1013)+MINUTE(A1013)/60-6)/12),0))</f>
        <v>0</v>
      </c>
      <c r="D1013">
        <f t="shared" si="15"/>
        <v>2.9</v>
      </c>
      <c r="E1013">
        <f>MIN(B1013,C1013)*Assumptions!$B$2</f>
        <v>0</v>
      </c>
      <c r="F1013">
        <f>MAX(C1013-B1013,0)*Assumptions!$B$2</f>
        <v>0</v>
      </c>
      <c r="G1013">
        <f>MAX(B1013-C1013,0)*Assumptions!$B$2</f>
        <v>1.45</v>
      </c>
    </row>
    <row r="1014" spans="1:7" x14ac:dyDescent="0.3">
      <c r="A1014" s="5">
        <f>Raw_Load_Data!A1014</f>
        <v>46225.083333335788</v>
      </c>
      <c r="B1014">
        <f>Raw_Load_Data!B1014</f>
        <v>2.8</v>
      </c>
      <c r="C1014">
        <f>MAX(0,IF(AND(HOUR(A1014)&gt;=6,HOUR(A1014)&lt;=18),Assumptions!$B$8*SIN(PI()*(HOUR(A1014)+MINUTE(A1014)/60-6)/12),0))</f>
        <v>0</v>
      </c>
      <c r="D1014">
        <f t="shared" si="15"/>
        <v>2.8</v>
      </c>
      <c r="E1014">
        <f>MIN(B1014,C1014)*Assumptions!$B$2</f>
        <v>0</v>
      </c>
      <c r="F1014">
        <f>MAX(C1014-B1014,0)*Assumptions!$B$2</f>
        <v>0</v>
      </c>
      <c r="G1014">
        <f>MAX(B1014-C1014,0)*Assumptions!$B$2</f>
        <v>1.4</v>
      </c>
    </row>
    <row r="1015" spans="1:7" x14ac:dyDescent="0.3">
      <c r="A1015" s="5">
        <f>Raw_Load_Data!A1015</f>
        <v>46225.104166669124</v>
      </c>
      <c r="B1015">
        <f>Raw_Load_Data!B1015</f>
        <v>2.2000000000000002</v>
      </c>
      <c r="C1015">
        <f>MAX(0,IF(AND(HOUR(A1015)&gt;=6,HOUR(A1015)&lt;=18),Assumptions!$B$8*SIN(PI()*(HOUR(A1015)+MINUTE(A1015)/60-6)/12),0))</f>
        <v>0</v>
      </c>
      <c r="D1015">
        <f t="shared" si="15"/>
        <v>2.2000000000000002</v>
      </c>
      <c r="E1015">
        <f>MIN(B1015,C1015)*Assumptions!$B$2</f>
        <v>0</v>
      </c>
      <c r="F1015">
        <f>MAX(C1015-B1015,0)*Assumptions!$B$2</f>
        <v>0</v>
      </c>
      <c r="G1015">
        <f>MAX(B1015-C1015,0)*Assumptions!$B$2</f>
        <v>1.1000000000000001</v>
      </c>
    </row>
    <row r="1016" spans="1:7" x14ac:dyDescent="0.3">
      <c r="A1016" s="5">
        <f>Raw_Load_Data!A1016</f>
        <v>46225.125000002459</v>
      </c>
      <c r="B1016">
        <f>Raw_Load_Data!B1016</f>
        <v>2.5</v>
      </c>
      <c r="C1016">
        <f>MAX(0,IF(AND(HOUR(A1016)&gt;=6,HOUR(A1016)&lt;=18),Assumptions!$B$8*SIN(PI()*(HOUR(A1016)+MINUTE(A1016)/60-6)/12),0))</f>
        <v>0</v>
      </c>
      <c r="D1016">
        <f t="shared" si="15"/>
        <v>2.5</v>
      </c>
      <c r="E1016">
        <f>MIN(B1016,C1016)*Assumptions!$B$2</f>
        <v>0</v>
      </c>
      <c r="F1016">
        <f>MAX(C1016-B1016,0)*Assumptions!$B$2</f>
        <v>0</v>
      </c>
      <c r="G1016">
        <f>MAX(B1016-C1016,0)*Assumptions!$B$2</f>
        <v>1.25</v>
      </c>
    </row>
    <row r="1017" spans="1:7" x14ac:dyDescent="0.3">
      <c r="A1017" s="5">
        <f>Raw_Load_Data!A1017</f>
        <v>46225.145833335795</v>
      </c>
      <c r="B1017">
        <f>Raw_Load_Data!B1017</f>
        <v>2.2000000000000002</v>
      </c>
      <c r="C1017">
        <f>MAX(0,IF(AND(HOUR(A1017)&gt;=6,HOUR(A1017)&lt;=18),Assumptions!$B$8*SIN(PI()*(HOUR(A1017)+MINUTE(A1017)/60-6)/12),0))</f>
        <v>0</v>
      </c>
      <c r="D1017">
        <f t="shared" si="15"/>
        <v>2.2000000000000002</v>
      </c>
      <c r="E1017">
        <f>MIN(B1017,C1017)*Assumptions!$B$2</f>
        <v>0</v>
      </c>
      <c r="F1017">
        <f>MAX(C1017-B1017,0)*Assumptions!$B$2</f>
        <v>0</v>
      </c>
      <c r="G1017">
        <f>MAX(B1017-C1017,0)*Assumptions!$B$2</f>
        <v>1.1000000000000001</v>
      </c>
    </row>
    <row r="1018" spans="1:7" x14ac:dyDescent="0.3">
      <c r="A1018" s="5">
        <f>Raw_Load_Data!A1018</f>
        <v>46225.166666669131</v>
      </c>
      <c r="B1018">
        <f>Raw_Load_Data!B1018</f>
        <v>3</v>
      </c>
      <c r="C1018">
        <f>MAX(0,IF(AND(HOUR(A1018)&gt;=6,HOUR(A1018)&lt;=18),Assumptions!$B$8*SIN(PI()*(HOUR(A1018)+MINUTE(A1018)/60-6)/12),0))</f>
        <v>0</v>
      </c>
      <c r="D1018">
        <f t="shared" si="15"/>
        <v>3</v>
      </c>
      <c r="E1018">
        <f>MIN(B1018,C1018)*Assumptions!$B$2</f>
        <v>0</v>
      </c>
      <c r="F1018">
        <f>MAX(C1018-B1018,0)*Assumptions!$B$2</f>
        <v>0</v>
      </c>
      <c r="G1018">
        <f>MAX(B1018-C1018,0)*Assumptions!$B$2</f>
        <v>1.5</v>
      </c>
    </row>
    <row r="1019" spans="1:7" x14ac:dyDescent="0.3">
      <c r="A1019" s="5">
        <f>Raw_Load_Data!A1019</f>
        <v>46225.187500002467</v>
      </c>
      <c r="B1019">
        <f>Raw_Load_Data!B1019</f>
        <v>2.6</v>
      </c>
      <c r="C1019">
        <f>MAX(0,IF(AND(HOUR(A1019)&gt;=6,HOUR(A1019)&lt;=18),Assumptions!$B$8*SIN(PI()*(HOUR(A1019)+MINUTE(A1019)/60-6)/12),0))</f>
        <v>0</v>
      </c>
      <c r="D1019">
        <f t="shared" si="15"/>
        <v>2.6</v>
      </c>
      <c r="E1019">
        <f>MIN(B1019,C1019)*Assumptions!$B$2</f>
        <v>0</v>
      </c>
      <c r="F1019">
        <f>MAX(C1019-B1019,0)*Assumptions!$B$2</f>
        <v>0</v>
      </c>
      <c r="G1019">
        <f>MAX(B1019-C1019,0)*Assumptions!$B$2</f>
        <v>1.3</v>
      </c>
    </row>
    <row r="1020" spans="1:7" x14ac:dyDescent="0.3">
      <c r="A1020" s="5">
        <f>Raw_Load_Data!A1020</f>
        <v>46225.208333335802</v>
      </c>
      <c r="B1020">
        <f>Raw_Load_Data!B1020</f>
        <v>2.2999999999999998</v>
      </c>
      <c r="C1020">
        <f>MAX(0,IF(AND(HOUR(A1020)&gt;=6,HOUR(A1020)&lt;=18),Assumptions!$B$8*SIN(PI()*(HOUR(A1020)+MINUTE(A1020)/60-6)/12),0))</f>
        <v>0</v>
      </c>
      <c r="D1020">
        <f t="shared" si="15"/>
        <v>2.2999999999999998</v>
      </c>
      <c r="E1020">
        <f>MIN(B1020,C1020)*Assumptions!$B$2</f>
        <v>0</v>
      </c>
      <c r="F1020">
        <f>MAX(C1020-B1020,0)*Assumptions!$B$2</f>
        <v>0</v>
      </c>
      <c r="G1020">
        <f>MAX(B1020-C1020,0)*Assumptions!$B$2</f>
        <v>1.1499999999999999</v>
      </c>
    </row>
    <row r="1021" spans="1:7" x14ac:dyDescent="0.3">
      <c r="A1021" s="5">
        <f>Raw_Load_Data!A1021</f>
        <v>46225.229166669138</v>
      </c>
      <c r="B1021">
        <f>Raw_Load_Data!B1021</f>
        <v>2.8</v>
      </c>
      <c r="C1021">
        <f>MAX(0,IF(AND(HOUR(A1021)&gt;=6,HOUR(A1021)&lt;=18),Assumptions!$B$8*SIN(PI()*(HOUR(A1021)+MINUTE(A1021)/60-6)/12),0))</f>
        <v>0</v>
      </c>
      <c r="D1021">
        <f t="shared" si="15"/>
        <v>2.8</v>
      </c>
      <c r="E1021">
        <f>MIN(B1021,C1021)*Assumptions!$B$2</f>
        <v>0</v>
      </c>
      <c r="F1021">
        <f>MAX(C1021-B1021,0)*Assumptions!$B$2</f>
        <v>0</v>
      </c>
      <c r="G1021">
        <f>MAX(B1021-C1021,0)*Assumptions!$B$2</f>
        <v>1.4</v>
      </c>
    </row>
    <row r="1022" spans="1:7" x14ac:dyDescent="0.3">
      <c r="A1022" s="5">
        <f>Raw_Load_Data!A1022</f>
        <v>46225.250000002474</v>
      </c>
      <c r="B1022">
        <f>Raw_Load_Data!B1022</f>
        <v>6.4</v>
      </c>
      <c r="C1022">
        <f>MAX(0,IF(AND(HOUR(A1022)&gt;=6,HOUR(A1022)&lt;=18),Assumptions!$B$8*SIN(PI()*(HOUR(A1022)+MINUTE(A1022)/60-6)/12),0))</f>
        <v>0</v>
      </c>
      <c r="D1022">
        <f t="shared" si="15"/>
        <v>6.4</v>
      </c>
      <c r="E1022">
        <f>MIN(B1022,C1022)*Assumptions!$B$2</f>
        <v>0</v>
      </c>
      <c r="F1022">
        <f>MAX(C1022-B1022,0)*Assumptions!$B$2</f>
        <v>0</v>
      </c>
      <c r="G1022">
        <f>MAX(B1022-C1022,0)*Assumptions!$B$2</f>
        <v>3.2</v>
      </c>
    </row>
    <row r="1023" spans="1:7" x14ac:dyDescent="0.3">
      <c r="A1023" s="5">
        <f>Raw_Load_Data!A1023</f>
        <v>46225.27083333581</v>
      </c>
      <c r="B1023">
        <f>Raw_Load_Data!B1023</f>
        <v>5.3</v>
      </c>
      <c r="C1023">
        <f>MAX(0,IF(AND(HOUR(A1023)&gt;=6,HOUR(A1023)&lt;=18),Assumptions!$B$8*SIN(PI()*(HOUR(A1023)+MINUTE(A1023)/60-6)/12),0))</f>
        <v>3.9157857666015472</v>
      </c>
      <c r="D1023">
        <f t="shared" si="15"/>
        <v>1.3842142333984526</v>
      </c>
      <c r="E1023">
        <f>MIN(B1023,C1023)*Assumptions!$B$2</f>
        <v>1.9578928833007736</v>
      </c>
      <c r="F1023">
        <f>MAX(C1023-B1023,0)*Assumptions!$B$2</f>
        <v>0</v>
      </c>
      <c r="G1023">
        <f>MAX(B1023-C1023,0)*Assumptions!$B$2</f>
        <v>0.69210711669922631</v>
      </c>
    </row>
    <row r="1024" spans="1:7" x14ac:dyDescent="0.3">
      <c r="A1024" s="5">
        <f>Raw_Load_Data!A1024</f>
        <v>46225.291666669145</v>
      </c>
      <c r="B1024">
        <f>Raw_Load_Data!B1024</f>
        <v>8</v>
      </c>
      <c r="C1024">
        <f>MAX(0,IF(AND(HOUR(A1024)&gt;=6,HOUR(A1024)&lt;=18),Assumptions!$B$8*SIN(PI()*(HOUR(A1024)+MINUTE(A1024)/60-6)/12),0))</f>
        <v>7.7645713530756222</v>
      </c>
      <c r="D1024">
        <f t="shared" si="15"/>
        <v>0.23542864692437782</v>
      </c>
      <c r="E1024">
        <f>MIN(B1024,C1024)*Assumptions!$B$2</f>
        <v>3.8822856765378111</v>
      </c>
      <c r="F1024">
        <f>MAX(C1024-B1024,0)*Assumptions!$B$2</f>
        <v>0</v>
      </c>
      <c r="G1024">
        <f>MAX(B1024-C1024,0)*Assumptions!$B$2</f>
        <v>0.11771432346218891</v>
      </c>
    </row>
    <row r="1025" spans="1:7" x14ac:dyDescent="0.3">
      <c r="A1025" s="5">
        <f>Raw_Load_Data!A1025</f>
        <v>46225.312500002481</v>
      </c>
      <c r="B1025">
        <f>Raw_Load_Data!B1025</f>
        <v>7.5</v>
      </c>
      <c r="C1025">
        <f>MAX(0,IF(AND(HOUR(A1025)&gt;=6,HOUR(A1025)&lt;=18),Assumptions!$B$8*SIN(PI()*(HOUR(A1025)+MINUTE(A1025)/60-6)/12),0))</f>
        <v>11.480502970952694</v>
      </c>
      <c r="D1025">
        <f t="shared" si="15"/>
        <v>-3.9805029709526938</v>
      </c>
      <c r="E1025">
        <f>MIN(B1025,C1025)*Assumptions!$B$2</f>
        <v>3.75</v>
      </c>
      <c r="F1025">
        <f>MAX(C1025-B1025,0)*Assumptions!$B$2</f>
        <v>1.9902514854763469</v>
      </c>
      <c r="G1025">
        <f>MAX(B1025-C1025,0)*Assumptions!$B$2</f>
        <v>0</v>
      </c>
    </row>
    <row r="1026" spans="1:7" x14ac:dyDescent="0.3">
      <c r="A1026" s="5">
        <f>Raw_Load_Data!A1026</f>
        <v>46225.333333335817</v>
      </c>
      <c r="B1026">
        <f>Raw_Load_Data!B1026</f>
        <v>12.7</v>
      </c>
      <c r="C1026">
        <f>MAX(0,IF(AND(HOUR(A1026)&gt;=6,HOUR(A1026)&lt;=18),Assumptions!$B$8*SIN(PI()*(HOUR(A1026)+MINUTE(A1026)/60-6)/12),0))</f>
        <v>14.999999999999998</v>
      </c>
      <c r="D1026">
        <f t="shared" si="15"/>
        <v>-2.2999999999999989</v>
      </c>
      <c r="E1026">
        <f>MIN(B1026,C1026)*Assumptions!$B$2</f>
        <v>6.35</v>
      </c>
      <c r="F1026">
        <f>MAX(C1026-B1026,0)*Assumptions!$B$2</f>
        <v>1.1499999999999995</v>
      </c>
      <c r="G1026">
        <f>MAX(B1026-C1026,0)*Assumptions!$B$2</f>
        <v>0</v>
      </c>
    </row>
    <row r="1027" spans="1:7" x14ac:dyDescent="0.3">
      <c r="A1027" s="5">
        <f>Raw_Load_Data!A1027</f>
        <v>46225.354166669153</v>
      </c>
      <c r="B1027">
        <f>Raw_Load_Data!B1027</f>
        <v>21.9</v>
      </c>
      <c r="C1027">
        <f>MAX(0,IF(AND(HOUR(A1027)&gt;=6,HOUR(A1027)&lt;=18),Assumptions!$B$8*SIN(PI()*(HOUR(A1027)+MINUTE(A1027)/60-6)/12),0))</f>
        <v>18.262842870261618</v>
      </c>
      <c r="D1027">
        <f t="shared" ref="D1027:D1090" si="16">B1027-C1027</f>
        <v>3.6371571297383802</v>
      </c>
      <c r="E1027">
        <f>MIN(B1027,C1027)*Assumptions!$B$2</f>
        <v>9.1314214351308092</v>
      </c>
      <c r="F1027">
        <f>MAX(C1027-B1027,0)*Assumptions!$B$2</f>
        <v>0</v>
      </c>
      <c r="G1027">
        <f>MAX(B1027-C1027,0)*Assumptions!$B$2</f>
        <v>1.8185785648691901</v>
      </c>
    </row>
    <row r="1028" spans="1:7" x14ac:dyDescent="0.3">
      <c r="A1028" s="5">
        <f>Raw_Load_Data!A1028</f>
        <v>46225.375000002488</v>
      </c>
      <c r="B1028">
        <f>Raw_Load_Data!B1028</f>
        <v>13.5</v>
      </c>
      <c r="C1028">
        <f>MAX(0,IF(AND(HOUR(A1028)&gt;=6,HOUR(A1028)&lt;=18),Assumptions!$B$8*SIN(PI()*(HOUR(A1028)+MINUTE(A1028)/60-6)/12),0))</f>
        <v>21.213203435596423</v>
      </c>
      <c r="D1028">
        <f t="shared" si="16"/>
        <v>-7.713203435596423</v>
      </c>
      <c r="E1028">
        <f>MIN(B1028,C1028)*Assumptions!$B$2</f>
        <v>6.75</v>
      </c>
      <c r="F1028">
        <f>MAX(C1028-B1028,0)*Assumptions!$B$2</f>
        <v>3.8566017177982115</v>
      </c>
      <c r="G1028">
        <f>MAX(B1028-C1028,0)*Assumptions!$B$2</f>
        <v>0</v>
      </c>
    </row>
    <row r="1029" spans="1:7" x14ac:dyDescent="0.3">
      <c r="A1029" s="5">
        <f>Raw_Load_Data!A1029</f>
        <v>46225.395833335824</v>
      </c>
      <c r="B1029">
        <f>Raw_Load_Data!B1029</f>
        <v>17.7</v>
      </c>
      <c r="C1029">
        <f>MAX(0,IF(AND(HOUR(A1029)&gt;=6,HOUR(A1029)&lt;=18),Assumptions!$B$8*SIN(PI()*(HOUR(A1029)+MINUTE(A1029)/60-6)/12),0))</f>
        <v>23.800600208737055</v>
      </c>
      <c r="D1029">
        <f t="shared" si="16"/>
        <v>-6.1006002087370561</v>
      </c>
      <c r="E1029">
        <f>MIN(B1029,C1029)*Assumptions!$B$2</f>
        <v>8.85</v>
      </c>
      <c r="F1029">
        <f>MAX(C1029-B1029,0)*Assumptions!$B$2</f>
        <v>3.0503001043685281</v>
      </c>
      <c r="G1029">
        <f>MAX(B1029-C1029,0)*Assumptions!$B$2</f>
        <v>0</v>
      </c>
    </row>
    <row r="1030" spans="1:7" x14ac:dyDescent="0.3">
      <c r="A1030" s="5">
        <f>Raw_Load_Data!A1030</f>
        <v>46225.41666666916</v>
      </c>
      <c r="B1030">
        <f>Raw_Load_Data!B1030</f>
        <v>17.600000000000001</v>
      </c>
      <c r="C1030">
        <f>MAX(0,IF(AND(HOUR(A1030)&gt;=6,HOUR(A1030)&lt;=18),Assumptions!$B$8*SIN(PI()*(HOUR(A1030)+MINUTE(A1030)/60-6)/12),0))</f>
        <v>25.980762113533157</v>
      </c>
      <c r="D1030">
        <f t="shared" si="16"/>
        <v>-8.3807621135331551</v>
      </c>
      <c r="E1030">
        <f>MIN(B1030,C1030)*Assumptions!$B$2</f>
        <v>8.8000000000000007</v>
      </c>
      <c r="F1030">
        <f>MAX(C1030-B1030,0)*Assumptions!$B$2</f>
        <v>4.1903810567665776</v>
      </c>
      <c r="G1030">
        <f>MAX(B1030-C1030,0)*Assumptions!$B$2</f>
        <v>0</v>
      </c>
    </row>
    <row r="1031" spans="1:7" x14ac:dyDescent="0.3">
      <c r="A1031" s="5">
        <f>Raw_Load_Data!A1031</f>
        <v>46225.437500002496</v>
      </c>
      <c r="B1031">
        <f>Raw_Load_Data!B1031</f>
        <v>21.9</v>
      </c>
      <c r="C1031">
        <f>MAX(0,IF(AND(HOUR(A1031)&gt;=6,HOUR(A1031)&lt;=18),Assumptions!$B$8*SIN(PI()*(HOUR(A1031)+MINUTE(A1031)/60-6)/12),0))</f>
        <v>27.716385975338603</v>
      </c>
      <c r="D1031">
        <f t="shared" si="16"/>
        <v>-5.8163859753386049</v>
      </c>
      <c r="E1031">
        <f>MIN(B1031,C1031)*Assumptions!$B$2</f>
        <v>10.95</v>
      </c>
      <c r="F1031">
        <f>MAX(C1031-B1031,0)*Assumptions!$B$2</f>
        <v>2.9081929876693025</v>
      </c>
      <c r="G1031">
        <f>MAX(B1031-C1031,0)*Assumptions!$B$2</f>
        <v>0</v>
      </c>
    </row>
    <row r="1032" spans="1:7" x14ac:dyDescent="0.3">
      <c r="A1032" s="5">
        <f>Raw_Load_Data!A1032</f>
        <v>46225.458333335831</v>
      </c>
      <c r="B1032">
        <f>Raw_Load_Data!B1032</f>
        <v>21.3</v>
      </c>
      <c r="C1032">
        <f>MAX(0,IF(AND(HOUR(A1032)&gt;=6,HOUR(A1032)&lt;=18),Assumptions!$B$8*SIN(PI()*(HOUR(A1032)+MINUTE(A1032)/60-6)/12),0))</f>
        <v>28.97777478867205</v>
      </c>
      <c r="D1032">
        <f t="shared" si="16"/>
        <v>-7.6777747886720498</v>
      </c>
      <c r="E1032">
        <f>MIN(B1032,C1032)*Assumptions!$B$2</f>
        <v>10.65</v>
      </c>
      <c r="F1032">
        <f>MAX(C1032-B1032,0)*Assumptions!$B$2</f>
        <v>3.8388873943360249</v>
      </c>
      <c r="G1032">
        <f>MAX(B1032-C1032,0)*Assumptions!$B$2</f>
        <v>0</v>
      </c>
    </row>
    <row r="1033" spans="1:7" x14ac:dyDescent="0.3">
      <c r="A1033" s="5">
        <f>Raw_Load_Data!A1033</f>
        <v>46225.479166669167</v>
      </c>
      <c r="B1033">
        <f>Raw_Load_Data!B1033</f>
        <v>16.399999999999999</v>
      </c>
      <c r="C1033">
        <f>MAX(0,IF(AND(HOUR(A1033)&gt;=6,HOUR(A1033)&lt;=18),Assumptions!$B$8*SIN(PI()*(HOUR(A1033)+MINUTE(A1033)/60-6)/12),0))</f>
        <v>29.74334584121431</v>
      </c>
      <c r="D1033">
        <f t="shared" si="16"/>
        <v>-13.343345841214312</v>
      </c>
      <c r="E1033">
        <f>MIN(B1033,C1033)*Assumptions!$B$2</f>
        <v>8.1999999999999993</v>
      </c>
      <c r="F1033">
        <f>MAX(C1033-B1033,0)*Assumptions!$B$2</f>
        <v>6.6716729206071559</v>
      </c>
      <c r="G1033">
        <f>MAX(B1033-C1033,0)*Assumptions!$B$2</f>
        <v>0</v>
      </c>
    </row>
    <row r="1034" spans="1:7" x14ac:dyDescent="0.3">
      <c r="A1034" s="5">
        <f>Raw_Load_Data!A1034</f>
        <v>46225.500000002503</v>
      </c>
      <c r="B1034">
        <f>Raw_Load_Data!B1034</f>
        <v>19.399999999999999</v>
      </c>
      <c r="C1034">
        <f>MAX(0,IF(AND(HOUR(A1034)&gt;=6,HOUR(A1034)&lt;=18),Assumptions!$B$8*SIN(PI()*(HOUR(A1034)+MINUTE(A1034)/60-6)/12),0))</f>
        <v>30</v>
      </c>
      <c r="D1034">
        <f t="shared" si="16"/>
        <v>-10.600000000000001</v>
      </c>
      <c r="E1034">
        <f>MIN(B1034,C1034)*Assumptions!$B$2</f>
        <v>9.6999999999999993</v>
      </c>
      <c r="F1034">
        <f>MAX(C1034-B1034,0)*Assumptions!$B$2</f>
        <v>5.3000000000000007</v>
      </c>
      <c r="G1034">
        <f>MAX(B1034-C1034,0)*Assumptions!$B$2</f>
        <v>0</v>
      </c>
    </row>
    <row r="1035" spans="1:7" x14ac:dyDescent="0.3">
      <c r="A1035" s="5">
        <f>Raw_Load_Data!A1035</f>
        <v>46225.520833335839</v>
      </c>
      <c r="B1035">
        <f>Raw_Load_Data!B1035</f>
        <v>23.8</v>
      </c>
      <c r="C1035">
        <f>MAX(0,IF(AND(HOUR(A1035)&gt;=6,HOUR(A1035)&lt;=18),Assumptions!$B$8*SIN(PI()*(HOUR(A1035)+MINUTE(A1035)/60-6)/12),0))</f>
        <v>29.74334584121431</v>
      </c>
      <c r="D1035">
        <f t="shared" si="16"/>
        <v>-5.9433458412143096</v>
      </c>
      <c r="E1035">
        <f>MIN(B1035,C1035)*Assumptions!$B$2</f>
        <v>11.9</v>
      </c>
      <c r="F1035">
        <f>MAX(C1035-B1035,0)*Assumptions!$B$2</f>
        <v>2.9716729206071548</v>
      </c>
      <c r="G1035">
        <f>MAX(B1035-C1035,0)*Assumptions!$B$2</f>
        <v>0</v>
      </c>
    </row>
    <row r="1036" spans="1:7" x14ac:dyDescent="0.3">
      <c r="A1036" s="5">
        <f>Raw_Load_Data!A1036</f>
        <v>46225.541666669174</v>
      </c>
      <c r="B1036">
        <f>Raw_Load_Data!B1036</f>
        <v>25.3</v>
      </c>
      <c r="C1036">
        <f>MAX(0,IF(AND(HOUR(A1036)&gt;=6,HOUR(A1036)&lt;=18),Assumptions!$B$8*SIN(PI()*(HOUR(A1036)+MINUTE(A1036)/60-6)/12),0))</f>
        <v>28.97777478867205</v>
      </c>
      <c r="D1036">
        <f t="shared" si="16"/>
        <v>-3.6777747886720498</v>
      </c>
      <c r="E1036">
        <f>MIN(B1036,C1036)*Assumptions!$B$2</f>
        <v>12.65</v>
      </c>
      <c r="F1036">
        <f>MAX(C1036-B1036,0)*Assumptions!$B$2</f>
        <v>1.8388873943360249</v>
      </c>
      <c r="G1036">
        <f>MAX(B1036-C1036,0)*Assumptions!$B$2</f>
        <v>0</v>
      </c>
    </row>
    <row r="1037" spans="1:7" x14ac:dyDescent="0.3">
      <c r="A1037" s="5">
        <f>Raw_Load_Data!A1037</f>
        <v>46225.56250000251</v>
      </c>
      <c r="B1037">
        <f>Raw_Load_Data!B1037</f>
        <v>20.399999999999999</v>
      </c>
      <c r="C1037">
        <f>MAX(0,IF(AND(HOUR(A1037)&gt;=6,HOUR(A1037)&lt;=18),Assumptions!$B$8*SIN(PI()*(HOUR(A1037)+MINUTE(A1037)/60-6)/12),0))</f>
        <v>27.716385975338607</v>
      </c>
      <c r="D1037">
        <f t="shared" si="16"/>
        <v>-7.3163859753386085</v>
      </c>
      <c r="E1037">
        <f>MIN(B1037,C1037)*Assumptions!$B$2</f>
        <v>10.199999999999999</v>
      </c>
      <c r="F1037">
        <f>MAX(C1037-B1037,0)*Assumptions!$B$2</f>
        <v>3.6581929876693042</v>
      </c>
      <c r="G1037">
        <f>MAX(B1037-C1037,0)*Assumptions!$B$2</f>
        <v>0</v>
      </c>
    </row>
    <row r="1038" spans="1:7" x14ac:dyDescent="0.3">
      <c r="A1038" s="5">
        <f>Raw_Load_Data!A1038</f>
        <v>46225.583333335846</v>
      </c>
      <c r="B1038">
        <f>Raw_Load_Data!B1038</f>
        <v>31.6</v>
      </c>
      <c r="C1038">
        <f>MAX(0,IF(AND(HOUR(A1038)&gt;=6,HOUR(A1038)&lt;=18),Assumptions!$B$8*SIN(PI()*(HOUR(A1038)+MINUTE(A1038)/60-6)/12),0))</f>
        <v>25.98076211353316</v>
      </c>
      <c r="D1038">
        <f t="shared" si="16"/>
        <v>5.6192378864668413</v>
      </c>
      <c r="E1038">
        <f>MIN(B1038,C1038)*Assumptions!$B$2</f>
        <v>12.99038105676658</v>
      </c>
      <c r="F1038">
        <f>MAX(C1038-B1038,0)*Assumptions!$B$2</f>
        <v>0</v>
      </c>
      <c r="G1038">
        <f>MAX(B1038-C1038,0)*Assumptions!$B$2</f>
        <v>2.8096189432334207</v>
      </c>
    </row>
    <row r="1039" spans="1:7" x14ac:dyDescent="0.3">
      <c r="A1039" s="5">
        <f>Raw_Load_Data!A1039</f>
        <v>46225.604166669182</v>
      </c>
      <c r="B1039">
        <f>Raw_Load_Data!B1039</f>
        <v>22.2</v>
      </c>
      <c r="C1039">
        <f>MAX(0,IF(AND(HOUR(A1039)&gt;=6,HOUR(A1039)&lt;=18),Assumptions!$B$8*SIN(PI()*(HOUR(A1039)+MINUTE(A1039)/60-6)/12),0))</f>
        <v>23.800600208737055</v>
      </c>
      <c r="D1039">
        <f t="shared" si="16"/>
        <v>-1.6006002087370561</v>
      </c>
      <c r="E1039">
        <f>MIN(B1039,C1039)*Assumptions!$B$2</f>
        <v>11.1</v>
      </c>
      <c r="F1039">
        <f>MAX(C1039-B1039,0)*Assumptions!$B$2</f>
        <v>0.80030010436852805</v>
      </c>
      <c r="G1039">
        <f>MAX(B1039-C1039,0)*Assumptions!$B$2</f>
        <v>0</v>
      </c>
    </row>
    <row r="1040" spans="1:7" x14ac:dyDescent="0.3">
      <c r="A1040" s="5">
        <f>Raw_Load_Data!A1040</f>
        <v>46225.625000002517</v>
      </c>
      <c r="B1040">
        <f>Raw_Load_Data!B1040</f>
        <v>26.4</v>
      </c>
      <c r="C1040">
        <f>MAX(0,IF(AND(HOUR(A1040)&gt;=6,HOUR(A1040)&lt;=18),Assumptions!$B$8*SIN(PI()*(HOUR(A1040)+MINUTE(A1040)/60-6)/12),0))</f>
        <v>21.213203435596427</v>
      </c>
      <c r="D1040">
        <f t="shared" si="16"/>
        <v>5.1867965644035721</v>
      </c>
      <c r="E1040">
        <f>MIN(B1040,C1040)*Assumptions!$B$2</f>
        <v>10.606601717798213</v>
      </c>
      <c r="F1040">
        <f>MAX(C1040-B1040,0)*Assumptions!$B$2</f>
        <v>0</v>
      </c>
      <c r="G1040">
        <f>MAX(B1040-C1040,0)*Assumptions!$B$2</f>
        <v>2.593398282201786</v>
      </c>
    </row>
    <row r="1041" spans="1:7" x14ac:dyDescent="0.3">
      <c r="A1041" s="5">
        <f>Raw_Load_Data!A1041</f>
        <v>46225.645833335853</v>
      </c>
      <c r="B1041">
        <f>Raw_Load_Data!B1041</f>
        <v>20.6</v>
      </c>
      <c r="C1041">
        <f>MAX(0,IF(AND(HOUR(A1041)&gt;=6,HOUR(A1041)&lt;=18),Assumptions!$B$8*SIN(PI()*(HOUR(A1041)+MINUTE(A1041)/60-6)/12),0))</f>
        <v>18.262842870261625</v>
      </c>
      <c r="D1041">
        <f t="shared" si="16"/>
        <v>2.337157129738376</v>
      </c>
      <c r="E1041">
        <f>MIN(B1041,C1041)*Assumptions!$B$2</f>
        <v>9.1314214351308127</v>
      </c>
      <c r="F1041">
        <f>MAX(C1041-B1041,0)*Assumptions!$B$2</f>
        <v>0</v>
      </c>
      <c r="G1041">
        <f>MAX(B1041-C1041,0)*Assumptions!$B$2</f>
        <v>1.168578564869188</v>
      </c>
    </row>
    <row r="1042" spans="1:7" x14ac:dyDescent="0.3">
      <c r="A1042" s="5">
        <f>Raw_Load_Data!A1042</f>
        <v>46225.666666669189</v>
      </c>
      <c r="B1042">
        <f>Raw_Load_Data!B1042</f>
        <v>15</v>
      </c>
      <c r="C1042">
        <f>MAX(0,IF(AND(HOUR(A1042)&gt;=6,HOUR(A1042)&lt;=18),Assumptions!$B$8*SIN(PI()*(HOUR(A1042)+MINUTE(A1042)/60-6)/12),0))</f>
        <v>14.999999999999998</v>
      </c>
      <c r="D1042">
        <f t="shared" si="16"/>
        <v>0</v>
      </c>
      <c r="E1042">
        <f>MIN(B1042,C1042)*Assumptions!$B$2</f>
        <v>7.4999999999999991</v>
      </c>
      <c r="F1042">
        <f>MAX(C1042-B1042,0)*Assumptions!$B$2</f>
        <v>0</v>
      </c>
      <c r="G1042">
        <f>MAX(B1042-C1042,0)*Assumptions!$B$2</f>
        <v>8.8817841970012523E-16</v>
      </c>
    </row>
    <row r="1043" spans="1:7" x14ac:dyDescent="0.3">
      <c r="A1043" s="5">
        <f>Raw_Load_Data!A1043</f>
        <v>46225.687500002525</v>
      </c>
      <c r="B1043">
        <f>Raw_Load_Data!B1043</f>
        <v>14.2</v>
      </c>
      <c r="C1043">
        <f>MAX(0,IF(AND(HOUR(A1043)&gt;=6,HOUR(A1043)&lt;=18),Assumptions!$B$8*SIN(PI()*(HOUR(A1043)+MINUTE(A1043)/60-6)/12),0))</f>
        <v>11.480502970952697</v>
      </c>
      <c r="D1043">
        <f t="shared" si="16"/>
        <v>2.719497029047302</v>
      </c>
      <c r="E1043">
        <f>MIN(B1043,C1043)*Assumptions!$B$2</f>
        <v>5.7402514854763487</v>
      </c>
      <c r="F1043">
        <f>MAX(C1043-B1043,0)*Assumptions!$B$2</f>
        <v>0</v>
      </c>
      <c r="G1043">
        <f>MAX(B1043-C1043,0)*Assumptions!$B$2</f>
        <v>1.359748514523651</v>
      </c>
    </row>
    <row r="1044" spans="1:7" x14ac:dyDescent="0.3">
      <c r="A1044" s="5">
        <f>Raw_Load_Data!A1044</f>
        <v>46225.708333335861</v>
      </c>
      <c r="B1044">
        <f>Raw_Load_Data!B1044</f>
        <v>10.8</v>
      </c>
      <c r="C1044">
        <f>MAX(0,IF(AND(HOUR(A1044)&gt;=6,HOUR(A1044)&lt;=18),Assumptions!$B$8*SIN(PI()*(HOUR(A1044)+MINUTE(A1044)/60-6)/12),0))</f>
        <v>7.7645713530756302</v>
      </c>
      <c r="D1044">
        <f t="shared" si="16"/>
        <v>3.0354286469243705</v>
      </c>
      <c r="E1044">
        <f>MIN(B1044,C1044)*Assumptions!$B$2</f>
        <v>3.8822856765378151</v>
      </c>
      <c r="F1044">
        <f>MAX(C1044-B1044,0)*Assumptions!$B$2</f>
        <v>0</v>
      </c>
      <c r="G1044">
        <f>MAX(B1044-C1044,0)*Assumptions!$B$2</f>
        <v>1.5177143234621853</v>
      </c>
    </row>
    <row r="1045" spans="1:7" x14ac:dyDescent="0.3">
      <c r="A1045" s="5">
        <f>Raw_Load_Data!A1045</f>
        <v>46225.729166669196</v>
      </c>
      <c r="B1045">
        <f>Raw_Load_Data!B1045</f>
        <v>11.3</v>
      </c>
      <c r="C1045">
        <f>MAX(0,IF(AND(HOUR(A1045)&gt;=6,HOUR(A1045)&lt;=18),Assumptions!$B$8*SIN(PI()*(HOUR(A1045)+MINUTE(A1045)/60-6)/12),0))</f>
        <v>3.9157857666015596</v>
      </c>
      <c r="D1045">
        <f t="shared" si="16"/>
        <v>7.3842142333984411</v>
      </c>
      <c r="E1045">
        <f>MIN(B1045,C1045)*Assumptions!$B$2</f>
        <v>1.9578928833007798</v>
      </c>
      <c r="F1045">
        <f>MAX(C1045-B1045,0)*Assumptions!$B$2</f>
        <v>0</v>
      </c>
      <c r="G1045">
        <f>MAX(B1045-C1045,0)*Assumptions!$B$2</f>
        <v>3.6921071166992205</v>
      </c>
    </row>
    <row r="1046" spans="1:7" x14ac:dyDescent="0.3">
      <c r="A1046" s="5">
        <f>Raw_Load_Data!A1046</f>
        <v>46225.750000002532</v>
      </c>
      <c r="B1046">
        <f>Raw_Load_Data!B1046</f>
        <v>11.1</v>
      </c>
      <c r="C1046">
        <f>MAX(0,IF(AND(HOUR(A1046)&gt;=6,HOUR(A1046)&lt;=18),Assumptions!$B$8*SIN(PI()*(HOUR(A1046)+MINUTE(A1046)/60-6)/12),0))</f>
        <v>3.67544536472586E-15</v>
      </c>
      <c r="D1046">
        <f t="shared" si="16"/>
        <v>11.099999999999996</v>
      </c>
      <c r="E1046">
        <f>MIN(B1046,C1046)*Assumptions!$B$2</f>
        <v>1.83772268236293E-15</v>
      </c>
      <c r="F1046">
        <f>MAX(C1046-B1046,0)*Assumptions!$B$2</f>
        <v>0</v>
      </c>
      <c r="G1046">
        <f>MAX(B1046-C1046,0)*Assumptions!$B$2</f>
        <v>5.549999999999998</v>
      </c>
    </row>
    <row r="1047" spans="1:7" x14ac:dyDescent="0.3">
      <c r="A1047" s="5">
        <f>Raw_Load_Data!A1047</f>
        <v>46225.770833335868</v>
      </c>
      <c r="B1047">
        <f>Raw_Load_Data!B1047</f>
        <v>14.2</v>
      </c>
      <c r="C1047">
        <f>MAX(0,IF(AND(HOUR(A1047)&gt;=6,HOUR(A1047)&lt;=18),Assumptions!$B$8*SIN(PI()*(HOUR(A1047)+MINUTE(A1047)/60-6)/12),0))</f>
        <v>0</v>
      </c>
      <c r="D1047">
        <f t="shared" si="16"/>
        <v>14.2</v>
      </c>
      <c r="E1047">
        <f>MIN(B1047,C1047)*Assumptions!$B$2</f>
        <v>0</v>
      </c>
      <c r="F1047">
        <f>MAX(C1047-B1047,0)*Assumptions!$B$2</f>
        <v>0</v>
      </c>
      <c r="G1047">
        <f>MAX(B1047-C1047,0)*Assumptions!$B$2</f>
        <v>7.1</v>
      </c>
    </row>
    <row r="1048" spans="1:7" x14ac:dyDescent="0.3">
      <c r="A1048" s="5">
        <f>Raw_Load_Data!A1048</f>
        <v>46225.791666669204</v>
      </c>
      <c r="B1048">
        <f>Raw_Load_Data!B1048</f>
        <v>7.4</v>
      </c>
      <c r="C1048">
        <f>MAX(0,IF(AND(HOUR(A1048)&gt;=6,HOUR(A1048)&lt;=18),Assumptions!$B$8*SIN(PI()*(HOUR(A1048)+MINUTE(A1048)/60-6)/12),0))</f>
        <v>0</v>
      </c>
      <c r="D1048">
        <f t="shared" si="16"/>
        <v>7.4</v>
      </c>
      <c r="E1048">
        <f>MIN(B1048,C1048)*Assumptions!$B$2</f>
        <v>0</v>
      </c>
      <c r="F1048">
        <f>MAX(C1048-B1048,0)*Assumptions!$B$2</f>
        <v>0</v>
      </c>
      <c r="G1048">
        <f>MAX(B1048-C1048,0)*Assumptions!$B$2</f>
        <v>3.7</v>
      </c>
    </row>
    <row r="1049" spans="1:7" x14ac:dyDescent="0.3">
      <c r="A1049" s="5">
        <f>Raw_Load_Data!A1049</f>
        <v>46225.812500002539</v>
      </c>
      <c r="B1049">
        <f>Raw_Load_Data!B1049</f>
        <v>4.9000000000000004</v>
      </c>
      <c r="C1049">
        <f>MAX(0,IF(AND(HOUR(A1049)&gt;=6,HOUR(A1049)&lt;=18),Assumptions!$B$8*SIN(PI()*(HOUR(A1049)+MINUTE(A1049)/60-6)/12),0))</f>
        <v>0</v>
      </c>
      <c r="D1049">
        <f t="shared" si="16"/>
        <v>4.9000000000000004</v>
      </c>
      <c r="E1049">
        <f>MIN(B1049,C1049)*Assumptions!$B$2</f>
        <v>0</v>
      </c>
      <c r="F1049">
        <f>MAX(C1049-B1049,0)*Assumptions!$B$2</f>
        <v>0</v>
      </c>
      <c r="G1049">
        <f>MAX(B1049-C1049,0)*Assumptions!$B$2</f>
        <v>2.4500000000000002</v>
      </c>
    </row>
    <row r="1050" spans="1:7" x14ac:dyDescent="0.3">
      <c r="A1050" s="5">
        <f>Raw_Load_Data!A1050</f>
        <v>46225.833333335875</v>
      </c>
      <c r="B1050">
        <f>Raw_Load_Data!B1050</f>
        <v>4.2</v>
      </c>
      <c r="C1050">
        <f>MAX(0,IF(AND(HOUR(A1050)&gt;=6,HOUR(A1050)&lt;=18),Assumptions!$B$8*SIN(PI()*(HOUR(A1050)+MINUTE(A1050)/60-6)/12),0))</f>
        <v>0</v>
      </c>
      <c r="D1050">
        <f t="shared" si="16"/>
        <v>4.2</v>
      </c>
      <c r="E1050">
        <f>MIN(B1050,C1050)*Assumptions!$B$2</f>
        <v>0</v>
      </c>
      <c r="F1050">
        <f>MAX(C1050-B1050,0)*Assumptions!$B$2</f>
        <v>0</v>
      </c>
      <c r="G1050">
        <f>MAX(B1050-C1050,0)*Assumptions!$B$2</f>
        <v>2.1</v>
      </c>
    </row>
    <row r="1051" spans="1:7" x14ac:dyDescent="0.3">
      <c r="A1051" s="5">
        <f>Raw_Load_Data!A1051</f>
        <v>46225.854166669211</v>
      </c>
      <c r="B1051">
        <f>Raw_Load_Data!B1051</f>
        <v>3.6</v>
      </c>
      <c r="C1051">
        <f>MAX(0,IF(AND(HOUR(A1051)&gt;=6,HOUR(A1051)&lt;=18),Assumptions!$B$8*SIN(PI()*(HOUR(A1051)+MINUTE(A1051)/60-6)/12),0))</f>
        <v>0</v>
      </c>
      <c r="D1051">
        <f t="shared" si="16"/>
        <v>3.6</v>
      </c>
      <c r="E1051">
        <f>MIN(B1051,C1051)*Assumptions!$B$2</f>
        <v>0</v>
      </c>
      <c r="F1051">
        <f>MAX(C1051-B1051,0)*Assumptions!$B$2</f>
        <v>0</v>
      </c>
      <c r="G1051">
        <f>MAX(B1051-C1051,0)*Assumptions!$B$2</f>
        <v>1.8</v>
      </c>
    </row>
    <row r="1052" spans="1:7" x14ac:dyDescent="0.3">
      <c r="A1052" s="5">
        <f>Raw_Load_Data!A1052</f>
        <v>46225.875000002547</v>
      </c>
      <c r="B1052">
        <f>Raw_Load_Data!B1052</f>
        <v>3.6</v>
      </c>
      <c r="C1052">
        <f>MAX(0,IF(AND(HOUR(A1052)&gt;=6,HOUR(A1052)&lt;=18),Assumptions!$B$8*SIN(PI()*(HOUR(A1052)+MINUTE(A1052)/60-6)/12),0))</f>
        <v>0</v>
      </c>
      <c r="D1052">
        <f t="shared" si="16"/>
        <v>3.6</v>
      </c>
      <c r="E1052">
        <f>MIN(B1052,C1052)*Assumptions!$B$2</f>
        <v>0</v>
      </c>
      <c r="F1052">
        <f>MAX(C1052-B1052,0)*Assumptions!$B$2</f>
        <v>0</v>
      </c>
      <c r="G1052">
        <f>MAX(B1052-C1052,0)*Assumptions!$B$2</f>
        <v>1.8</v>
      </c>
    </row>
    <row r="1053" spans="1:7" x14ac:dyDescent="0.3">
      <c r="A1053" s="5">
        <f>Raw_Load_Data!A1053</f>
        <v>46225.895833335882</v>
      </c>
      <c r="B1053">
        <f>Raw_Load_Data!B1053</f>
        <v>4.8</v>
      </c>
      <c r="C1053">
        <f>MAX(0,IF(AND(HOUR(A1053)&gt;=6,HOUR(A1053)&lt;=18),Assumptions!$B$8*SIN(PI()*(HOUR(A1053)+MINUTE(A1053)/60-6)/12),0))</f>
        <v>0</v>
      </c>
      <c r="D1053">
        <f t="shared" si="16"/>
        <v>4.8</v>
      </c>
      <c r="E1053">
        <f>MIN(B1053,C1053)*Assumptions!$B$2</f>
        <v>0</v>
      </c>
      <c r="F1053">
        <f>MAX(C1053-B1053,0)*Assumptions!$B$2</f>
        <v>0</v>
      </c>
      <c r="G1053">
        <f>MAX(B1053-C1053,0)*Assumptions!$B$2</f>
        <v>2.4</v>
      </c>
    </row>
    <row r="1054" spans="1:7" x14ac:dyDescent="0.3">
      <c r="A1054" s="5">
        <f>Raw_Load_Data!A1054</f>
        <v>46225.916666669218</v>
      </c>
      <c r="B1054">
        <f>Raw_Load_Data!B1054</f>
        <v>8</v>
      </c>
      <c r="C1054">
        <f>MAX(0,IF(AND(HOUR(A1054)&gt;=6,HOUR(A1054)&lt;=18),Assumptions!$B$8*SIN(PI()*(HOUR(A1054)+MINUTE(A1054)/60-6)/12),0))</f>
        <v>0</v>
      </c>
      <c r="D1054">
        <f t="shared" si="16"/>
        <v>8</v>
      </c>
      <c r="E1054">
        <f>MIN(B1054,C1054)*Assumptions!$B$2</f>
        <v>0</v>
      </c>
      <c r="F1054">
        <f>MAX(C1054-B1054,0)*Assumptions!$B$2</f>
        <v>0</v>
      </c>
      <c r="G1054">
        <f>MAX(B1054-C1054,0)*Assumptions!$B$2</f>
        <v>4</v>
      </c>
    </row>
    <row r="1055" spans="1:7" x14ac:dyDescent="0.3">
      <c r="A1055" s="5">
        <f>Raw_Load_Data!A1055</f>
        <v>46225.937500002554</v>
      </c>
      <c r="B1055">
        <f>Raw_Load_Data!B1055</f>
        <v>5.2</v>
      </c>
      <c r="C1055">
        <f>MAX(0,IF(AND(HOUR(A1055)&gt;=6,HOUR(A1055)&lt;=18),Assumptions!$B$8*SIN(PI()*(HOUR(A1055)+MINUTE(A1055)/60-6)/12),0))</f>
        <v>0</v>
      </c>
      <c r="D1055">
        <f t="shared" si="16"/>
        <v>5.2</v>
      </c>
      <c r="E1055">
        <f>MIN(B1055,C1055)*Assumptions!$B$2</f>
        <v>0</v>
      </c>
      <c r="F1055">
        <f>MAX(C1055-B1055,0)*Assumptions!$B$2</f>
        <v>0</v>
      </c>
      <c r="G1055">
        <f>MAX(B1055-C1055,0)*Assumptions!$B$2</f>
        <v>2.6</v>
      </c>
    </row>
    <row r="1056" spans="1:7" x14ac:dyDescent="0.3">
      <c r="A1056" s="5">
        <f>Raw_Load_Data!A1056</f>
        <v>46225.95833333589</v>
      </c>
      <c r="B1056">
        <f>Raw_Load_Data!B1056</f>
        <v>3.6</v>
      </c>
      <c r="C1056">
        <f>MAX(0,IF(AND(HOUR(A1056)&gt;=6,HOUR(A1056)&lt;=18),Assumptions!$B$8*SIN(PI()*(HOUR(A1056)+MINUTE(A1056)/60-6)/12),0))</f>
        <v>0</v>
      </c>
      <c r="D1056">
        <f t="shared" si="16"/>
        <v>3.6</v>
      </c>
      <c r="E1056">
        <f>MIN(B1056,C1056)*Assumptions!$B$2</f>
        <v>0</v>
      </c>
      <c r="F1056">
        <f>MAX(C1056-B1056,0)*Assumptions!$B$2</f>
        <v>0</v>
      </c>
      <c r="G1056">
        <f>MAX(B1056-C1056,0)*Assumptions!$B$2</f>
        <v>1.8</v>
      </c>
    </row>
    <row r="1057" spans="1:7" x14ac:dyDescent="0.3">
      <c r="A1057" s="5">
        <f>Raw_Load_Data!A1057</f>
        <v>46225.979166669225</v>
      </c>
      <c r="B1057">
        <f>Raw_Load_Data!B1057</f>
        <v>5.3</v>
      </c>
      <c r="C1057">
        <f>MAX(0,IF(AND(HOUR(A1057)&gt;=6,HOUR(A1057)&lt;=18),Assumptions!$B$8*SIN(PI()*(HOUR(A1057)+MINUTE(A1057)/60-6)/12),0))</f>
        <v>0</v>
      </c>
      <c r="D1057">
        <f t="shared" si="16"/>
        <v>5.3</v>
      </c>
      <c r="E1057">
        <f>MIN(B1057,C1057)*Assumptions!$B$2</f>
        <v>0</v>
      </c>
      <c r="F1057">
        <f>MAX(C1057-B1057,0)*Assumptions!$B$2</f>
        <v>0</v>
      </c>
      <c r="G1057">
        <f>MAX(B1057-C1057,0)*Assumptions!$B$2</f>
        <v>2.65</v>
      </c>
    </row>
    <row r="1058" spans="1:7" x14ac:dyDescent="0.3">
      <c r="A1058" s="5">
        <f>Raw_Load_Data!A1058</f>
        <v>46226.000000002561</v>
      </c>
      <c r="B1058">
        <f>Raw_Load_Data!B1058</f>
        <v>2.2999999999999998</v>
      </c>
      <c r="C1058">
        <f>MAX(0,IF(AND(HOUR(A1058)&gt;=6,HOUR(A1058)&lt;=18),Assumptions!$B$8*SIN(PI()*(HOUR(A1058)+MINUTE(A1058)/60-6)/12),0))</f>
        <v>0</v>
      </c>
      <c r="D1058">
        <f t="shared" si="16"/>
        <v>2.2999999999999998</v>
      </c>
      <c r="E1058">
        <f>MIN(B1058,C1058)*Assumptions!$B$2</f>
        <v>0</v>
      </c>
      <c r="F1058">
        <f>MAX(C1058-B1058,0)*Assumptions!$B$2</f>
        <v>0</v>
      </c>
      <c r="G1058">
        <f>MAX(B1058-C1058,0)*Assumptions!$B$2</f>
        <v>1.1499999999999999</v>
      </c>
    </row>
    <row r="1059" spans="1:7" x14ac:dyDescent="0.3">
      <c r="A1059" s="5">
        <f>Raw_Load_Data!A1059</f>
        <v>46226.020833335897</v>
      </c>
      <c r="B1059">
        <f>Raw_Load_Data!B1059</f>
        <v>3</v>
      </c>
      <c r="C1059">
        <f>MAX(0,IF(AND(HOUR(A1059)&gt;=6,HOUR(A1059)&lt;=18),Assumptions!$B$8*SIN(PI()*(HOUR(A1059)+MINUTE(A1059)/60-6)/12),0))</f>
        <v>0</v>
      </c>
      <c r="D1059">
        <f t="shared" si="16"/>
        <v>3</v>
      </c>
      <c r="E1059">
        <f>MIN(B1059,C1059)*Assumptions!$B$2</f>
        <v>0</v>
      </c>
      <c r="F1059">
        <f>MAX(C1059-B1059,0)*Assumptions!$B$2</f>
        <v>0</v>
      </c>
      <c r="G1059">
        <f>MAX(B1059-C1059,0)*Assumptions!$B$2</f>
        <v>1.5</v>
      </c>
    </row>
    <row r="1060" spans="1:7" x14ac:dyDescent="0.3">
      <c r="A1060" s="5">
        <f>Raw_Load_Data!A1060</f>
        <v>46226.041666669233</v>
      </c>
      <c r="B1060">
        <f>Raw_Load_Data!B1060</f>
        <v>1.9</v>
      </c>
      <c r="C1060">
        <f>MAX(0,IF(AND(HOUR(A1060)&gt;=6,HOUR(A1060)&lt;=18),Assumptions!$B$8*SIN(PI()*(HOUR(A1060)+MINUTE(A1060)/60-6)/12),0))</f>
        <v>0</v>
      </c>
      <c r="D1060">
        <f t="shared" si="16"/>
        <v>1.9</v>
      </c>
      <c r="E1060">
        <f>MIN(B1060,C1060)*Assumptions!$B$2</f>
        <v>0</v>
      </c>
      <c r="F1060">
        <f>MAX(C1060-B1060,0)*Assumptions!$B$2</f>
        <v>0</v>
      </c>
      <c r="G1060">
        <f>MAX(B1060-C1060,0)*Assumptions!$B$2</f>
        <v>0.95</v>
      </c>
    </row>
    <row r="1061" spans="1:7" x14ac:dyDescent="0.3">
      <c r="A1061" s="5">
        <f>Raw_Load_Data!A1061</f>
        <v>46226.062500002568</v>
      </c>
      <c r="B1061">
        <f>Raw_Load_Data!B1061</f>
        <v>2.2999999999999998</v>
      </c>
      <c r="C1061">
        <f>MAX(0,IF(AND(HOUR(A1061)&gt;=6,HOUR(A1061)&lt;=18),Assumptions!$B$8*SIN(PI()*(HOUR(A1061)+MINUTE(A1061)/60-6)/12),0))</f>
        <v>0</v>
      </c>
      <c r="D1061">
        <f t="shared" si="16"/>
        <v>2.2999999999999998</v>
      </c>
      <c r="E1061">
        <f>MIN(B1061,C1061)*Assumptions!$B$2</f>
        <v>0</v>
      </c>
      <c r="F1061">
        <f>MAX(C1061-B1061,0)*Assumptions!$B$2</f>
        <v>0</v>
      </c>
      <c r="G1061">
        <f>MAX(B1061-C1061,0)*Assumptions!$B$2</f>
        <v>1.1499999999999999</v>
      </c>
    </row>
    <row r="1062" spans="1:7" x14ac:dyDescent="0.3">
      <c r="A1062" s="5">
        <f>Raw_Load_Data!A1062</f>
        <v>46226.083333335904</v>
      </c>
      <c r="B1062">
        <f>Raw_Load_Data!B1062</f>
        <v>2.2000000000000002</v>
      </c>
      <c r="C1062">
        <f>MAX(0,IF(AND(HOUR(A1062)&gt;=6,HOUR(A1062)&lt;=18),Assumptions!$B$8*SIN(PI()*(HOUR(A1062)+MINUTE(A1062)/60-6)/12),0))</f>
        <v>0</v>
      </c>
      <c r="D1062">
        <f t="shared" si="16"/>
        <v>2.2000000000000002</v>
      </c>
      <c r="E1062">
        <f>MIN(B1062,C1062)*Assumptions!$B$2</f>
        <v>0</v>
      </c>
      <c r="F1062">
        <f>MAX(C1062-B1062,0)*Assumptions!$B$2</f>
        <v>0</v>
      </c>
      <c r="G1062">
        <f>MAX(B1062-C1062,0)*Assumptions!$B$2</f>
        <v>1.1000000000000001</v>
      </c>
    </row>
    <row r="1063" spans="1:7" x14ac:dyDescent="0.3">
      <c r="A1063" s="5">
        <f>Raw_Load_Data!A1063</f>
        <v>46226.10416666924</v>
      </c>
      <c r="B1063">
        <f>Raw_Load_Data!B1063</f>
        <v>1.8</v>
      </c>
      <c r="C1063">
        <f>MAX(0,IF(AND(HOUR(A1063)&gt;=6,HOUR(A1063)&lt;=18),Assumptions!$B$8*SIN(PI()*(HOUR(A1063)+MINUTE(A1063)/60-6)/12),0))</f>
        <v>0</v>
      </c>
      <c r="D1063">
        <f t="shared" si="16"/>
        <v>1.8</v>
      </c>
      <c r="E1063">
        <f>MIN(B1063,C1063)*Assumptions!$B$2</f>
        <v>0</v>
      </c>
      <c r="F1063">
        <f>MAX(C1063-B1063,0)*Assumptions!$B$2</f>
        <v>0</v>
      </c>
      <c r="G1063">
        <f>MAX(B1063-C1063,0)*Assumptions!$B$2</f>
        <v>0.9</v>
      </c>
    </row>
    <row r="1064" spans="1:7" x14ac:dyDescent="0.3">
      <c r="A1064" s="5">
        <f>Raw_Load_Data!A1064</f>
        <v>46226.125000002576</v>
      </c>
      <c r="B1064">
        <f>Raw_Load_Data!B1064</f>
        <v>3</v>
      </c>
      <c r="C1064">
        <f>MAX(0,IF(AND(HOUR(A1064)&gt;=6,HOUR(A1064)&lt;=18),Assumptions!$B$8*SIN(PI()*(HOUR(A1064)+MINUTE(A1064)/60-6)/12),0))</f>
        <v>0</v>
      </c>
      <c r="D1064">
        <f t="shared" si="16"/>
        <v>3</v>
      </c>
      <c r="E1064">
        <f>MIN(B1064,C1064)*Assumptions!$B$2</f>
        <v>0</v>
      </c>
      <c r="F1064">
        <f>MAX(C1064-B1064,0)*Assumptions!$B$2</f>
        <v>0</v>
      </c>
      <c r="G1064">
        <f>MAX(B1064-C1064,0)*Assumptions!$B$2</f>
        <v>1.5</v>
      </c>
    </row>
    <row r="1065" spans="1:7" x14ac:dyDescent="0.3">
      <c r="A1065" s="5">
        <f>Raw_Load_Data!A1065</f>
        <v>46226.145833335911</v>
      </c>
      <c r="B1065">
        <f>Raw_Load_Data!B1065</f>
        <v>2.6</v>
      </c>
      <c r="C1065">
        <f>MAX(0,IF(AND(HOUR(A1065)&gt;=6,HOUR(A1065)&lt;=18),Assumptions!$B$8*SIN(PI()*(HOUR(A1065)+MINUTE(A1065)/60-6)/12),0))</f>
        <v>0</v>
      </c>
      <c r="D1065">
        <f t="shared" si="16"/>
        <v>2.6</v>
      </c>
      <c r="E1065">
        <f>MIN(B1065,C1065)*Assumptions!$B$2</f>
        <v>0</v>
      </c>
      <c r="F1065">
        <f>MAX(C1065-B1065,0)*Assumptions!$B$2</f>
        <v>0</v>
      </c>
      <c r="G1065">
        <f>MAX(B1065-C1065,0)*Assumptions!$B$2</f>
        <v>1.3</v>
      </c>
    </row>
    <row r="1066" spans="1:7" x14ac:dyDescent="0.3">
      <c r="A1066" s="5">
        <f>Raw_Load_Data!A1066</f>
        <v>46226.166666669247</v>
      </c>
      <c r="B1066">
        <f>Raw_Load_Data!B1066</f>
        <v>2.4</v>
      </c>
      <c r="C1066">
        <f>MAX(0,IF(AND(HOUR(A1066)&gt;=6,HOUR(A1066)&lt;=18),Assumptions!$B$8*SIN(PI()*(HOUR(A1066)+MINUTE(A1066)/60-6)/12),0))</f>
        <v>0</v>
      </c>
      <c r="D1066">
        <f t="shared" si="16"/>
        <v>2.4</v>
      </c>
      <c r="E1066">
        <f>MIN(B1066,C1066)*Assumptions!$B$2</f>
        <v>0</v>
      </c>
      <c r="F1066">
        <f>MAX(C1066-B1066,0)*Assumptions!$B$2</f>
        <v>0</v>
      </c>
      <c r="G1066">
        <f>MAX(B1066-C1066,0)*Assumptions!$B$2</f>
        <v>1.2</v>
      </c>
    </row>
    <row r="1067" spans="1:7" x14ac:dyDescent="0.3">
      <c r="A1067" s="5">
        <f>Raw_Load_Data!A1067</f>
        <v>46226.187500002583</v>
      </c>
      <c r="B1067">
        <f>Raw_Load_Data!B1067</f>
        <v>2.4</v>
      </c>
      <c r="C1067">
        <f>MAX(0,IF(AND(HOUR(A1067)&gt;=6,HOUR(A1067)&lt;=18),Assumptions!$B$8*SIN(PI()*(HOUR(A1067)+MINUTE(A1067)/60-6)/12),0))</f>
        <v>0</v>
      </c>
      <c r="D1067">
        <f t="shared" si="16"/>
        <v>2.4</v>
      </c>
      <c r="E1067">
        <f>MIN(B1067,C1067)*Assumptions!$B$2</f>
        <v>0</v>
      </c>
      <c r="F1067">
        <f>MAX(C1067-B1067,0)*Assumptions!$B$2</f>
        <v>0</v>
      </c>
      <c r="G1067">
        <f>MAX(B1067-C1067,0)*Assumptions!$B$2</f>
        <v>1.2</v>
      </c>
    </row>
    <row r="1068" spans="1:7" x14ac:dyDescent="0.3">
      <c r="A1068" s="5">
        <f>Raw_Load_Data!A1068</f>
        <v>46226.208333335919</v>
      </c>
      <c r="B1068">
        <f>Raw_Load_Data!B1068</f>
        <v>2.1</v>
      </c>
      <c r="C1068">
        <f>MAX(0,IF(AND(HOUR(A1068)&gt;=6,HOUR(A1068)&lt;=18),Assumptions!$B$8*SIN(PI()*(HOUR(A1068)+MINUTE(A1068)/60-6)/12),0))</f>
        <v>0</v>
      </c>
      <c r="D1068">
        <f t="shared" si="16"/>
        <v>2.1</v>
      </c>
      <c r="E1068">
        <f>MIN(B1068,C1068)*Assumptions!$B$2</f>
        <v>0</v>
      </c>
      <c r="F1068">
        <f>MAX(C1068-B1068,0)*Assumptions!$B$2</f>
        <v>0</v>
      </c>
      <c r="G1068">
        <f>MAX(B1068-C1068,0)*Assumptions!$B$2</f>
        <v>1.05</v>
      </c>
    </row>
    <row r="1069" spans="1:7" x14ac:dyDescent="0.3">
      <c r="A1069" s="5">
        <f>Raw_Load_Data!A1069</f>
        <v>46226.229166669254</v>
      </c>
      <c r="B1069">
        <f>Raw_Load_Data!B1069</f>
        <v>2.2000000000000002</v>
      </c>
      <c r="C1069">
        <f>MAX(0,IF(AND(HOUR(A1069)&gt;=6,HOUR(A1069)&lt;=18),Assumptions!$B$8*SIN(PI()*(HOUR(A1069)+MINUTE(A1069)/60-6)/12),0))</f>
        <v>0</v>
      </c>
      <c r="D1069">
        <f t="shared" si="16"/>
        <v>2.2000000000000002</v>
      </c>
      <c r="E1069">
        <f>MIN(B1069,C1069)*Assumptions!$B$2</f>
        <v>0</v>
      </c>
      <c r="F1069">
        <f>MAX(C1069-B1069,0)*Assumptions!$B$2</f>
        <v>0</v>
      </c>
      <c r="G1069">
        <f>MAX(B1069-C1069,0)*Assumptions!$B$2</f>
        <v>1.1000000000000001</v>
      </c>
    </row>
    <row r="1070" spans="1:7" x14ac:dyDescent="0.3">
      <c r="A1070" s="5">
        <f>Raw_Load_Data!A1070</f>
        <v>46226.25000000259</v>
      </c>
      <c r="B1070">
        <f>Raw_Load_Data!B1070</f>
        <v>7</v>
      </c>
      <c r="C1070">
        <f>MAX(0,IF(AND(HOUR(A1070)&gt;=6,HOUR(A1070)&lt;=18),Assumptions!$B$8*SIN(PI()*(HOUR(A1070)+MINUTE(A1070)/60-6)/12),0))</f>
        <v>0</v>
      </c>
      <c r="D1070">
        <f t="shared" si="16"/>
        <v>7</v>
      </c>
      <c r="E1070">
        <f>MIN(B1070,C1070)*Assumptions!$B$2</f>
        <v>0</v>
      </c>
      <c r="F1070">
        <f>MAX(C1070-B1070,0)*Assumptions!$B$2</f>
        <v>0</v>
      </c>
      <c r="G1070">
        <f>MAX(B1070-C1070,0)*Assumptions!$B$2</f>
        <v>3.5</v>
      </c>
    </row>
    <row r="1071" spans="1:7" x14ac:dyDescent="0.3">
      <c r="A1071" s="5">
        <f>Raw_Load_Data!A1071</f>
        <v>46226.270833335926</v>
      </c>
      <c r="B1071">
        <f>Raw_Load_Data!B1071</f>
        <v>7.5</v>
      </c>
      <c r="C1071">
        <f>MAX(0,IF(AND(HOUR(A1071)&gt;=6,HOUR(A1071)&lt;=18),Assumptions!$B$8*SIN(PI()*(HOUR(A1071)+MINUTE(A1071)/60-6)/12),0))</f>
        <v>3.9157857666015472</v>
      </c>
      <c r="D1071">
        <f t="shared" si="16"/>
        <v>3.5842142333984528</v>
      </c>
      <c r="E1071">
        <f>MIN(B1071,C1071)*Assumptions!$B$2</f>
        <v>1.9578928833007736</v>
      </c>
      <c r="F1071">
        <f>MAX(C1071-B1071,0)*Assumptions!$B$2</f>
        <v>0</v>
      </c>
      <c r="G1071">
        <f>MAX(B1071-C1071,0)*Assumptions!$B$2</f>
        <v>1.7921071166992264</v>
      </c>
    </row>
    <row r="1072" spans="1:7" x14ac:dyDescent="0.3">
      <c r="A1072" s="5">
        <f>Raw_Load_Data!A1072</f>
        <v>46226.291666669262</v>
      </c>
      <c r="B1072">
        <f>Raw_Load_Data!B1072</f>
        <v>7.4</v>
      </c>
      <c r="C1072">
        <f>MAX(0,IF(AND(HOUR(A1072)&gt;=6,HOUR(A1072)&lt;=18),Assumptions!$B$8*SIN(PI()*(HOUR(A1072)+MINUTE(A1072)/60-6)/12),0))</f>
        <v>7.7645713530756222</v>
      </c>
      <c r="D1072">
        <f t="shared" si="16"/>
        <v>-0.36457135307562183</v>
      </c>
      <c r="E1072">
        <f>MIN(B1072,C1072)*Assumptions!$B$2</f>
        <v>3.7</v>
      </c>
      <c r="F1072">
        <f>MAX(C1072-B1072,0)*Assumptions!$B$2</f>
        <v>0.18228567653781091</v>
      </c>
      <c r="G1072">
        <f>MAX(B1072-C1072,0)*Assumptions!$B$2</f>
        <v>0</v>
      </c>
    </row>
    <row r="1073" spans="1:7" x14ac:dyDescent="0.3">
      <c r="A1073" s="5">
        <f>Raw_Load_Data!A1073</f>
        <v>46226.312500002598</v>
      </c>
      <c r="B1073">
        <f>Raw_Load_Data!B1073</f>
        <v>6.6</v>
      </c>
      <c r="C1073">
        <f>MAX(0,IF(AND(HOUR(A1073)&gt;=6,HOUR(A1073)&lt;=18),Assumptions!$B$8*SIN(PI()*(HOUR(A1073)+MINUTE(A1073)/60-6)/12),0))</f>
        <v>11.480502970952694</v>
      </c>
      <c r="D1073">
        <f t="shared" si="16"/>
        <v>-4.8805029709526941</v>
      </c>
      <c r="E1073">
        <f>MIN(B1073,C1073)*Assumptions!$B$2</f>
        <v>3.3</v>
      </c>
      <c r="F1073">
        <f>MAX(C1073-B1073,0)*Assumptions!$B$2</f>
        <v>2.4402514854763471</v>
      </c>
      <c r="G1073">
        <f>MAX(B1073-C1073,0)*Assumptions!$B$2</f>
        <v>0</v>
      </c>
    </row>
    <row r="1074" spans="1:7" x14ac:dyDescent="0.3">
      <c r="A1074" s="5">
        <f>Raw_Load_Data!A1074</f>
        <v>46226.333333335933</v>
      </c>
      <c r="B1074">
        <f>Raw_Load_Data!B1074</f>
        <v>13.5</v>
      </c>
      <c r="C1074">
        <f>MAX(0,IF(AND(HOUR(A1074)&gt;=6,HOUR(A1074)&lt;=18),Assumptions!$B$8*SIN(PI()*(HOUR(A1074)+MINUTE(A1074)/60-6)/12),0))</f>
        <v>14.999999999999998</v>
      </c>
      <c r="D1074">
        <f t="shared" si="16"/>
        <v>-1.4999999999999982</v>
      </c>
      <c r="E1074">
        <f>MIN(B1074,C1074)*Assumptions!$B$2</f>
        <v>6.75</v>
      </c>
      <c r="F1074">
        <f>MAX(C1074-B1074,0)*Assumptions!$B$2</f>
        <v>0.74999999999999911</v>
      </c>
      <c r="G1074">
        <f>MAX(B1074-C1074,0)*Assumptions!$B$2</f>
        <v>0</v>
      </c>
    </row>
    <row r="1075" spans="1:7" x14ac:dyDescent="0.3">
      <c r="A1075" s="5">
        <f>Raw_Load_Data!A1075</f>
        <v>46226.354166669269</v>
      </c>
      <c r="B1075">
        <f>Raw_Load_Data!B1075</f>
        <v>18.5</v>
      </c>
      <c r="C1075">
        <f>MAX(0,IF(AND(HOUR(A1075)&gt;=6,HOUR(A1075)&lt;=18),Assumptions!$B$8*SIN(PI()*(HOUR(A1075)+MINUTE(A1075)/60-6)/12),0))</f>
        <v>18.262842870261618</v>
      </c>
      <c r="D1075">
        <f t="shared" si="16"/>
        <v>0.23715712973838166</v>
      </c>
      <c r="E1075">
        <f>MIN(B1075,C1075)*Assumptions!$B$2</f>
        <v>9.1314214351308092</v>
      </c>
      <c r="F1075">
        <f>MAX(C1075-B1075,0)*Assumptions!$B$2</f>
        <v>0</v>
      </c>
      <c r="G1075">
        <f>MAX(B1075-C1075,0)*Assumptions!$B$2</f>
        <v>0.11857856486919083</v>
      </c>
    </row>
    <row r="1076" spans="1:7" x14ac:dyDescent="0.3">
      <c r="A1076" s="5">
        <f>Raw_Load_Data!A1076</f>
        <v>46226.375000002605</v>
      </c>
      <c r="B1076">
        <f>Raw_Load_Data!B1076</f>
        <v>14.3</v>
      </c>
      <c r="C1076">
        <f>MAX(0,IF(AND(HOUR(A1076)&gt;=6,HOUR(A1076)&lt;=18),Assumptions!$B$8*SIN(PI()*(HOUR(A1076)+MINUTE(A1076)/60-6)/12),0))</f>
        <v>21.213203435596423</v>
      </c>
      <c r="D1076">
        <f t="shared" si="16"/>
        <v>-6.9132034355964223</v>
      </c>
      <c r="E1076">
        <f>MIN(B1076,C1076)*Assumptions!$B$2</f>
        <v>7.15</v>
      </c>
      <c r="F1076">
        <f>MAX(C1076-B1076,0)*Assumptions!$B$2</f>
        <v>3.4566017177982111</v>
      </c>
      <c r="G1076">
        <f>MAX(B1076-C1076,0)*Assumptions!$B$2</f>
        <v>0</v>
      </c>
    </row>
    <row r="1077" spans="1:7" x14ac:dyDescent="0.3">
      <c r="A1077" s="5">
        <f>Raw_Load_Data!A1077</f>
        <v>46226.395833335941</v>
      </c>
      <c r="B1077">
        <f>Raw_Load_Data!B1077</f>
        <v>19.5</v>
      </c>
      <c r="C1077">
        <f>MAX(0,IF(AND(HOUR(A1077)&gt;=6,HOUR(A1077)&lt;=18),Assumptions!$B$8*SIN(PI()*(HOUR(A1077)+MINUTE(A1077)/60-6)/12),0))</f>
        <v>23.800600208737055</v>
      </c>
      <c r="D1077">
        <f t="shared" si="16"/>
        <v>-4.3006002087370554</v>
      </c>
      <c r="E1077">
        <f>MIN(B1077,C1077)*Assumptions!$B$2</f>
        <v>9.75</v>
      </c>
      <c r="F1077">
        <f>MAX(C1077-B1077,0)*Assumptions!$B$2</f>
        <v>2.1503001043685277</v>
      </c>
      <c r="G1077">
        <f>MAX(B1077-C1077,0)*Assumptions!$B$2</f>
        <v>0</v>
      </c>
    </row>
    <row r="1078" spans="1:7" x14ac:dyDescent="0.3">
      <c r="A1078" s="5">
        <f>Raw_Load_Data!A1078</f>
        <v>46226.416666669276</v>
      </c>
      <c r="B1078">
        <f>Raw_Load_Data!B1078</f>
        <v>17.7</v>
      </c>
      <c r="C1078">
        <f>MAX(0,IF(AND(HOUR(A1078)&gt;=6,HOUR(A1078)&lt;=18),Assumptions!$B$8*SIN(PI()*(HOUR(A1078)+MINUTE(A1078)/60-6)/12),0))</f>
        <v>25.980762113533157</v>
      </c>
      <c r="D1078">
        <f t="shared" si="16"/>
        <v>-8.2807621135331573</v>
      </c>
      <c r="E1078">
        <f>MIN(B1078,C1078)*Assumptions!$B$2</f>
        <v>8.85</v>
      </c>
      <c r="F1078">
        <f>MAX(C1078-B1078,0)*Assumptions!$B$2</f>
        <v>4.1403810567665786</v>
      </c>
      <c r="G1078">
        <f>MAX(B1078-C1078,0)*Assumptions!$B$2</f>
        <v>0</v>
      </c>
    </row>
    <row r="1079" spans="1:7" x14ac:dyDescent="0.3">
      <c r="A1079" s="5">
        <f>Raw_Load_Data!A1079</f>
        <v>46226.437500002612</v>
      </c>
      <c r="B1079">
        <f>Raw_Load_Data!B1079</f>
        <v>14.7</v>
      </c>
      <c r="C1079">
        <f>MAX(0,IF(AND(HOUR(A1079)&gt;=6,HOUR(A1079)&lt;=18),Assumptions!$B$8*SIN(PI()*(HOUR(A1079)+MINUTE(A1079)/60-6)/12),0))</f>
        <v>27.716385975338603</v>
      </c>
      <c r="D1079">
        <f t="shared" si="16"/>
        <v>-13.016385975338604</v>
      </c>
      <c r="E1079">
        <f>MIN(B1079,C1079)*Assumptions!$B$2</f>
        <v>7.35</v>
      </c>
      <c r="F1079">
        <f>MAX(C1079-B1079,0)*Assumptions!$B$2</f>
        <v>6.5081929876693021</v>
      </c>
      <c r="G1079">
        <f>MAX(B1079-C1079,0)*Assumptions!$B$2</f>
        <v>0</v>
      </c>
    </row>
    <row r="1080" spans="1:7" x14ac:dyDescent="0.3">
      <c r="A1080" s="5">
        <f>Raw_Load_Data!A1080</f>
        <v>46226.458333335948</v>
      </c>
      <c r="B1080">
        <f>Raw_Load_Data!B1080</f>
        <v>22</v>
      </c>
      <c r="C1080">
        <f>MAX(0,IF(AND(HOUR(A1080)&gt;=6,HOUR(A1080)&lt;=18),Assumptions!$B$8*SIN(PI()*(HOUR(A1080)+MINUTE(A1080)/60-6)/12),0))</f>
        <v>28.97777478867205</v>
      </c>
      <c r="D1080">
        <f t="shared" si="16"/>
        <v>-6.9777747886720505</v>
      </c>
      <c r="E1080">
        <f>MIN(B1080,C1080)*Assumptions!$B$2</f>
        <v>11</v>
      </c>
      <c r="F1080">
        <f>MAX(C1080-B1080,0)*Assumptions!$B$2</f>
        <v>3.4888873943360252</v>
      </c>
      <c r="G1080">
        <f>MAX(B1080-C1080,0)*Assumptions!$B$2</f>
        <v>0</v>
      </c>
    </row>
    <row r="1081" spans="1:7" x14ac:dyDescent="0.3">
      <c r="A1081" s="5">
        <f>Raw_Load_Data!A1081</f>
        <v>46226.479166669284</v>
      </c>
      <c r="B1081">
        <f>Raw_Load_Data!B1081</f>
        <v>13.9</v>
      </c>
      <c r="C1081">
        <f>MAX(0,IF(AND(HOUR(A1081)&gt;=6,HOUR(A1081)&lt;=18),Assumptions!$B$8*SIN(PI()*(HOUR(A1081)+MINUTE(A1081)/60-6)/12),0))</f>
        <v>29.74334584121431</v>
      </c>
      <c r="D1081">
        <f t="shared" si="16"/>
        <v>-15.84334584121431</v>
      </c>
      <c r="E1081">
        <f>MIN(B1081,C1081)*Assumptions!$B$2</f>
        <v>6.95</v>
      </c>
      <c r="F1081">
        <f>MAX(C1081-B1081,0)*Assumptions!$B$2</f>
        <v>7.921672920607155</v>
      </c>
      <c r="G1081">
        <f>MAX(B1081-C1081,0)*Assumptions!$B$2</f>
        <v>0</v>
      </c>
    </row>
    <row r="1082" spans="1:7" x14ac:dyDescent="0.3">
      <c r="A1082" s="5">
        <f>Raw_Load_Data!A1082</f>
        <v>46226.500000002619</v>
      </c>
      <c r="B1082">
        <f>Raw_Load_Data!B1082</f>
        <v>22</v>
      </c>
      <c r="C1082">
        <f>MAX(0,IF(AND(HOUR(A1082)&gt;=6,HOUR(A1082)&lt;=18),Assumptions!$B$8*SIN(PI()*(HOUR(A1082)+MINUTE(A1082)/60-6)/12),0))</f>
        <v>30</v>
      </c>
      <c r="D1082">
        <f t="shared" si="16"/>
        <v>-8</v>
      </c>
      <c r="E1082">
        <f>MIN(B1082,C1082)*Assumptions!$B$2</f>
        <v>11</v>
      </c>
      <c r="F1082">
        <f>MAX(C1082-B1082,0)*Assumptions!$B$2</f>
        <v>4</v>
      </c>
      <c r="G1082">
        <f>MAX(B1082-C1082,0)*Assumptions!$B$2</f>
        <v>0</v>
      </c>
    </row>
    <row r="1083" spans="1:7" x14ac:dyDescent="0.3">
      <c r="A1083" s="5">
        <f>Raw_Load_Data!A1083</f>
        <v>46226.520833335955</v>
      </c>
      <c r="B1083">
        <f>Raw_Load_Data!B1083</f>
        <v>30.7</v>
      </c>
      <c r="C1083">
        <f>MAX(0,IF(AND(HOUR(A1083)&gt;=6,HOUR(A1083)&lt;=18),Assumptions!$B$8*SIN(PI()*(HOUR(A1083)+MINUTE(A1083)/60-6)/12),0))</f>
        <v>29.74334584121431</v>
      </c>
      <c r="D1083">
        <f t="shared" si="16"/>
        <v>0.95665415878568894</v>
      </c>
      <c r="E1083">
        <f>MIN(B1083,C1083)*Assumptions!$B$2</f>
        <v>14.871672920607155</v>
      </c>
      <c r="F1083">
        <f>MAX(C1083-B1083,0)*Assumptions!$B$2</f>
        <v>0</v>
      </c>
      <c r="G1083">
        <f>MAX(B1083-C1083,0)*Assumptions!$B$2</f>
        <v>0.47832707939284447</v>
      </c>
    </row>
    <row r="1084" spans="1:7" x14ac:dyDescent="0.3">
      <c r="A1084" s="5">
        <f>Raw_Load_Data!A1084</f>
        <v>46226.541666669291</v>
      </c>
      <c r="B1084">
        <f>Raw_Load_Data!B1084</f>
        <v>20.7</v>
      </c>
      <c r="C1084">
        <f>MAX(0,IF(AND(HOUR(A1084)&gt;=6,HOUR(A1084)&lt;=18),Assumptions!$B$8*SIN(PI()*(HOUR(A1084)+MINUTE(A1084)/60-6)/12),0))</f>
        <v>28.97777478867205</v>
      </c>
      <c r="D1084">
        <f t="shared" si="16"/>
        <v>-8.2777747886720512</v>
      </c>
      <c r="E1084">
        <f>MIN(B1084,C1084)*Assumptions!$B$2</f>
        <v>10.35</v>
      </c>
      <c r="F1084">
        <f>MAX(C1084-B1084,0)*Assumptions!$B$2</f>
        <v>4.1388873943360256</v>
      </c>
      <c r="G1084">
        <f>MAX(B1084-C1084,0)*Assumptions!$B$2</f>
        <v>0</v>
      </c>
    </row>
    <row r="1085" spans="1:7" x14ac:dyDescent="0.3">
      <c r="A1085" s="5">
        <f>Raw_Load_Data!A1085</f>
        <v>46226.562500002627</v>
      </c>
      <c r="B1085">
        <f>Raw_Load_Data!B1085</f>
        <v>21.3</v>
      </c>
      <c r="C1085">
        <f>MAX(0,IF(AND(HOUR(A1085)&gt;=6,HOUR(A1085)&lt;=18),Assumptions!$B$8*SIN(PI()*(HOUR(A1085)+MINUTE(A1085)/60-6)/12),0))</f>
        <v>27.716385975338607</v>
      </c>
      <c r="D1085">
        <f t="shared" si="16"/>
        <v>-6.4163859753386063</v>
      </c>
      <c r="E1085">
        <f>MIN(B1085,C1085)*Assumptions!$B$2</f>
        <v>10.65</v>
      </c>
      <c r="F1085">
        <f>MAX(C1085-B1085,0)*Assumptions!$B$2</f>
        <v>3.2081929876693032</v>
      </c>
      <c r="G1085">
        <f>MAX(B1085-C1085,0)*Assumptions!$B$2</f>
        <v>0</v>
      </c>
    </row>
    <row r="1086" spans="1:7" x14ac:dyDescent="0.3">
      <c r="A1086" s="5">
        <f>Raw_Load_Data!A1086</f>
        <v>46226.583333335962</v>
      </c>
      <c r="B1086">
        <f>Raw_Load_Data!B1086</f>
        <v>33.200000000000003</v>
      </c>
      <c r="C1086">
        <f>MAX(0,IF(AND(HOUR(A1086)&gt;=6,HOUR(A1086)&lt;=18),Assumptions!$B$8*SIN(PI()*(HOUR(A1086)+MINUTE(A1086)/60-6)/12),0))</f>
        <v>25.98076211353316</v>
      </c>
      <c r="D1086">
        <f t="shared" si="16"/>
        <v>7.2192378864668427</v>
      </c>
      <c r="E1086">
        <f>MIN(B1086,C1086)*Assumptions!$B$2</f>
        <v>12.99038105676658</v>
      </c>
      <c r="F1086">
        <f>MAX(C1086-B1086,0)*Assumptions!$B$2</f>
        <v>0</v>
      </c>
      <c r="G1086">
        <f>MAX(B1086-C1086,0)*Assumptions!$B$2</f>
        <v>3.6096189432334214</v>
      </c>
    </row>
    <row r="1087" spans="1:7" x14ac:dyDescent="0.3">
      <c r="A1087" s="5">
        <f>Raw_Load_Data!A1087</f>
        <v>46226.604166669298</v>
      </c>
      <c r="B1087">
        <f>Raw_Load_Data!B1087</f>
        <v>29.3</v>
      </c>
      <c r="C1087">
        <f>MAX(0,IF(AND(HOUR(A1087)&gt;=6,HOUR(A1087)&lt;=18),Assumptions!$B$8*SIN(PI()*(HOUR(A1087)+MINUTE(A1087)/60-6)/12),0))</f>
        <v>23.800600208737055</v>
      </c>
      <c r="D1087">
        <f t="shared" si="16"/>
        <v>5.4993997912629453</v>
      </c>
      <c r="E1087">
        <f>MIN(B1087,C1087)*Assumptions!$B$2</f>
        <v>11.900300104368528</v>
      </c>
      <c r="F1087">
        <f>MAX(C1087-B1087,0)*Assumptions!$B$2</f>
        <v>0</v>
      </c>
      <c r="G1087">
        <f>MAX(B1087-C1087,0)*Assumptions!$B$2</f>
        <v>2.7496998956314727</v>
      </c>
    </row>
    <row r="1088" spans="1:7" x14ac:dyDescent="0.3">
      <c r="A1088" s="5">
        <f>Raw_Load_Data!A1088</f>
        <v>46226.625000002634</v>
      </c>
      <c r="B1088">
        <f>Raw_Load_Data!B1088</f>
        <v>30</v>
      </c>
      <c r="C1088">
        <f>MAX(0,IF(AND(HOUR(A1088)&gt;=6,HOUR(A1088)&lt;=18),Assumptions!$B$8*SIN(PI()*(HOUR(A1088)+MINUTE(A1088)/60-6)/12),0))</f>
        <v>21.213203435596427</v>
      </c>
      <c r="D1088">
        <f t="shared" si="16"/>
        <v>8.7867965644035735</v>
      </c>
      <c r="E1088">
        <f>MIN(B1088,C1088)*Assumptions!$B$2</f>
        <v>10.606601717798213</v>
      </c>
      <c r="F1088">
        <f>MAX(C1088-B1088,0)*Assumptions!$B$2</f>
        <v>0</v>
      </c>
      <c r="G1088">
        <f>MAX(B1088-C1088,0)*Assumptions!$B$2</f>
        <v>4.3933982822017867</v>
      </c>
    </row>
    <row r="1089" spans="1:7" x14ac:dyDescent="0.3">
      <c r="A1089" s="5">
        <f>Raw_Load_Data!A1089</f>
        <v>46226.64583333597</v>
      </c>
      <c r="B1089">
        <f>Raw_Load_Data!B1089</f>
        <v>31.1</v>
      </c>
      <c r="C1089">
        <f>MAX(0,IF(AND(HOUR(A1089)&gt;=6,HOUR(A1089)&lt;=18),Assumptions!$B$8*SIN(PI()*(HOUR(A1089)+MINUTE(A1089)/60-6)/12),0))</f>
        <v>18.262842870261625</v>
      </c>
      <c r="D1089">
        <f t="shared" si="16"/>
        <v>12.837157129738376</v>
      </c>
      <c r="E1089">
        <f>MIN(B1089,C1089)*Assumptions!$B$2</f>
        <v>9.1314214351308127</v>
      </c>
      <c r="F1089">
        <f>MAX(C1089-B1089,0)*Assumptions!$B$2</f>
        <v>0</v>
      </c>
      <c r="G1089">
        <f>MAX(B1089-C1089,0)*Assumptions!$B$2</f>
        <v>6.418578564869188</v>
      </c>
    </row>
    <row r="1090" spans="1:7" x14ac:dyDescent="0.3">
      <c r="A1090" s="5">
        <f>Raw_Load_Data!A1090</f>
        <v>46226.666666669305</v>
      </c>
      <c r="B1090">
        <f>Raw_Load_Data!B1090</f>
        <v>19.3</v>
      </c>
      <c r="C1090">
        <f>MAX(0,IF(AND(HOUR(A1090)&gt;=6,HOUR(A1090)&lt;=18),Assumptions!$B$8*SIN(PI()*(HOUR(A1090)+MINUTE(A1090)/60-6)/12),0))</f>
        <v>14.999999999999998</v>
      </c>
      <c r="D1090">
        <f t="shared" si="16"/>
        <v>4.3000000000000025</v>
      </c>
      <c r="E1090">
        <f>MIN(B1090,C1090)*Assumptions!$B$2</f>
        <v>7.4999999999999991</v>
      </c>
      <c r="F1090">
        <f>MAX(C1090-B1090,0)*Assumptions!$B$2</f>
        <v>0</v>
      </c>
      <c r="G1090">
        <f>MAX(B1090-C1090,0)*Assumptions!$B$2</f>
        <v>2.1500000000000012</v>
      </c>
    </row>
    <row r="1091" spans="1:7" x14ac:dyDescent="0.3">
      <c r="A1091" s="5">
        <f>Raw_Load_Data!A1091</f>
        <v>46226.687500002641</v>
      </c>
      <c r="B1091">
        <f>Raw_Load_Data!B1091</f>
        <v>17.399999999999999</v>
      </c>
      <c r="C1091">
        <f>MAX(0,IF(AND(HOUR(A1091)&gt;=6,HOUR(A1091)&lt;=18),Assumptions!$B$8*SIN(PI()*(HOUR(A1091)+MINUTE(A1091)/60-6)/12),0))</f>
        <v>11.480502970952697</v>
      </c>
      <c r="D1091">
        <f t="shared" ref="D1091:D1154" si="17">B1091-C1091</f>
        <v>5.9194970290473012</v>
      </c>
      <c r="E1091">
        <f>MIN(B1091,C1091)*Assumptions!$B$2</f>
        <v>5.7402514854763487</v>
      </c>
      <c r="F1091">
        <f>MAX(C1091-B1091,0)*Assumptions!$B$2</f>
        <v>0</v>
      </c>
      <c r="G1091">
        <f>MAX(B1091-C1091,0)*Assumptions!$B$2</f>
        <v>2.9597485145236506</v>
      </c>
    </row>
    <row r="1092" spans="1:7" x14ac:dyDescent="0.3">
      <c r="A1092" s="5">
        <f>Raw_Load_Data!A1092</f>
        <v>46226.708333335977</v>
      </c>
      <c r="B1092">
        <f>Raw_Load_Data!B1092</f>
        <v>18.399999999999999</v>
      </c>
      <c r="C1092">
        <f>MAX(0,IF(AND(HOUR(A1092)&gt;=6,HOUR(A1092)&lt;=18),Assumptions!$B$8*SIN(PI()*(HOUR(A1092)+MINUTE(A1092)/60-6)/12),0))</f>
        <v>7.7645713530756302</v>
      </c>
      <c r="D1092">
        <f t="shared" si="17"/>
        <v>10.635428646924368</v>
      </c>
      <c r="E1092">
        <f>MIN(B1092,C1092)*Assumptions!$B$2</f>
        <v>3.8822856765378151</v>
      </c>
      <c r="F1092">
        <f>MAX(C1092-B1092,0)*Assumptions!$B$2</f>
        <v>0</v>
      </c>
      <c r="G1092">
        <f>MAX(B1092-C1092,0)*Assumptions!$B$2</f>
        <v>5.3177143234621838</v>
      </c>
    </row>
    <row r="1093" spans="1:7" x14ac:dyDescent="0.3">
      <c r="A1093" s="5">
        <f>Raw_Load_Data!A1093</f>
        <v>46226.729166669313</v>
      </c>
      <c r="B1093">
        <f>Raw_Load_Data!B1093</f>
        <v>16.8</v>
      </c>
      <c r="C1093">
        <f>MAX(0,IF(AND(HOUR(A1093)&gt;=6,HOUR(A1093)&lt;=18),Assumptions!$B$8*SIN(PI()*(HOUR(A1093)+MINUTE(A1093)/60-6)/12),0))</f>
        <v>3.9157857666015596</v>
      </c>
      <c r="D1093">
        <f t="shared" si="17"/>
        <v>12.884214233398442</v>
      </c>
      <c r="E1093">
        <f>MIN(B1093,C1093)*Assumptions!$B$2</f>
        <v>1.9578928833007798</v>
      </c>
      <c r="F1093">
        <f>MAX(C1093-B1093,0)*Assumptions!$B$2</f>
        <v>0</v>
      </c>
      <c r="G1093">
        <f>MAX(B1093-C1093,0)*Assumptions!$B$2</f>
        <v>6.442107116699221</v>
      </c>
    </row>
    <row r="1094" spans="1:7" x14ac:dyDescent="0.3">
      <c r="A1094" s="5">
        <f>Raw_Load_Data!A1094</f>
        <v>46226.750000002648</v>
      </c>
      <c r="B1094">
        <f>Raw_Load_Data!B1094</f>
        <v>13.2</v>
      </c>
      <c r="C1094">
        <f>MAX(0,IF(AND(HOUR(A1094)&gt;=6,HOUR(A1094)&lt;=18),Assumptions!$B$8*SIN(PI()*(HOUR(A1094)+MINUTE(A1094)/60-6)/12),0))</f>
        <v>3.67544536472586E-15</v>
      </c>
      <c r="D1094">
        <f t="shared" si="17"/>
        <v>13.199999999999996</v>
      </c>
      <c r="E1094">
        <f>MIN(B1094,C1094)*Assumptions!$B$2</f>
        <v>1.83772268236293E-15</v>
      </c>
      <c r="F1094">
        <f>MAX(C1094-B1094,0)*Assumptions!$B$2</f>
        <v>0</v>
      </c>
      <c r="G1094">
        <f>MAX(B1094-C1094,0)*Assumptions!$B$2</f>
        <v>6.5999999999999979</v>
      </c>
    </row>
    <row r="1095" spans="1:7" x14ac:dyDescent="0.3">
      <c r="A1095" s="5">
        <f>Raw_Load_Data!A1095</f>
        <v>46226.770833335984</v>
      </c>
      <c r="B1095">
        <f>Raw_Load_Data!B1095</f>
        <v>19.899999999999999</v>
      </c>
      <c r="C1095">
        <f>MAX(0,IF(AND(HOUR(A1095)&gt;=6,HOUR(A1095)&lt;=18),Assumptions!$B$8*SIN(PI()*(HOUR(A1095)+MINUTE(A1095)/60-6)/12),0))</f>
        <v>0</v>
      </c>
      <c r="D1095">
        <f t="shared" si="17"/>
        <v>19.899999999999999</v>
      </c>
      <c r="E1095">
        <f>MIN(B1095,C1095)*Assumptions!$B$2</f>
        <v>0</v>
      </c>
      <c r="F1095">
        <f>MAX(C1095-B1095,0)*Assumptions!$B$2</f>
        <v>0</v>
      </c>
      <c r="G1095">
        <f>MAX(B1095-C1095,0)*Assumptions!$B$2</f>
        <v>9.9499999999999993</v>
      </c>
    </row>
    <row r="1096" spans="1:7" x14ac:dyDescent="0.3">
      <c r="A1096" s="5">
        <f>Raw_Load_Data!A1096</f>
        <v>46226.79166666932</v>
      </c>
      <c r="B1096">
        <f>Raw_Load_Data!B1096</f>
        <v>7.4</v>
      </c>
      <c r="C1096">
        <f>MAX(0,IF(AND(HOUR(A1096)&gt;=6,HOUR(A1096)&lt;=18),Assumptions!$B$8*SIN(PI()*(HOUR(A1096)+MINUTE(A1096)/60-6)/12),0))</f>
        <v>0</v>
      </c>
      <c r="D1096">
        <f t="shared" si="17"/>
        <v>7.4</v>
      </c>
      <c r="E1096">
        <f>MIN(B1096,C1096)*Assumptions!$B$2</f>
        <v>0</v>
      </c>
      <c r="F1096">
        <f>MAX(C1096-B1096,0)*Assumptions!$B$2</f>
        <v>0</v>
      </c>
      <c r="G1096">
        <f>MAX(B1096-C1096,0)*Assumptions!$B$2</f>
        <v>3.7</v>
      </c>
    </row>
    <row r="1097" spans="1:7" x14ac:dyDescent="0.3">
      <c r="A1097" s="5">
        <f>Raw_Load_Data!A1097</f>
        <v>46226.812500002656</v>
      </c>
      <c r="B1097">
        <f>Raw_Load_Data!B1097</f>
        <v>7.6</v>
      </c>
      <c r="C1097">
        <f>MAX(0,IF(AND(HOUR(A1097)&gt;=6,HOUR(A1097)&lt;=18),Assumptions!$B$8*SIN(PI()*(HOUR(A1097)+MINUTE(A1097)/60-6)/12),0))</f>
        <v>0</v>
      </c>
      <c r="D1097">
        <f t="shared" si="17"/>
        <v>7.6</v>
      </c>
      <c r="E1097">
        <f>MIN(B1097,C1097)*Assumptions!$B$2</f>
        <v>0</v>
      </c>
      <c r="F1097">
        <f>MAX(C1097-B1097,0)*Assumptions!$B$2</f>
        <v>0</v>
      </c>
      <c r="G1097">
        <f>MAX(B1097-C1097,0)*Assumptions!$B$2</f>
        <v>3.8</v>
      </c>
    </row>
    <row r="1098" spans="1:7" x14ac:dyDescent="0.3">
      <c r="A1098" s="5">
        <f>Raw_Load_Data!A1098</f>
        <v>46226.833333335991</v>
      </c>
      <c r="B1098">
        <f>Raw_Load_Data!B1098</f>
        <v>3.9</v>
      </c>
      <c r="C1098">
        <f>MAX(0,IF(AND(HOUR(A1098)&gt;=6,HOUR(A1098)&lt;=18),Assumptions!$B$8*SIN(PI()*(HOUR(A1098)+MINUTE(A1098)/60-6)/12),0))</f>
        <v>0</v>
      </c>
      <c r="D1098">
        <f t="shared" si="17"/>
        <v>3.9</v>
      </c>
      <c r="E1098">
        <f>MIN(B1098,C1098)*Assumptions!$B$2</f>
        <v>0</v>
      </c>
      <c r="F1098">
        <f>MAX(C1098-B1098,0)*Assumptions!$B$2</f>
        <v>0</v>
      </c>
      <c r="G1098">
        <f>MAX(B1098-C1098,0)*Assumptions!$B$2</f>
        <v>1.95</v>
      </c>
    </row>
    <row r="1099" spans="1:7" x14ac:dyDescent="0.3">
      <c r="A1099" s="5">
        <f>Raw_Load_Data!A1099</f>
        <v>46226.854166669327</v>
      </c>
      <c r="B1099">
        <f>Raw_Load_Data!B1099</f>
        <v>5.6</v>
      </c>
      <c r="C1099">
        <f>MAX(0,IF(AND(HOUR(A1099)&gt;=6,HOUR(A1099)&lt;=18),Assumptions!$B$8*SIN(PI()*(HOUR(A1099)+MINUTE(A1099)/60-6)/12),0))</f>
        <v>0</v>
      </c>
      <c r="D1099">
        <f t="shared" si="17"/>
        <v>5.6</v>
      </c>
      <c r="E1099">
        <f>MIN(B1099,C1099)*Assumptions!$B$2</f>
        <v>0</v>
      </c>
      <c r="F1099">
        <f>MAX(C1099-B1099,0)*Assumptions!$B$2</f>
        <v>0</v>
      </c>
      <c r="G1099">
        <f>MAX(B1099-C1099,0)*Assumptions!$B$2</f>
        <v>2.8</v>
      </c>
    </row>
    <row r="1100" spans="1:7" x14ac:dyDescent="0.3">
      <c r="A1100" s="5">
        <f>Raw_Load_Data!A1100</f>
        <v>46226.875000002663</v>
      </c>
      <c r="B1100">
        <f>Raw_Load_Data!B1100</f>
        <v>5.9</v>
      </c>
      <c r="C1100">
        <f>MAX(0,IF(AND(HOUR(A1100)&gt;=6,HOUR(A1100)&lt;=18),Assumptions!$B$8*SIN(PI()*(HOUR(A1100)+MINUTE(A1100)/60-6)/12),0))</f>
        <v>0</v>
      </c>
      <c r="D1100">
        <f t="shared" si="17"/>
        <v>5.9</v>
      </c>
      <c r="E1100">
        <f>MIN(B1100,C1100)*Assumptions!$B$2</f>
        <v>0</v>
      </c>
      <c r="F1100">
        <f>MAX(C1100-B1100,0)*Assumptions!$B$2</f>
        <v>0</v>
      </c>
      <c r="G1100">
        <f>MAX(B1100-C1100,0)*Assumptions!$B$2</f>
        <v>2.95</v>
      </c>
    </row>
    <row r="1101" spans="1:7" x14ac:dyDescent="0.3">
      <c r="A1101" s="5">
        <f>Raw_Load_Data!A1101</f>
        <v>46226.895833335999</v>
      </c>
      <c r="B1101">
        <f>Raw_Load_Data!B1101</f>
        <v>5.8</v>
      </c>
      <c r="C1101">
        <f>MAX(0,IF(AND(HOUR(A1101)&gt;=6,HOUR(A1101)&lt;=18),Assumptions!$B$8*SIN(PI()*(HOUR(A1101)+MINUTE(A1101)/60-6)/12),0))</f>
        <v>0</v>
      </c>
      <c r="D1101">
        <f t="shared" si="17"/>
        <v>5.8</v>
      </c>
      <c r="E1101">
        <f>MIN(B1101,C1101)*Assumptions!$B$2</f>
        <v>0</v>
      </c>
      <c r="F1101">
        <f>MAX(C1101-B1101,0)*Assumptions!$B$2</f>
        <v>0</v>
      </c>
      <c r="G1101">
        <f>MAX(B1101-C1101,0)*Assumptions!$B$2</f>
        <v>2.9</v>
      </c>
    </row>
    <row r="1102" spans="1:7" x14ac:dyDescent="0.3">
      <c r="A1102" s="5">
        <f>Raw_Load_Data!A1102</f>
        <v>46226.916666669335</v>
      </c>
      <c r="B1102">
        <f>Raw_Load_Data!B1102</f>
        <v>4.5999999999999996</v>
      </c>
      <c r="C1102">
        <f>MAX(0,IF(AND(HOUR(A1102)&gt;=6,HOUR(A1102)&lt;=18),Assumptions!$B$8*SIN(PI()*(HOUR(A1102)+MINUTE(A1102)/60-6)/12),0))</f>
        <v>0</v>
      </c>
      <c r="D1102">
        <f t="shared" si="17"/>
        <v>4.5999999999999996</v>
      </c>
      <c r="E1102">
        <f>MIN(B1102,C1102)*Assumptions!$B$2</f>
        <v>0</v>
      </c>
      <c r="F1102">
        <f>MAX(C1102-B1102,0)*Assumptions!$B$2</f>
        <v>0</v>
      </c>
      <c r="G1102">
        <f>MAX(B1102-C1102,0)*Assumptions!$B$2</f>
        <v>2.2999999999999998</v>
      </c>
    </row>
    <row r="1103" spans="1:7" x14ac:dyDescent="0.3">
      <c r="A1103" s="5">
        <f>Raw_Load_Data!A1103</f>
        <v>46226.93750000267</v>
      </c>
      <c r="B1103">
        <f>Raw_Load_Data!B1103</f>
        <v>4.0999999999999996</v>
      </c>
      <c r="C1103">
        <f>MAX(0,IF(AND(HOUR(A1103)&gt;=6,HOUR(A1103)&lt;=18),Assumptions!$B$8*SIN(PI()*(HOUR(A1103)+MINUTE(A1103)/60-6)/12),0))</f>
        <v>0</v>
      </c>
      <c r="D1103">
        <f t="shared" si="17"/>
        <v>4.0999999999999996</v>
      </c>
      <c r="E1103">
        <f>MIN(B1103,C1103)*Assumptions!$B$2</f>
        <v>0</v>
      </c>
      <c r="F1103">
        <f>MAX(C1103-B1103,0)*Assumptions!$B$2</f>
        <v>0</v>
      </c>
      <c r="G1103">
        <f>MAX(B1103-C1103,0)*Assumptions!$B$2</f>
        <v>2.0499999999999998</v>
      </c>
    </row>
    <row r="1104" spans="1:7" x14ac:dyDescent="0.3">
      <c r="A1104" s="5">
        <f>Raw_Load_Data!A1104</f>
        <v>46226.958333336006</v>
      </c>
      <c r="B1104">
        <f>Raw_Load_Data!B1104</f>
        <v>6.5</v>
      </c>
      <c r="C1104">
        <f>MAX(0,IF(AND(HOUR(A1104)&gt;=6,HOUR(A1104)&lt;=18),Assumptions!$B$8*SIN(PI()*(HOUR(A1104)+MINUTE(A1104)/60-6)/12),0))</f>
        <v>0</v>
      </c>
      <c r="D1104">
        <f t="shared" si="17"/>
        <v>6.5</v>
      </c>
      <c r="E1104">
        <f>MIN(B1104,C1104)*Assumptions!$B$2</f>
        <v>0</v>
      </c>
      <c r="F1104">
        <f>MAX(C1104-B1104,0)*Assumptions!$B$2</f>
        <v>0</v>
      </c>
      <c r="G1104">
        <f>MAX(B1104-C1104,0)*Assumptions!$B$2</f>
        <v>3.25</v>
      </c>
    </row>
    <row r="1105" spans="1:7" x14ac:dyDescent="0.3">
      <c r="A1105" s="5">
        <f>Raw_Load_Data!A1105</f>
        <v>46226.979166669342</v>
      </c>
      <c r="B1105">
        <f>Raw_Load_Data!B1105</f>
        <v>5.0999999999999996</v>
      </c>
      <c r="C1105">
        <f>MAX(0,IF(AND(HOUR(A1105)&gt;=6,HOUR(A1105)&lt;=18),Assumptions!$B$8*SIN(PI()*(HOUR(A1105)+MINUTE(A1105)/60-6)/12),0))</f>
        <v>0</v>
      </c>
      <c r="D1105">
        <f t="shared" si="17"/>
        <v>5.0999999999999996</v>
      </c>
      <c r="E1105">
        <f>MIN(B1105,C1105)*Assumptions!$B$2</f>
        <v>0</v>
      </c>
      <c r="F1105">
        <f>MAX(C1105-B1105,0)*Assumptions!$B$2</f>
        <v>0</v>
      </c>
      <c r="G1105">
        <f>MAX(B1105-C1105,0)*Assumptions!$B$2</f>
        <v>2.5499999999999998</v>
      </c>
    </row>
    <row r="1106" spans="1:7" x14ac:dyDescent="0.3">
      <c r="A1106" s="5">
        <f>Raw_Load_Data!A1106</f>
        <v>46227.000000002678</v>
      </c>
      <c r="B1106">
        <f>Raw_Load_Data!B1106</f>
        <v>2.9</v>
      </c>
      <c r="C1106">
        <f>MAX(0,IF(AND(HOUR(A1106)&gt;=6,HOUR(A1106)&lt;=18),Assumptions!$B$8*SIN(PI()*(HOUR(A1106)+MINUTE(A1106)/60-6)/12),0))</f>
        <v>0</v>
      </c>
      <c r="D1106">
        <f t="shared" si="17"/>
        <v>2.9</v>
      </c>
      <c r="E1106">
        <f>MIN(B1106,C1106)*Assumptions!$B$2</f>
        <v>0</v>
      </c>
      <c r="F1106">
        <f>MAX(C1106-B1106,0)*Assumptions!$B$2</f>
        <v>0</v>
      </c>
      <c r="G1106">
        <f>MAX(B1106-C1106,0)*Assumptions!$B$2</f>
        <v>1.45</v>
      </c>
    </row>
    <row r="1107" spans="1:7" x14ac:dyDescent="0.3">
      <c r="A1107" s="5">
        <f>Raw_Load_Data!A1107</f>
        <v>46227.020833336013</v>
      </c>
      <c r="B1107">
        <f>Raw_Load_Data!B1107</f>
        <v>2.4</v>
      </c>
      <c r="C1107">
        <f>MAX(0,IF(AND(HOUR(A1107)&gt;=6,HOUR(A1107)&lt;=18),Assumptions!$B$8*SIN(PI()*(HOUR(A1107)+MINUTE(A1107)/60-6)/12),0))</f>
        <v>0</v>
      </c>
      <c r="D1107">
        <f t="shared" si="17"/>
        <v>2.4</v>
      </c>
      <c r="E1107">
        <f>MIN(B1107,C1107)*Assumptions!$B$2</f>
        <v>0</v>
      </c>
      <c r="F1107">
        <f>MAX(C1107-B1107,0)*Assumptions!$B$2</f>
        <v>0</v>
      </c>
      <c r="G1107">
        <f>MAX(B1107-C1107,0)*Assumptions!$B$2</f>
        <v>1.2</v>
      </c>
    </row>
    <row r="1108" spans="1:7" x14ac:dyDescent="0.3">
      <c r="A1108" s="5">
        <f>Raw_Load_Data!A1108</f>
        <v>46227.041666669349</v>
      </c>
      <c r="B1108">
        <f>Raw_Load_Data!B1108</f>
        <v>2.5</v>
      </c>
      <c r="C1108">
        <f>MAX(0,IF(AND(HOUR(A1108)&gt;=6,HOUR(A1108)&lt;=18),Assumptions!$B$8*SIN(PI()*(HOUR(A1108)+MINUTE(A1108)/60-6)/12),0))</f>
        <v>0</v>
      </c>
      <c r="D1108">
        <f t="shared" si="17"/>
        <v>2.5</v>
      </c>
      <c r="E1108">
        <f>MIN(B1108,C1108)*Assumptions!$B$2</f>
        <v>0</v>
      </c>
      <c r="F1108">
        <f>MAX(C1108-B1108,0)*Assumptions!$B$2</f>
        <v>0</v>
      </c>
      <c r="G1108">
        <f>MAX(B1108-C1108,0)*Assumptions!$B$2</f>
        <v>1.25</v>
      </c>
    </row>
    <row r="1109" spans="1:7" x14ac:dyDescent="0.3">
      <c r="A1109" s="5">
        <f>Raw_Load_Data!A1109</f>
        <v>46227.062500002685</v>
      </c>
      <c r="B1109">
        <f>Raw_Load_Data!B1109</f>
        <v>2.8</v>
      </c>
      <c r="C1109">
        <f>MAX(0,IF(AND(HOUR(A1109)&gt;=6,HOUR(A1109)&lt;=18),Assumptions!$B$8*SIN(PI()*(HOUR(A1109)+MINUTE(A1109)/60-6)/12),0))</f>
        <v>0</v>
      </c>
      <c r="D1109">
        <f t="shared" si="17"/>
        <v>2.8</v>
      </c>
      <c r="E1109">
        <f>MIN(B1109,C1109)*Assumptions!$B$2</f>
        <v>0</v>
      </c>
      <c r="F1109">
        <f>MAX(C1109-B1109,0)*Assumptions!$B$2</f>
        <v>0</v>
      </c>
      <c r="G1109">
        <f>MAX(B1109-C1109,0)*Assumptions!$B$2</f>
        <v>1.4</v>
      </c>
    </row>
    <row r="1110" spans="1:7" x14ac:dyDescent="0.3">
      <c r="A1110" s="5">
        <f>Raw_Load_Data!A1110</f>
        <v>46227.083333336021</v>
      </c>
      <c r="B1110">
        <f>Raw_Load_Data!B1110</f>
        <v>1.8</v>
      </c>
      <c r="C1110">
        <f>MAX(0,IF(AND(HOUR(A1110)&gt;=6,HOUR(A1110)&lt;=18),Assumptions!$B$8*SIN(PI()*(HOUR(A1110)+MINUTE(A1110)/60-6)/12),0))</f>
        <v>0</v>
      </c>
      <c r="D1110">
        <f t="shared" si="17"/>
        <v>1.8</v>
      </c>
      <c r="E1110">
        <f>MIN(B1110,C1110)*Assumptions!$B$2</f>
        <v>0</v>
      </c>
      <c r="F1110">
        <f>MAX(C1110-B1110,0)*Assumptions!$B$2</f>
        <v>0</v>
      </c>
      <c r="G1110">
        <f>MAX(B1110-C1110,0)*Assumptions!$B$2</f>
        <v>0.9</v>
      </c>
    </row>
    <row r="1111" spans="1:7" x14ac:dyDescent="0.3">
      <c r="A1111" s="5">
        <f>Raw_Load_Data!A1111</f>
        <v>46227.104166669356</v>
      </c>
      <c r="B1111">
        <f>Raw_Load_Data!B1111</f>
        <v>2.7</v>
      </c>
      <c r="C1111">
        <f>MAX(0,IF(AND(HOUR(A1111)&gt;=6,HOUR(A1111)&lt;=18),Assumptions!$B$8*SIN(PI()*(HOUR(A1111)+MINUTE(A1111)/60-6)/12),0))</f>
        <v>0</v>
      </c>
      <c r="D1111">
        <f t="shared" si="17"/>
        <v>2.7</v>
      </c>
      <c r="E1111">
        <f>MIN(B1111,C1111)*Assumptions!$B$2</f>
        <v>0</v>
      </c>
      <c r="F1111">
        <f>MAX(C1111-B1111,0)*Assumptions!$B$2</f>
        <v>0</v>
      </c>
      <c r="G1111">
        <f>MAX(B1111-C1111,0)*Assumptions!$B$2</f>
        <v>1.35</v>
      </c>
    </row>
    <row r="1112" spans="1:7" x14ac:dyDescent="0.3">
      <c r="A1112" s="5">
        <f>Raw_Load_Data!A1112</f>
        <v>46227.125000002692</v>
      </c>
      <c r="B1112">
        <f>Raw_Load_Data!B1112</f>
        <v>2.9</v>
      </c>
      <c r="C1112">
        <f>MAX(0,IF(AND(HOUR(A1112)&gt;=6,HOUR(A1112)&lt;=18),Assumptions!$B$8*SIN(PI()*(HOUR(A1112)+MINUTE(A1112)/60-6)/12),0))</f>
        <v>0</v>
      </c>
      <c r="D1112">
        <f t="shared" si="17"/>
        <v>2.9</v>
      </c>
      <c r="E1112">
        <f>MIN(B1112,C1112)*Assumptions!$B$2</f>
        <v>0</v>
      </c>
      <c r="F1112">
        <f>MAX(C1112-B1112,0)*Assumptions!$B$2</f>
        <v>0</v>
      </c>
      <c r="G1112">
        <f>MAX(B1112-C1112,0)*Assumptions!$B$2</f>
        <v>1.45</v>
      </c>
    </row>
    <row r="1113" spans="1:7" x14ac:dyDescent="0.3">
      <c r="A1113" s="5">
        <f>Raw_Load_Data!A1113</f>
        <v>46227.145833336028</v>
      </c>
      <c r="B1113">
        <f>Raw_Load_Data!B1113</f>
        <v>2.2000000000000002</v>
      </c>
      <c r="C1113">
        <f>MAX(0,IF(AND(HOUR(A1113)&gt;=6,HOUR(A1113)&lt;=18),Assumptions!$B$8*SIN(PI()*(HOUR(A1113)+MINUTE(A1113)/60-6)/12),0))</f>
        <v>0</v>
      </c>
      <c r="D1113">
        <f t="shared" si="17"/>
        <v>2.2000000000000002</v>
      </c>
      <c r="E1113">
        <f>MIN(B1113,C1113)*Assumptions!$B$2</f>
        <v>0</v>
      </c>
      <c r="F1113">
        <f>MAX(C1113-B1113,0)*Assumptions!$B$2</f>
        <v>0</v>
      </c>
      <c r="G1113">
        <f>MAX(B1113-C1113,0)*Assumptions!$B$2</f>
        <v>1.1000000000000001</v>
      </c>
    </row>
    <row r="1114" spans="1:7" x14ac:dyDescent="0.3">
      <c r="A1114" s="5">
        <f>Raw_Load_Data!A1114</f>
        <v>46227.166666669364</v>
      </c>
      <c r="B1114">
        <f>Raw_Load_Data!B1114</f>
        <v>1.9</v>
      </c>
      <c r="C1114">
        <f>MAX(0,IF(AND(HOUR(A1114)&gt;=6,HOUR(A1114)&lt;=18),Assumptions!$B$8*SIN(PI()*(HOUR(A1114)+MINUTE(A1114)/60-6)/12),0))</f>
        <v>0</v>
      </c>
      <c r="D1114">
        <f t="shared" si="17"/>
        <v>1.9</v>
      </c>
      <c r="E1114">
        <f>MIN(B1114,C1114)*Assumptions!$B$2</f>
        <v>0</v>
      </c>
      <c r="F1114">
        <f>MAX(C1114-B1114,0)*Assumptions!$B$2</f>
        <v>0</v>
      </c>
      <c r="G1114">
        <f>MAX(B1114-C1114,0)*Assumptions!$B$2</f>
        <v>0.95</v>
      </c>
    </row>
    <row r="1115" spans="1:7" x14ac:dyDescent="0.3">
      <c r="A1115" s="5">
        <f>Raw_Load_Data!A1115</f>
        <v>46227.187500002699</v>
      </c>
      <c r="B1115">
        <f>Raw_Load_Data!B1115</f>
        <v>2.2000000000000002</v>
      </c>
      <c r="C1115">
        <f>MAX(0,IF(AND(HOUR(A1115)&gt;=6,HOUR(A1115)&lt;=18),Assumptions!$B$8*SIN(PI()*(HOUR(A1115)+MINUTE(A1115)/60-6)/12),0))</f>
        <v>0</v>
      </c>
      <c r="D1115">
        <f t="shared" si="17"/>
        <v>2.2000000000000002</v>
      </c>
      <c r="E1115">
        <f>MIN(B1115,C1115)*Assumptions!$B$2</f>
        <v>0</v>
      </c>
      <c r="F1115">
        <f>MAX(C1115-B1115,0)*Assumptions!$B$2</f>
        <v>0</v>
      </c>
      <c r="G1115">
        <f>MAX(B1115-C1115,0)*Assumptions!$B$2</f>
        <v>1.1000000000000001</v>
      </c>
    </row>
    <row r="1116" spans="1:7" x14ac:dyDescent="0.3">
      <c r="A1116" s="5">
        <f>Raw_Load_Data!A1116</f>
        <v>46227.208333336035</v>
      </c>
      <c r="B1116">
        <f>Raw_Load_Data!B1116</f>
        <v>2.6</v>
      </c>
      <c r="C1116">
        <f>MAX(0,IF(AND(HOUR(A1116)&gt;=6,HOUR(A1116)&lt;=18),Assumptions!$B$8*SIN(PI()*(HOUR(A1116)+MINUTE(A1116)/60-6)/12),0))</f>
        <v>0</v>
      </c>
      <c r="D1116">
        <f t="shared" si="17"/>
        <v>2.6</v>
      </c>
      <c r="E1116">
        <f>MIN(B1116,C1116)*Assumptions!$B$2</f>
        <v>0</v>
      </c>
      <c r="F1116">
        <f>MAX(C1116-B1116,0)*Assumptions!$B$2</f>
        <v>0</v>
      </c>
      <c r="G1116">
        <f>MAX(B1116-C1116,0)*Assumptions!$B$2</f>
        <v>1.3</v>
      </c>
    </row>
    <row r="1117" spans="1:7" x14ac:dyDescent="0.3">
      <c r="A1117" s="5">
        <f>Raw_Load_Data!A1117</f>
        <v>46227.229166669371</v>
      </c>
      <c r="B1117">
        <f>Raw_Load_Data!B1117</f>
        <v>2.4</v>
      </c>
      <c r="C1117">
        <f>MAX(0,IF(AND(HOUR(A1117)&gt;=6,HOUR(A1117)&lt;=18),Assumptions!$B$8*SIN(PI()*(HOUR(A1117)+MINUTE(A1117)/60-6)/12),0))</f>
        <v>0</v>
      </c>
      <c r="D1117">
        <f t="shared" si="17"/>
        <v>2.4</v>
      </c>
      <c r="E1117">
        <f>MIN(B1117,C1117)*Assumptions!$B$2</f>
        <v>0</v>
      </c>
      <c r="F1117">
        <f>MAX(C1117-B1117,0)*Assumptions!$B$2</f>
        <v>0</v>
      </c>
      <c r="G1117">
        <f>MAX(B1117-C1117,0)*Assumptions!$B$2</f>
        <v>1.2</v>
      </c>
    </row>
    <row r="1118" spans="1:7" x14ac:dyDescent="0.3">
      <c r="A1118" s="5">
        <f>Raw_Load_Data!A1118</f>
        <v>46227.250000002707</v>
      </c>
      <c r="B1118">
        <f>Raw_Load_Data!B1118</f>
        <v>6.7</v>
      </c>
      <c r="C1118">
        <f>MAX(0,IF(AND(HOUR(A1118)&gt;=6,HOUR(A1118)&lt;=18),Assumptions!$B$8*SIN(PI()*(HOUR(A1118)+MINUTE(A1118)/60-6)/12),0))</f>
        <v>0</v>
      </c>
      <c r="D1118">
        <f t="shared" si="17"/>
        <v>6.7</v>
      </c>
      <c r="E1118">
        <f>MIN(B1118,C1118)*Assumptions!$B$2</f>
        <v>0</v>
      </c>
      <c r="F1118">
        <f>MAX(C1118-B1118,0)*Assumptions!$B$2</f>
        <v>0</v>
      </c>
      <c r="G1118">
        <f>MAX(B1118-C1118,0)*Assumptions!$B$2</f>
        <v>3.35</v>
      </c>
    </row>
    <row r="1119" spans="1:7" x14ac:dyDescent="0.3">
      <c r="A1119" s="5">
        <f>Raw_Load_Data!A1119</f>
        <v>46227.270833336042</v>
      </c>
      <c r="B1119">
        <f>Raw_Load_Data!B1119</f>
        <v>5.3</v>
      </c>
      <c r="C1119">
        <f>MAX(0,IF(AND(HOUR(A1119)&gt;=6,HOUR(A1119)&lt;=18),Assumptions!$B$8*SIN(PI()*(HOUR(A1119)+MINUTE(A1119)/60-6)/12),0))</f>
        <v>3.9157857666015472</v>
      </c>
      <c r="D1119">
        <f t="shared" si="17"/>
        <v>1.3842142333984526</v>
      </c>
      <c r="E1119">
        <f>MIN(B1119,C1119)*Assumptions!$B$2</f>
        <v>1.9578928833007736</v>
      </c>
      <c r="F1119">
        <f>MAX(C1119-B1119,0)*Assumptions!$B$2</f>
        <v>0</v>
      </c>
      <c r="G1119">
        <f>MAX(B1119-C1119,0)*Assumptions!$B$2</f>
        <v>0.69210711669922631</v>
      </c>
    </row>
    <row r="1120" spans="1:7" x14ac:dyDescent="0.3">
      <c r="A1120" s="5">
        <f>Raw_Load_Data!A1120</f>
        <v>46227.291666669378</v>
      </c>
      <c r="B1120">
        <f>Raw_Load_Data!B1120</f>
        <v>4.2</v>
      </c>
      <c r="C1120">
        <f>MAX(0,IF(AND(HOUR(A1120)&gt;=6,HOUR(A1120)&lt;=18),Assumptions!$B$8*SIN(PI()*(HOUR(A1120)+MINUTE(A1120)/60-6)/12),0))</f>
        <v>7.7645713530756222</v>
      </c>
      <c r="D1120">
        <f t="shared" si="17"/>
        <v>-3.564571353075622</v>
      </c>
      <c r="E1120">
        <f>MIN(B1120,C1120)*Assumptions!$B$2</f>
        <v>2.1</v>
      </c>
      <c r="F1120">
        <f>MAX(C1120-B1120,0)*Assumptions!$B$2</f>
        <v>1.782285676537811</v>
      </c>
      <c r="G1120">
        <f>MAX(B1120-C1120,0)*Assumptions!$B$2</f>
        <v>0</v>
      </c>
    </row>
    <row r="1121" spans="1:7" x14ac:dyDescent="0.3">
      <c r="A1121" s="5">
        <f>Raw_Load_Data!A1121</f>
        <v>46227.312500002714</v>
      </c>
      <c r="B1121">
        <f>Raw_Load_Data!B1121</f>
        <v>6</v>
      </c>
      <c r="C1121">
        <f>MAX(0,IF(AND(HOUR(A1121)&gt;=6,HOUR(A1121)&lt;=18),Assumptions!$B$8*SIN(PI()*(HOUR(A1121)+MINUTE(A1121)/60-6)/12),0))</f>
        <v>11.480502970952694</v>
      </c>
      <c r="D1121">
        <f t="shared" si="17"/>
        <v>-5.4805029709526938</v>
      </c>
      <c r="E1121">
        <f>MIN(B1121,C1121)*Assumptions!$B$2</f>
        <v>3</v>
      </c>
      <c r="F1121">
        <f>MAX(C1121-B1121,0)*Assumptions!$B$2</f>
        <v>2.7402514854763469</v>
      </c>
      <c r="G1121">
        <f>MAX(B1121-C1121,0)*Assumptions!$B$2</f>
        <v>0</v>
      </c>
    </row>
    <row r="1122" spans="1:7" x14ac:dyDescent="0.3">
      <c r="A1122" s="5">
        <f>Raw_Load_Data!A1122</f>
        <v>46227.33333333605</v>
      </c>
      <c r="B1122">
        <f>Raw_Load_Data!B1122</f>
        <v>14.6</v>
      </c>
      <c r="C1122">
        <f>MAX(0,IF(AND(HOUR(A1122)&gt;=6,HOUR(A1122)&lt;=18),Assumptions!$B$8*SIN(PI()*(HOUR(A1122)+MINUTE(A1122)/60-6)/12),0))</f>
        <v>14.999999999999998</v>
      </c>
      <c r="D1122">
        <f t="shared" si="17"/>
        <v>-0.39999999999999858</v>
      </c>
      <c r="E1122">
        <f>MIN(B1122,C1122)*Assumptions!$B$2</f>
        <v>7.3</v>
      </c>
      <c r="F1122">
        <f>MAX(C1122-B1122,0)*Assumptions!$B$2</f>
        <v>0.19999999999999929</v>
      </c>
      <c r="G1122">
        <f>MAX(B1122-C1122,0)*Assumptions!$B$2</f>
        <v>0</v>
      </c>
    </row>
    <row r="1123" spans="1:7" x14ac:dyDescent="0.3">
      <c r="A1123" s="5">
        <f>Raw_Load_Data!A1123</f>
        <v>46227.354166669385</v>
      </c>
      <c r="B1123">
        <f>Raw_Load_Data!B1123</f>
        <v>22</v>
      </c>
      <c r="C1123">
        <f>MAX(0,IF(AND(HOUR(A1123)&gt;=6,HOUR(A1123)&lt;=18),Assumptions!$B$8*SIN(PI()*(HOUR(A1123)+MINUTE(A1123)/60-6)/12),0))</f>
        <v>18.262842870261618</v>
      </c>
      <c r="D1123">
        <f t="shared" si="17"/>
        <v>3.7371571297383817</v>
      </c>
      <c r="E1123">
        <f>MIN(B1123,C1123)*Assumptions!$B$2</f>
        <v>9.1314214351308092</v>
      </c>
      <c r="F1123">
        <f>MAX(C1123-B1123,0)*Assumptions!$B$2</f>
        <v>0</v>
      </c>
      <c r="G1123">
        <f>MAX(B1123-C1123,0)*Assumptions!$B$2</f>
        <v>1.8685785648691908</v>
      </c>
    </row>
    <row r="1124" spans="1:7" x14ac:dyDescent="0.3">
      <c r="A1124" s="5">
        <f>Raw_Load_Data!A1124</f>
        <v>46227.375000002721</v>
      </c>
      <c r="B1124">
        <f>Raw_Load_Data!B1124</f>
        <v>17.3</v>
      </c>
      <c r="C1124">
        <f>MAX(0,IF(AND(HOUR(A1124)&gt;=6,HOUR(A1124)&lt;=18),Assumptions!$B$8*SIN(PI()*(HOUR(A1124)+MINUTE(A1124)/60-6)/12),0))</f>
        <v>21.213203435596423</v>
      </c>
      <c r="D1124">
        <f t="shared" si="17"/>
        <v>-3.9132034355964223</v>
      </c>
      <c r="E1124">
        <f>MIN(B1124,C1124)*Assumptions!$B$2</f>
        <v>8.65</v>
      </c>
      <c r="F1124">
        <f>MAX(C1124-B1124,0)*Assumptions!$B$2</f>
        <v>1.9566017177982111</v>
      </c>
      <c r="G1124">
        <f>MAX(B1124-C1124,0)*Assumptions!$B$2</f>
        <v>0</v>
      </c>
    </row>
    <row r="1125" spans="1:7" x14ac:dyDescent="0.3">
      <c r="A1125" s="5">
        <f>Raw_Load_Data!A1125</f>
        <v>46227.395833336057</v>
      </c>
      <c r="B1125">
        <f>Raw_Load_Data!B1125</f>
        <v>16.600000000000001</v>
      </c>
      <c r="C1125">
        <f>MAX(0,IF(AND(HOUR(A1125)&gt;=6,HOUR(A1125)&lt;=18),Assumptions!$B$8*SIN(PI()*(HOUR(A1125)+MINUTE(A1125)/60-6)/12),0))</f>
        <v>23.800600208737055</v>
      </c>
      <c r="D1125">
        <f t="shared" si="17"/>
        <v>-7.200600208737054</v>
      </c>
      <c r="E1125">
        <f>MIN(B1125,C1125)*Assumptions!$B$2</f>
        <v>8.3000000000000007</v>
      </c>
      <c r="F1125">
        <f>MAX(C1125-B1125,0)*Assumptions!$B$2</f>
        <v>3.600300104368527</v>
      </c>
      <c r="G1125">
        <f>MAX(B1125-C1125,0)*Assumptions!$B$2</f>
        <v>0</v>
      </c>
    </row>
    <row r="1126" spans="1:7" x14ac:dyDescent="0.3">
      <c r="A1126" s="5">
        <f>Raw_Load_Data!A1126</f>
        <v>46227.416666669393</v>
      </c>
      <c r="B1126">
        <f>Raw_Load_Data!B1126</f>
        <v>19.2</v>
      </c>
      <c r="C1126">
        <f>MAX(0,IF(AND(HOUR(A1126)&gt;=6,HOUR(A1126)&lt;=18),Assumptions!$B$8*SIN(PI()*(HOUR(A1126)+MINUTE(A1126)/60-6)/12),0))</f>
        <v>25.980762113533157</v>
      </c>
      <c r="D1126">
        <f t="shared" si="17"/>
        <v>-6.7807621135331573</v>
      </c>
      <c r="E1126">
        <f>MIN(B1126,C1126)*Assumptions!$B$2</f>
        <v>9.6</v>
      </c>
      <c r="F1126">
        <f>MAX(C1126-B1126,0)*Assumptions!$B$2</f>
        <v>3.3903810567665786</v>
      </c>
      <c r="G1126">
        <f>MAX(B1126-C1126,0)*Assumptions!$B$2</f>
        <v>0</v>
      </c>
    </row>
    <row r="1127" spans="1:7" x14ac:dyDescent="0.3">
      <c r="A1127" s="5">
        <f>Raw_Load_Data!A1127</f>
        <v>46227.437500002728</v>
      </c>
      <c r="B1127">
        <f>Raw_Load_Data!B1127</f>
        <v>21.9</v>
      </c>
      <c r="C1127">
        <f>MAX(0,IF(AND(HOUR(A1127)&gt;=6,HOUR(A1127)&lt;=18),Assumptions!$B$8*SIN(PI()*(HOUR(A1127)+MINUTE(A1127)/60-6)/12),0))</f>
        <v>27.716385975338603</v>
      </c>
      <c r="D1127">
        <f t="shared" si="17"/>
        <v>-5.8163859753386049</v>
      </c>
      <c r="E1127">
        <f>MIN(B1127,C1127)*Assumptions!$B$2</f>
        <v>10.95</v>
      </c>
      <c r="F1127">
        <f>MAX(C1127-B1127,0)*Assumptions!$B$2</f>
        <v>2.9081929876693025</v>
      </c>
      <c r="G1127">
        <f>MAX(B1127-C1127,0)*Assumptions!$B$2</f>
        <v>0</v>
      </c>
    </row>
    <row r="1128" spans="1:7" x14ac:dyDescent="0.3">
      <c r="A1128" s="5">
        <f>Raw_Load_Data!A1128</f>
        <v>46227.458333336064</v>
      </c>
      <c r="B1128">
        <f>Raw_Load_Data!B1128</f>
        <v>18.600000000000001</v>
      </c>
      <c r="C1128">
        <f>MAX(0,IF(AND(HOUR(A1128)&gt;=6,HOUR(A1128)&lt;=18),Assumptions!$B$8*SIN(PI()*(HOUR(A1128)+MINUTE(A1128)/60-6)/12),0))</f>
        <v>28.97777478867205</v>
      </c>
      <c r="D1128">
        <f t="shared" si="17"/>
        <v>-10.377774788672049</v>
      </c>
      <c r="E1128">
        <f>MIN(B1128,C1128)*Assumptions!$B$2</f>
        <v>9.3000000000000007</v>
      </c>
      <c r="F1128">
        <f>MAX(C1128-B1128,0)*Assumptions!$B$2</f>
        <v>5.1888873943360245</v>
      </c>
      <c r="G1128">
        <f>MAX(B1128-C1128,0)*Assumptions!$B$2</f>
        <v>0</v>
      </c>
    </row>
    <row r="1129" spans="1:7" x14ac:dyDescent="0.3">
      <c r="A1129" s="5">
        <f>Raw_Load_Data!A1129</f>
        <v>46227.4791666694</v>
      </c>
      <c r="B1129">
        <f>Raw_Load_Data!B1129</f>
        <v>14.4</v>
      </c>
      <c r="C1129">
        <f>MAX(0,IF(AND(HOUR(A1129)&gt;=6,HOUR(A1129)&lt;=18),Assumptions!$B$8*SIN(PI()*(HOUR(A1129)+MINUTE(A1129)/60-6)/12),0))</f>
        <v>29.74334584121431</v>
      </c>
      <c r="D1129">
        <f t="shared" si="17"/>
        <v>-15.34334584121431</v>
      </c>
      <c r="E1129">
        <f>MIN(B1129,C1129)*Assumptions!$B$2</f>
        <v>7.2</v>
      </c>
      <c r="F1129">
        <f>MAX(C1129-B1129,0)*Assumptions!$B$2</f>
        <v>7.671672920607155</v>
      </c>
      <c r="G1129">
        <f>MAX(B1129-C1129,0)*Assumptions!$B$2</f>
        <v>0</v>
      </c>
    </row>
    <row r="1130" spans="1:7" x14ac:dyDescent="0.3">
      <c r="A1130" s="5">
        <f>Raw_Load_Data!A1130</f>
        <v>46227.500000002736</v>
      </c>
      <c r="B1130">
        <f>Raw_Load_Data!B1130</f>
        <v>23.2</v>
      </c>
      <c r="C1130">
        <f>MAX(0,IF(AND(HOUR(A1130)&gt;=6,HOUR(A1130)&lt;=18),Assumptions!$B$8*SIN(PI()*(HOUR(A1130)+MINUTE(A1130)/60-6)/12),0))</f>
        <v>30</v>
      </c>
      <c r="D1130">
        <f t="shared" si="17"/>
        <v>-6.8000000000000007</v>
      </c>
      <c r="E1130">
        <f>MIN(B1130,C1130)*Assumptions!$B$2</f>
        <v>11.6</v>
      </c>
      <c r="F1130">
        <f>MAX(C1130-B1130,0)*Assumptions!$B$2</f>
        <v>3.4000000000000004</v>
      </c>
      <c r="G1130">
        <f>MAX(B1130-C1130,0)*Assumptions!$B$2</f>
        <v>0</v>
      </c>
    </row>
    <row r="1131" spans="1:7" x14ac:dyDescent="0.3">
      <c r="A1131" s="5">
        <f>Raw_Load_Data!A1131</f>
        <v>46227.520833336072</v>
      </c>
      <c r="B1131">
        <f>Raw_Load_Data!B1131</f>
        <v>21.9</v>
      </c>
      <c r="C1131">
        <f>MAX(0,IF(AND(HOUR(A1131)&gt;=6,HOUR(A1131)&lt;=18),Assumptions!$B$8*SIN(PI()*(HOUR(A1131)+MINUTE(A1131)/60-6)/12),0))</f>
        <v>29.74334584121431</v>
      </c>
      <c r="D1131">
        <f t="shared" si="17"/>
        <v>-7.8433458412143118</v>
      </c>
      <c r="E1131">
        <f>MIN(B1131,C1131)*Assumptions!$B$2</f>
        <v>10.95</v>
      </c>
      <c r="F1131">
        <f>MAX(C1131-B1131,0)*Assumptions!$B$2</f>
        <v>3.9216729206071559</v>
      </c>
      <c r="G1131">
        <f>MAX(B1131-C1131,0)*Assumptions!$B$2</f>
        <v>0</v>
      </c>
    </row>
    <row r="1132" spans="1:7" x14ac:dyDescent="0.3">
      <c r="A1132" s="5">
        <f>Raw_Load_Data!A1132</f>
        <v>46227.541666669407</v>
      </c>
      <c r="B1132">
        <f>Raw_Load_Data!B1132</f>
        <v>23.7</v>
      </c>
      <c r="C1132">
        <f>MAX(0,IF(AND(HOUR(A1132)&gt;=6,HOUR(A1132)&lt;=18),Assumptions!$B$8*SIN(PI()*(HOUR(A1132)+MINUTE(A1132)/60-6)/12),0))</f>
        <v>28.97777478867205</v>
      </c>
      <c r="D1132">
        <f t="shared" si="17"/>
        <v>-5.2777747886720512</v>
      </c>
      <c r="E1132">
        <f>MIN(B1132,C1132)*Assumptions!$B$2</f>
        <v>11.85</v>
      </c>
      <c r="F1132">
        <f>MAX(C1132-B1132,0)*Assumptions!$B$2</f>
        <v>2.6388873943360256</v>
      </c>
      <c r="G1132">
        <f>MAX(B1132-C1132,0)*Assumptions!$B$2</f>
        <v>0</v>
      </c>
    </row>
    <row r="1133" spans="1:7" x14ac:dyDescent="0.3">
      <c r="A1133" s="5">
        <f>Raw_Load_Data!A1133</f>
        <v>46227.562500002743</v>
      </c>
      <c r="B1133">
        <f>Raw_Load_Data!B1133</f>
        <v>29</v>
      </c>
      <c r="C1133">
        <f>MAX(0,IF(AND(HOUR(A1133)&gt;=6,HOUR(A1133)&lt;=18),Assumptions!$B$8*SIN(PI()*(HOUR(A1133)+MINUTE(A1133)/60-6)/12),0))</f>
        <v>27.716385975338607</v>
      </c>
      <c r="D1133">
        <f t="shared" si="17"/>
        <v>1.283614024661393</v>
      </c>
      <c r="E1133">
        <f>MIN(B1133,C1133)*Assumptions!$B$2</f>
        <v>13.858192987669304</v>
      </c>
      <c r="F1133">
        <f>MAX(C1133-B1133,0)*Assumptions!$B$2</f>
        <v>0</v>
      </c>
      <c r="G1133">
        <f>MAX(B1133-C1133,0)*Assumptions!$B$2</f>
        <v>0.64180701233069648</v>
      </c>
    </row>
    <row r="1134" spans="1:7" x14ac:dyDescent="0.3">
      <c r="A1134" s="5">
        <f>Raw_Load_Data!A1134</f>
        <v>46227.583333336079</v>
      </c>
      <c r="B1134">
        <f>Raw_Load_Data!B1134</f>
        <v>28.2</v>
      </c>
      <c r="C1134">
        <f>MAX(0,IF(AND(HOUR(A1134)&gt;=6,HOUR(A1134)&lt;=18),Assumptions!$B$8*SIN(PI()*(HOUR(A1134)+MINUTE(A1134)/60-6)/12),0))</f>
        <v>25.98076211353316</v>
      </c>
      <c r="D1134">
        <f t="shared" si="17"/>
        <v>2.2192378864668392</v>
      </c>
      <c r="E1134">
        <f>MIN(B1134,C1134)*Assumptions!$B$2</f>
        <v>12.99038105676658</v>
      </c>
      <c r="F1134">
        <f>MAX(C1134-B1134,0)*Assumptions!$B$2</f>
        <v>0</v>
      </c>
      <c r="G1134">
        <f>MAX(B1134-C1134,0)*Assumptions!$B$2</f>
        <v>1.1096189432334196</v>
      </c>
    </row>
    <row r="1135" spans="1:7" x14ac:dyDescent="0.3">
      <c r="A1135" s="5">
        <f>Raw_Load_Data!A1135</f>
        <v>46227.604166669415</v>
      </c>
      <c r="B1135">
        <f>Raw_Load_Data!B1135</f>
        <v>28.5</v>
      </c>
      <c r="C1135">
        <f>MAX(0,IF(AND(HOUR(A1135)&gt;=6,HOUR(A1135)&lt;=18),Assumptions!$B$8*SIN(PI()*(HOUR(A1135)+MINUTE(A1135)/60-6)/12),0))</f>
        <v>23.800600208737055</v>
      </c>
      <c r="D1135">
        <f t="shared" si="17"/>
        <v>4.6993997912629446</v>
      </c>
      <c r="E1135">
        <f>MIN(B1135,C1135)*Assumptions!$B$2</f>
        <v>11.900300104368528</v>
      </c>
      <c r="F1135">
        <f>MAX(C1135-B1135,0)*Assumptions!$B$2</f>
        <v>0</v>
      </c>
      <c r="G1135">
        <f>MAX(B1135-C1135,0)*Assumptions!$B$2</f>
        <v>2.3496998956314723</v>
      </c>
    </row>
    <row r="1136" spans="1:7" x14ac:dyDescent="0.3">
      <c r="A1136" s="5">
        <f>Raw_Load_Data!A1136</f>
        <v>46227.62500000275</v>
      </c>
      <c r="B1136">
        <f>Raw_Load_Data!B1136</f>
        <v>34.200000000000003</v>
      </c>
      <c r="C1136">
        <f>MAX(0,IF(AND(HOUR(A1136)&gt;=6,HOUR(A1136)&lt;=18),Assumptions!$B$8*SIN(PI()*(HOUR(A1136)+MINUTE(A1136)/60-6)/12),0))</f>
        <v>21.213203435596427</v>
      </c>
      <c r="D1136">
        <f t="shared" si="17"/>
        <v>12.986796564403576</v>
      </c>
      <c r="E1136">
        <f>MIN(B1136,C1136)*Assumptions!$B$2</f>
        <v>10.606601717798213</v>
      </c>
      <c r="F1136">
        <f>MAX(C1136-B1136,0)*Assumptions!$B$2</f>
        <v>0</v>
      </c>
      <c r="G1136">
        <f>MAX(B1136-C1136,0)*Assumptions!$B$2</f>
        <v>6.4933982822017882</v>
      </c>
    </row>
    <row r="1137" spans="1:7" x14ac:dyDescent="0.3">
      <c r="A1137" s="5">
        <f>Raw_Load_Data!A1137</f>
        <v>46227.645833336086</v>
      </c>
      <c r="B1137">
        <f>Raw_Load_Data!B1137</f>
        <v>23.7</v>
      </c>
      <c r="C1137">
        <f>MAX(0,IF(AND(HOUR(A1137)&gt;=6,HOUR(A1137)&lt;=18),Assumptions!$B$8*SIN(PI()*(HOUR(A1137)+MINUTE(A1137)/60-6)/12),0))</f>
        <v>18.262842870261625</v>
      </c>
      <c r="D1137">
        <f t="shared" si="17"/>
        <v>5.4371571297383738</v>
      </c>
      <c r="E1137">
        <f>MIN(B1137,C1137)*Assumptions!$B$2</f>
        <v>9.1314214351308127</v>
      </c>
      <c r="F1137">
        <f>MAX(C1137-B1137,0)*Assumptions!$B$2</f>
        <v>0</v>
      </c>
      <c r="G1137">
        <f>MAX(B1137-C1137,0)*Assumptions!$B$2</f>
        <v>2.7185785648691869</v>
      </c>
    </row>
    <row r="1138" spans="1:7" x14ac:dyDescent="0.3">
      <c r="A1138" s="5">
        <f>Raw_Load_Data!A1138</f>
        <v>46227.666666669422</v>
      </c>
      <c r="B1138">
        <f>Raw_Load_Data!B1138</f>
        <v>18</v>
      </c>
      <c r="C1138">
        <f>MAX(0,IF(AND(HOUR(A1138)&gt;=6,HOUR(A1138)&lt;=18),Assumptions!$B$8*SIN(PI()*(HOUR(A1138)+MINUTE(A1138)/60-6)/12),0))</f>
        <v>14.999999999999998</v>
      </c>
      <c r="D1138">
        <f t="shared" si="17"/>
        <v>3.0000000000000018</v>
      </c>
      <c r="E1138">
        <f>MIN(B1138,C1138)*Assumptions!$B$2</f>
        <v>7.4999999999999991</v>
      </c>
      <c r="F1138">
        <f>MAX(C1138-B1138,0)*Assumptions!$B$2</f>
        <v>0</v>
      </c>
      <c r="G1138">
        <f>MAX(B1138-C1138,0)*Assumptions!$B$2</f>
        <v>1.5000000000000009</v>
      </c>
    </row>
    <row r="1139" spans="1:7" x14ac:dyDescent="0.3">
      <c r="A1139" s="5">
        <f>Raw_Load_Data!A1139</f>
        <v>46227.687500002758</v>
      </c>
      <c r="B1139">
        <f>Raw_Load_Data!B1139</f>
        <v>10.8</v>
      </c>
      <c r="C1139">
        <f>MAX(0,IF(AND(HOUR(A1139)&gt;=6,HOUR(A1139)&lt;=18),Assumptions!$B$8*SIN(PI()*(HOUR(A1139)+MINUTE(A1139)/60-6)/12),0))</f>
        <v>11.480502970952697</v>
      </c>
      <c r="D1139">
        <f t="shared" si="17"/>
        <v>-0.68050297095269663</v>
      </c>
      <c r="E1139">
        <f>MIN(B1139,C1139)*Assumptions!$B$2</f>
        <v>5.4</v>
      </c>
      <c r="F1139">
        <f>MAX(C1139-B1139,0)*Assumptions!$B$2</f>
        <v>0.34025148547634831</v>
      </c>
      <c r="G1139">
        <f>MAX(B1139-C1139,0)*Assumptions!$B$2</f>
        <v>0</v>
      </c>
    </row>
    <row r="1140" spans="1:7" x14ac:dyDescent="0.3">
      <c r="A1140" s="5">
        <f>Raw_Load_Data!A1140</f>
        <v>46227.708333336093</v>
      </c>
      <c r="B1140">
        <f>Raw_Load_Data!B1140</f>
        <v>10.9</v>
      </c>
      <c r="C1140">
        <f>MAX(0,IF(AND(HOUR(A1140)&gt;=6,HOUR(A1140)&lt;=18),Assumptions!$B$8*SIN(PI()*(HOUR(A1140)+MINUTE(A1140)/60-6)/12),0))</f>
        <v>7.7645713530756302</v>
      </c>
      <c r="D1140">
        <f t="shared" si="17"/>
        <v>3.1354286469243702</v>
      </c>
      <c r="E1140">
        <f>MIN(B1140,C1140)*Assumptions!$B$2</f>
        <v>3.8822856765378151</v>
      </c>
      <c r="F1140">
        <f>MAX(C1140-B1140,0)*Assumptions!$B$2</f>
        <v>0</v>
      </c>
      <c r="G1140">
        <f>MAX(B1140-C1140,0)*Assumptions!$B$2</f>
        <v>1.5677143234621851</v>
      </c>
    </row>
    <row r="1141" spans="1:7" x14ac:dyDescent="0.3">
      <c r="A1141" s="5">
        <f>Raw_Load_Data!A1141</f>
        <v>46227.729166669429</v>
      </c>
      <c r="B1141">
        <f>Raw_Load_Data!B1141</f>
        <v>10.8</v>
      </c>
      <c r="C1141">
        <f>MAX(0,IF(AND(HOUR(A1141)&gt;=6,HOUR(A1141)&lt;=18),Assumptions!$B$8*SIN(PI()*(HOUR(A1141)+MINUTE(A1141)/60-6)/12),0))</f>
        <v>3.9157857666015596</v>
      </c>
      <c r="D1141">
        <f t="shared" si="17"/>
        <v>6.8842142333984411</v>
      </c>
      <c r="E1141">
        <f>MIN(B1141,C1141)*Assumptions!$B$2</f>
        <v>1.9578928833007798</v>
      </c>
      <c r="F1141">
        <f>MAX(C1141-B1141,0)*Assumptions!$B$2</f>
        <v>0</v>
      </c>
      <c r="G1141">
        <f>MAX(B1141-C1141,0)*Assumptions!$B$2</f>
        <v>3.4421071166992205</v>
      </c>
    </row>
    <row r="1142" spans="1:7" x14ac:dyDescent="0.3">
      <c r="A1142" s="5">
        <f>Raw_Load_Data!A1142</f>
        <v>46227.750000002765</v>
      </c>
      <c r="B1142">
        <f>Raw_Load_Data!B1142</f>
        <v>12.7</v>
      </c>
      <c r="C1142">
        <f>MAX(0,IF(AND(HOUR(A1142)&gt;=6,HOUR(A1142)&lt;=18),Assumptions!$B$8*SIN(PI()*(HOUR(A1142)+MINUTE(A1142)/60-6)/12),0))</f>
        <v>3.67544536472586E-15</v>
      </c>
      <c r="D1142">
        <f t="shared" si="17"/>
        <v>12.699999999999996</v>
      </c>
      <c r="E1142">
        <f>MIN(B1142,C1142)*Assumptions!$B$2</f>
        <v>1.83772268236293E-15</v>
      </c>
      <c r="F1142">
        <f>MAX(C1142-B1142,0)*Assumptions!$B$2</f>
        <v>0</v>
      </c>
      <c r="G1142">
        <f>MAX(B1142-C1142,0)*Assumptions!$B$2</f>
        <v>6.3499999999999979</v>
      </c>
    </row>
    <row r="1143" spans="1:7" x14ac:dyDescent="0.3">
      <c r="A1143" s="5">
        <f>Raw_Load_Data!A1143</f>
        <v>46227.770833336101</v>
      </c>
      <c r="B1143">
        <f>Raw_Load_Data!B1143</f>
        <v>12.2</v>
      </c>
      <c r="C1143">
        <f>MAX(0,IF(AND(HOUR(A1143)&gt;=6,HOUR(A1143)&lt;=18),Assumptions!$B$8*SIN(PI()*(HOUR(A1143)+MINUTE(A1143)/60-6)/12),0))</f>
        <v>0</v>
      </c>
      <c r="D1143">
        <f t="shared" si="17"/>
        <v>12.2</v>
      </c>
      <c r="E1143">
        <f>MIN(B1143,C1143)*Assumptions!$B$2</f>
        <v>0</v>
      </c>
      <c r="F1143">
        <f>MAX(C1143-B1143,0)*Assumptions!$B$2</f>
        <v>0</v>
      </c>
      <c r="G1143">
        <f>MAX(B1143-C1143,0)*Assumptions!$B$2</f>
        <v>6.1</v>
      </c>
    </row>
    <row r="1144" spans="1:7" x14ac:dyDescent="0.3">
      <c r="A1144" s="5">
        <f>Raw_Load_Data!A1144</f>
        <v>46227.791666669436</v>
      </c>
      <c r="B1144">
        <f>Raw_Load_Data!B1144</f>
        <v>6.7</v>
      </c>
      <c r="C1144">
        <f>MAX(0,IF(AND(HOUR(A1144)&gt;=6,HOUR(A1144)&lt;=18),Assumptions!$B$8*SIN(PI()*(HOUR(A1144)+MINUTE(A1144)/60-6)/12),0))</f>
        <v>0</v>
      </c>
      <c r="D1144">
        <f t="shared" si="17"/>
        <v>6.7</v>
      </c>
      <c r="E1144">
        <f>MIN(B1144,C1144)*Assumptions!$B$2</f>
        <v>0</v>
      </c>
      <c r="F1144">
        <f>MAX(C1144-B1144,0)*Assumptions!$B$2</f>
        <v>0</v>
      </c>
      <c r="G1144">
        <f>MAX(B1144-C1144,0)*Assumptions!$B$2</f>
        <v>3.35</v>
      </c>
    </row>
    <row r="1145" spans="1:7" x14ac:dyDescent="0.3">
      <c r="A1145" s="5">
        <f>Raw_Load_Data!A1145</f>
        <v>46227.812500002772</v>
      </c>
      <c r="B1145">
        <f>Raw_Load_Data!B1145</f>
        <v>3.2</v>
      </c>
      <c r="C1145">
        <f>MAX(0,IF(AND(HOUR(A1145)&gt;=6,HOUR(A1145)&lt;=18),Assumptions!$B$8*SIN(PI()*(HOUR(A1145)+MINUTE(A1145)/60-6)/12),0))</f>
        <v>0</v>
      </c>
      <c r="D1145">
        <f t="shared" si="17"/>
        <v>3.2</v>
      </c>
      <c r="E1145">
        <f>MIN(B1145,C1145)*Assumptions!$B$2</f>
        <v>0</v>
      </c>
      <c r="F1145">
        <f>MAX(C1145-B1145,0)*Assumptions!$B$2</f>
        <v>0</v>
      </c>
      <c r="G1145">
        <f>MAX(B1145-C1145,0)*Assumptions!$B$2</f>
        <v>1.6</v>
      </c>
    </row>
    <row r="1146" spans="1:7" x14ac:dyDescent="0.3">
      <c r="A1146" s="5">
        <f>Raw_Load_Data!A1146</f>
        <v>46227.833333336108</v>
      </c>
      <c r="B1146">
        <f>Raw_Load_Data!B1146</f>
        <v>3.3</v>
      </c>
      <c r="C1146">
        <f>MAX(0,IF(AND(HOUR(A1146)&gt;=6,HOUR(A1146)&lt;=18),Assumptions!$B$8*SIN(PI()*(HOUR(A1146)+MINUTE(A1146)/60-6)/12),0))</f>
        <v>0</v>
      </c>
      <c r="D1146">
        <f t="shared" si="17"/>
        <v>3.3</v>
      </c>
      <c r="E1146">
        <f>MIN(B1146,C1146)*Assumptions!$B$2</f>
        <v>0</v>
      </c>
      <c r="F1146">
        <f>MAX(C1146-B1146,0)*Assumptions!$B$2</f>
        <v>0</v>
      </c>
      <c r="G1146">
        <f>MAX(B1146-C1146,0)*Assumptions!$B$2</f>
        <v>1.65</v>
      </c>
    </row>
    <row r="1147" spans="1:7" x14ac:dyDescent="0.3">
      <c r="A1147" s="5">
        <f>Raw_Load_Data!A1147</f>
        <v>46227.854166669444</v>
      </c>
      <c r="B1147">
        <f>Raw_Load_Data!B1147</f>
        <v>7.2</v>
      </c>
      <c r="C1147">
        <f>MAX(0,IF(AND(HOUR(A1147)&gt;=6,HOUR(A1147)&lt;=18),Assumptions!$B$8*SIN(PI()*(HOUR(A1147)+MINUTE(A1147)/60-6)/12),0))</f>
        <v>0</v>
      </c>
      <c r="D1147">
        <f t="shared" si="17"/>
        <v>7.2</v>
      </c>
      <c r="E1147">
        <f>MIN(B1147,C1147)*Assumptions!$B$2</f>
        <v>0</v>
      </c>
      <c r="F1147">
        <f>MAX(C1147-B1147,0)*Assumptions!$B$2</f>
        <v>0</v>
      </c>
      <c r="G1147">
        <f>MAX(B1147-C1147,0)*Assumptions!$B$2</f>
        <v>3.6</v>
      </c>
    </row>
    <row r="1148" spans="1:7" x14ac:dyDescent="0.3">
      <c r="A1148" s="5">
        <f>Raw_Load_Data!A1148</f>
        <v>46227.875000002779</v>
      </c>
      <c r="B1148">
        <f>Raw_Load_Data!B1148</f>
        <v>4.9000000000000004</v>
      </c>
      <c r="C1148">
        <f>MAX(0,IF(AND(HOUR(A1148)&gt;=6,HOUR(A1148)&lt;=18),Assumptions!$B$8*SIN(PI()*(HOUR(A1148)+MINUTE(A1148)/60-6)/12),0))</f>
        <v>0</v>
      </c>
      <c r="D1148">
        <f t="shared" si="17"/>
        <v>4.9000000000000004</v>
      </c>
      <c r="E1148">
        <f>MIN(B1148,C1148)*Assumptions!$B$2</f>
        <v>0</v>
      </c>
      <c r="F1148">
        <f>MAX(C1148-B1148,0)*Assumptions!$B$2</f>
        <v>0</v>
      </c>
      <c r="G1148">
        <f>MAX(B1148-C1148,0)*Assumptions!$B$2</f>
        <v>2.4500000000000002</v>
      </c>
    </row>
    <row r="1149" spans="1:7" x14ac:dyDescent="0.3">
      <c r="A1149" s="5">
        <f>Raw_Load_Data!A1149</f>
        <v>46227.895833336115</v>
      </c>
      <c r="B1149">
        <f>Raw_Load_Data!B1149</f>
        <v>4.9000000000000004</v>
      </c>
      <c r="C1149">
        <f>MAX(0,IF(AND(HOUR(A1149)&gt;=6,HOUR(A1149)&lt;=18),Assumptions!$B$8*SIN(PI()*(HOUR(A1149)+MINUTE(A1149)/60-6)/12),0))</f>
        <v>0</v>
      </c>
      <c r="D1149">
        <f t="shared" si="17"/>
        <v>4.9000000000000004</v>
      </c>
      <c r="E1149">
        <f>MIN(B1149,C1149)*Assumptions!$B$2</f>
        <v>0</v>
      </c>
      <c r="F1149">
        <f>MAX(C1149-B1149,0)*Assumptions!$B$2</f>
        <v>0</v>
      </c>
      <c r="G1149">
        <f>MAX(B1149-C1149,0)*Assumptions!$B$2</f>
        <v>2.4500000000000002</v>
      </c>
    </row>
    <row r="1150" spans="1:7" x14ac:dyDescent="0.3">
      <c r="A1150" s="5">
        <f>Raw_Load_Data!A1150</f>
        <v>46227.916666669451</v>
      </c>
      <c r="B1150">
        <f>Raw_Load_Data!B1150</f>
        <v>5.3</v>
      </c>
      <c r="C1150">
        <f>MAX(0,IF(AND(HOUR(A1150)&gt;=6,HOUR(A1150)&lt;=18),Assumptions!$B$8*SIN(PI()*(HOUR(A1150)+MINUTE(A1150)/60-6)/12),0))</f>
        <v>0</v>
      </c>
      <c r="D1150">
        <f t="shared" si="17"/>
        <v>5.3</v>
      </c>
      <c r="E1150">
        <f>MIN(B1150,C1150)*Assumptions!$B$2</f>
        <v>0</v>
      </c>
      <c r="F1150">
        <f>MAX(C1150-B1150,0)*Assumptions!$B$2</f>
        <v>0</v>
      </c>
      <c r="G1150">
        <f>MAX(B1150-C1150,0)*Assumptions!$B$2</f>
        <v>2.65</v>
      </c>
    </row>
    <row r="1151" spans="1:7" x14ac:dyDescent="0.3">
      <c r="A1151" s="5">
        <f>Raw_Load_Data!A1151</f>
        <v>46227.937500002787</v>
      </c>
      <c r="B1151">
        <f>Raw_Load_Data!B1151</f>
        <v>7</v>
      </c>
      <c r="C1151">
        <f>MAX(0,IF(AND(HOUR(A1151)&gt;=6,HOUR(A1151)&lt;=18),Assumptions!$B$8*SIN(PI()*(HOUR(A1151)+MINUTE(A1151)/60-6)/12),0))</f>
        <v>0</v>
      </c>
      <c r="D1151">
        <f t="shared" si="17"/>
        <v>7</v>
      </c>
      <c r="E1151">
        <f>MIN(B1151,C1151)*Assumptions!$B$2</f>
        <v>0</v>
      </c>
      <c r="F1151">
        <f>MAX(C1151-B1151,0)*Assumptions!$B$2</f>
        <v>0</v>
      </c>
      <c r="G1151">
        <f>MAX(B1151-C1151,0)*Assumptions!$B$2</f>
        <v>3.5</v>
      </c>
    </row>
    <row r="1152" spans="1:7" x14ac:dyDescent="0.3">
      <c r="A1152" s="5">
        <f>Raw_Load_Data!A1152</f>
        <v>46227.958333336122</v>
      </c>
      <c r="B1152">
        <f>Raw_Load_Data!B1152</f>
        <v>8</v>
      </c>
      <c r="C1152">
        <f>MAX(0,IF(AND(HOUR(A1152)&gt;=6,HOUR(A1152)&lt;=18),Assumptions!$B$8*SIN(PI()*(HOUR(A1152)+MINUTE(A1152)/60-6)/12),0))</f>
        <v>0</v>
      </c>
      <c r="D1152">
        <f t="shared" si="17"/>
        <v>8</v>
      </c>
      <c r="E1152">
        <f>MIN(B1152,C1152)*Assumptions!$B$2</f>
        <v>0</v>
      </c>
      <c r="F1152">
        <f>MAX(C1152-B1152,0)*Assumptions!$B$2</f>
        <v>0</v>
      </c>
      <c r="G1152">
        <f>MAX(B1152-C1152,0)*Assumptions!$B$2</f>
        <v>4</v>
      </c>
    </row>
    <row r="1153" spans="1:7" x14ac:dyDescent="0.3">
      <c r="A1153" s="5">
        <f>Raw_Load_Data!A1153</f>
        <v>46227.979166669458</v>
      </c>
      <c r="B1153">
        <f>Raw_Load_Data!B1153</f>
        <v>3.2</v>
      </c>
      <c r="C1153">
        <f>MAX(0,IF(AND(HOUR(A1153)&gt;=6,HOUR(A1153)&lt;=18),Assumptions!$B$8*SIN(PI()*(HOUR(A1153)+MINUTE(A1153)/60-6)/12),0))</f>
        <v>0</v>
      </c>
      <c r="D1153">
        <f t="shared" si="17"/>
        <v>3.2</v>
      </c>
      <c r="E1153">
        <f>MIN(B1153,C1153)*Assumptions!$B$2</f>
        <v>0</v>
      </c>
      <c r="F1153">
        <f>MAX(C1153-B1153,0)*Assumptions!$B$2</f>
        <v>0</v>
      </c>
      <c r="G1153">
        <f>MAX(B1153-C1153,0)*Assumptions!$B$2</f>
        <v>1.6</v>
      </c>
    </row>
    <row r="1154" spans="1:7" x14ac:dyDescent="0.3">
      <c r="A1154" s="5">
        <f>Raw_Load_Data!A1154</f>
        <v>46228.000000002794</v>
      </c>
      <c r="B1154">
        <f>Raw_Load_Data!B1154</f>
        <v>2.7</v>
      </c>
      <c r="C1154">
        <f>MAX(0,IF(AND(HOUR(A1154)&gt;=6,HOUR(A1154)&lt;=18),Assumptions!$B$8*SIN(PI()*(HOUR(A1154)+MINUTE(A1154)/60-6)/12),0))</f>
        <v>0</v>
      </c>
      <c r="D1154">
        <f t="shared" si="17"/>
        <v>2.7</v>
      </c>
      <c r="E1154">
        <f>MIN(B1154,C1154)*Assumptions!$B$2</f>
        <v>0</v>
      </c>
      <c r="F1154">
        <f>MAX(C1154-B1154,0)*Assumptions!$B$2</f>
        <v>0</v>
      </c>
      <c r="G1154">
        <f>MAX(B1154-C1154,0)*Assumptions!$B$2</f>
        <v>1.35</v>
      </c>
    </row>
    <row r="1155" spans="1:7" x14ac:dyDescent="0.3">
      <c r="A1155" s="5">
        <f>Raw_Load_Data!A1155</f>
        <v>46228.02083333613</v>
      </c>
      <c r="B1155">
        <f>Raw_Load_Data!B1155</f>
        <v>2.1</v>
      </c>
      <c r="C1155">
        <f>MAX(0,IF(AND(HOUR(A1155)&gt;=6,HOUR(A1155)&lt;=18),Assumptions!$B$8*SIN(PI()*(HOUR(A1155)+MINUTE(A1155)/60-6)/12),0))</f>
        <v>0</v>
      </c>
      <c r="D1155">
        <f t="shared" ref="D1155:D1218" si="18">B1155-C1155</f>
        <v>2.1</v>
      </c>
      <c r="E1155">
        <f>MIN(B1155,C1155)*Assumptions!$B$2</f>
        <v>0</v>
      </c>
      <c r="F1155">
        <f>MAX(C1155-B1155,0)*Assumptions!$B$2</f>
        <v>0</v>
      </c>
      <c r="G1155">
        <f>MAX(B1155-C1155,0)*Assumptions!$B$2</f>
        <v>1.05</v>
      </c>
    </row>
    <row r="1156" spans="1:7" x14ac:dyDescent="0.3">
      <c r="A1156" s="5">
        <f>Raw_Load_Data!A1156</f>
        <v>46228.041666669465</v>
      </c>
      <c r="B1156">
        <f>Raw_Load_Data!B1156</f>
        <v>2.5</v>
      </c>
      <c r="C1156">
        <f>MAX(0,IF(AND(HOUR(A1156)&gt;=6,HOUR(A1156)&lt;=18),Assumptions!$B$8*SIN(PI()*(HOUR(A1156)+MINUTE(A1156)/60-6)/12),0))</f>
        <v>0</v>
      </c>
      <c r="D1156">
        <f t="shared" si="18"/>
        <v>2.5</v>
      </c>
      <c r="E1156">
        <f>MIN(B1156,C1156)*Assumptions!$B$2</f>
        <v>0</v>
      </c>
      <c r="F1156">
        <f>MAX(C1156-B1156,0)*Assumptions!$B$2</f>
        <v>0</v>
      </c>
      <c r="G1156">
        <f>MAX(B1156-C1156,0)*Assumptions!$B$2</f>
        <v>1.25</v>
      </c>
    </row>
    <row r="1157" spans="1:7" x14ac:dyDescent="0.3">
      <c r="A1157" s="5">
        <f>Raw_Load_Data!A1157</f>
        <v>46228.062500002801</v>
      </c>
      <c r="B1157">
        <f>Raw_Load_Data!B1157</f>
        <v>2</v>
      </c>
      <c r="C1157">
        <f>MAX(0,IF(AND(HOUR(A1157)&gt;=6,HOUR(A1157)&lt;=18),Assumptions!$B$8*SIN(PI()*(HOUR(A1157)+MINUTE(A1157)/60-6)/12),0))</f>
        <v>0</v>
      </c>
      <c r="D1157">
        <f t="shared" si="18"/>
        <v>2</v>
      </c>
      <c r="E1157">
        <f>MIN(B1157,C1157)*Assumptions!$B$2</f>
        <v>0</v>
      </c>
      <c r="F1157">
        <f>MAX(C1157-B1157,0)*Assumptions!$B$2</f>
        <v>0</v>
      </c>
      <c r="G1157">
        <f>MAX(B1157-C1157,0)*Assumptions!$B$2</f>
        <v>1</v>
      </c>
    </row>
    <row r="1158" spans="1:7" x14ac:dyDescent="0.3">
      <c r="A1158" s="5">
        <f>Raw_Load_Data!A1158</f>
        <v>46228.083333336137</v>
      </c>
      <c r="B1158">
        <f>Raw_Load_Data!B1158</f>
        <v>2.2000000000000002</v>
      </c>
      <c r="C1158">
        <f>MAX(0,IF(AND(HOUR(A1158)&gt;=6,HOUR(A1158)&lt;=18),Assumptions!$B$8*SIN(PI()*(HOUR(A1158)+MINUTE(A1158)/60-6)/12),0))</f>
        <v>0</v>
      </c>
      <c r="D1158">
        <f t="shared" si="18"/>
        <v>2.2000000000000002</v>
      </c>
      <c r="E1158">
        <f>MIN(B1158,C1158)*Assumptions!$B$2</f>
        <v>0</v>
      </c>
      <c r="F1158">
        <f>MAX(C1158-B1158,0)*Assumptions!$B$2</f>
        <v>0</v>
      </c>
      <c r="G1158">
        <f>MAX(B1158-C1158,0)*Assumptions!$B$2</f>
        <v>1.1000000000000001</v>
      </c>
    </row>
    <row r="1159" spans="1:7" x14ac:dyDescent="0.3">
      <c r="A1159" s="5">
        <f>Raw_Load_Data!A1159</f>
        <v>46228.104166669473</v>
      </c>
      <c r="B1159">
        <f>Raw_Load_Data!B1159</f>
        <v>2.7</v>
      </c>
      <c r="C1159">
        <f>MAX(0,IF(AND(HOUR(A1159)&gt;=6,HOUR(A1159)&lt;=18),Assumptions!$B$8*SIN(PI()*(HOUR(A1159)+MINUTE(A1159)/60-6)/12),0))</f>
        <v>0</v>
      </c>
      <c r="D1159">
        <f t="shared" si="18"/>
        <v>2.7</v>
      </c>
      <c r="E1159">
        <f>MIN(B1159,C1159)*Assumptions!$B$2</f>
        <v>0</v>
      </c>
      <c r="F1159">
        <f>MAX(C1159-B1159,0)*Assumptions!$B$2</f>
        <v>0</v>
      </c>
      <c r="G1159">
        <f>MAX(B1159-C1159,0)*Assumptions!$B$2</f>
        <v>1.35</v>
      </c>
    </row>
    <row r="1160" spans="1:7" x14ac:dyDescent="0.3">
      <c r="A1160" s="5">
        <f>Raw_Load_Data!A1160</f>
        <v>46228.125000002809</v>
      </c>
      <c r="B1160">
        <f>Raw_Load_Data!B1160</f>
        <v>2.7</v>
      </c>
      <c r="C1160">
        <f>MAX(0,IF(AND(HOUR(A1160)&gt;=6,HOUR(A1160)&lt;=18),Assumptions!$B$8*SIN(PI()*(HOUR(A1160)+MINUTE(A1160)/60-6)/12),0))</f>
        <v>0</v>
      </c>
      <c r="D1160">
        <f t="shared" si="18"/>
        <v>2.7</v>
      </c>
      <c r="E1160">
        <f>MIN(B1160,C1160)*Assumptions!$B$2</f>
        <v>0</v>
      </c>
      <c r="F1160">
        <f>MAX(C1160-B1160,0)*Assumptions!$B$2</f>
        <v>0</v>
      </c>
      <c r="G1160">
        <f>MAX(B1160-C1160,0)*Assumptions!$B$2</f>
        <v>1.35</v>
      </c>
    </row>
    <row r="1161" spans="1:7" x14ac:dyDescent="0.3">
      <c r="A1161" s="5">
        <f>Raw_Load_Data!A1161</f>
        <v>46228.145833336144</v>
      </c>
      <c r="B1161">
        <f>Raw_Load_Data!B1161</f>
        <v>2.5</v>
      </c>
      <c r="C1161">
        <f>MAX(0,IF(AND(HOUR(A1161)&gt;=6,HOUR(A1161)&lt;=18),Assumptions!$B$8*SIN(PI()*(HOUR(A1161)+MINUTE(A1161)/60-6)/12),0))</f>
        <v>0</v>
      </c>
      <c r="D1161">
        <f t="shared" si="18"/>
        <v>2.5</v>
      </c>
      <c r="E1161">
        <f>MIN(B1161,C1161)*Assumptions!$B$2</f>
        <v>0</v>
      </c>
      <c r="F1161">
        <f>MAX(C1161-B1161,0)*Assumptions!$B$2</f>
        <v>0</v>
      </c>
      <c r="G1161">
        <f>MAX(B1161-C1161,0)*Assumptions!$B$2</f>
        <v>1.25</v>
      </c>
    </row>
    <row r="1162" spans="1:7" x14ac:dyDescent="0.3">
      <c r="A1162" s="5">
        <f>Raw_Load_Data!A1162</f>
        <v>46228.16666666948</v>
      </c>
      <c r="B1162">
        <f>Raw_Load_Data!B1162</f>
        <v>2.5</v>
      </c>
      <c r="C1162">
        <f>MAX(0,IF(AND(HOUR(A1162)&gt;=6,HOUR(A1162)&lt;=18),Assumptions!$B$8*SIN(PI()*(HOUR(A1162)+MINUTE(A1162)/60-6)/12),0))</f>
        <v>0</v>
      </c>
      <c r="D1162">
        <f t="shared" si="18"/>
        <v>2.5</v>
      </c>
      <c r="E1162">
        <f>MIN(B1162,C1162)*Assumptions!$B$2</f>
        <v>0</v>
      </c>
      <c r="F1162">
        <f>MAX(C1162-B1162,0)*Assumptions!$B$2</f>
        <v>0</v>
      </c>
      <c r="G1162">
        <f>MAX(B1162-C1162,0)*Assumptions!$B$2</f>
        <v>1.25</v>
      </c>
    </row>
    <row r="1163" spans="1:7" x14ac:dyDescent="0.3">
      <c r="A1163" s="5">
        <f>Raw_Load_Data!A1163</f>
        <v>46228.187500002816</v>
      </c>
      <c r="B1163">
        <f>Raw_Load_Data!B1163</f>
        <v>2.1</v>
      </c>
      <c r="C1163">
        <f>MAX(0,IF(AND(HOUR(A1163)&gt;=6,HOUR(A1163)&lt;=18),Assumptions!$B$8*SIN(PI()*(HOUR(A1163)+MINUTE(A1163)/60-6)/12),0))</f>
        <v>0</v>
      </c>
      <c r="D1163">
        <f t="shared" si="18"/>
        <v>2.1</v>
      </c>
      <c r="E1163">
        <f>MIN(B1163,C1163)*Assumptions!$B$2</f>
        <v>0</v>
      </c>
      <c r="F1163">
        <f>MAX(C1163-B1163,0)*Assumptions!$B$2</f>
        <v>0</v>
      </c>
      <c r="G1163">
        <f>MAX(B1163-C1163,0)*Assumptions!$B$2</f>
        <v>1.05</v>
      </c>
    </row>
    <row r="1164" spans="1:7" x14ac:dyDescent="0.3">
      <c r="A1164" s="5">
        <f>Raw_Load_Data!A1164</f>
        <v>46228.208333336152</v>
      </c>
      <c r="B1164">
        <f>Raw_Load_Data!B1164</f>
        <v>2</v>
      </c>
      <c r="C1164">
        <f>MAX(0,IF(AND(HOUR(A1164)&gt;=6,HOUR(A1164)&lt;=18),Assumptions!$B$8*SIN(PI()*(HOUR(A1164)+MINUTE(A1164)/60-6)/12),0))</f>
        <v>0</v>
      </c>
      <c r="D1164">
        <f t="shared" si="18"/>
        <v>2</v>
      </c>
      <c r="E1164">
        <f>MIN(B1164,C1164)*Assumptions!$B$2</f>
        <v>0</v>
      </c>
      <c r="F1164">
        <f>MAX(C1164-B1164,0)*Assumptions!$B$2</f>
        <v>0</v>
      </c>
      <c r="G1164">
        <f>MAX(B1164-C1164,0)*Assumptions!$B$2</f>
        <v>1</v>
      </c>
    </row>
    <row r="1165" spans="1:7" x14ac:dyDescent="0.3">
      <c r="A1165" s="5">
        <f>Raw_Load_Data!A1165</f>
        <v>46228.229166669487</v>
      </c>
      <c r="B1165">
        <f>Raw_Load_Data!B1165</f>
        <v>2.7</v>
      </c>
      <c r="C1165">
        <f>MAX(0,IF(AND(HOUR(A1165)&gt;=6,HOUR(A1165)&lt;=18),Assumptions!$B$8*SIN(PI()*(HOUR(A1165)+MINUTE(A1165)/60-6)/12),0))</f>
        <v>0</v>
      </c>
      <c r="D1165">
        <f t="shared" si="18"/>
        <v>2.7</v>
      </c>
      <c r="E1165">
        <f>MIN(B1165,C1165)*Assumptions!$B$2</f>
        <v>0</v>
      </c>
      <c r="F1165">
        <f>MAX(C1165-B1165,0)*Assumptions!$B$2</f>
        <v>0</v>
      </c>
      <c r="G1165">
        <f>MAX(B1165-C1165,0)*Assumptions!$B$2</f>
        <v>1.35</v>
      </c>
    </row>
    <row r="1166" spans="1:7" x14ac:dyDescent="0.3">
      <c r="A1166" s="5">
        <f>Raw_Load_Data!A1166</f>
        <v>46228.250000002823</v>
      </c>
      <c r="B1166">
        <f>Raw_Load_Data!B1166</f>
        <v>4.2</v>
      </c>
      <c r="C1166">
        <f>MAX(0,IF(AND(HOUR(A1166)&gt;=6,HOUR(A1166)&lt;=18),Assumptions!$B$8*SIN(PI()*(HOUR(A1166)+MINUTE(A1166)/60-6)/12),0))</f>
        <v>0</v>
      </c>
      <c r="D1166">
        <f t="shared" si="18"/>
        <v>4.2</v>
      </c>
      <c r="E1166">
        <f>MIN(B1166,C1166)*Assumptions!$B$2</f>
        <v>0</v>
      </c>
      <c r="F1166">
        <f>MAX(C1166-B1166,0)*Assumptions!$B$2</f>
        <v>0</v>
      </c>
      <c r="G1166">
        <f>MAX(B1166-C1166,0)*Assumptions!$B$2</f>
        <v>2.1</v>
      </c>
    </row>
    <row r="1167" spans="1:7" x14ac:dyDescent="0.3">
      <c r="A1167" s="5">
        <f>Raw_Load_Data!A1167</f>
        <v>46228.270833336159</v>
      </c>
      <c r="B1167">
        <f>Raw_Load_Data!B1167</f>
        <v>4.8</v>
      </c>
      <c r="C1167">
        <f>MAX(0,IF(AND(HOUR(A1167)&gt;=6,HOUR(A1167)&lt;=18),Assumptions!$B$8*SIN(PI()*(HOUR(A1167)+MINUTE(A1167)/60-6)/12),0))</f>
        <v>3.9157857666015472</v>
      </c>
      <c r="D1167">
        <f t="shared" si="18"/>
        <v>0.88421423339845262</v>
      </c>
      <c r="E1167">
        <f>MIN(B1167,C1167)*Assumptions!$B$2</f>
        <v>1.9578928833007736</v>
      </c>
      <c r="F1167">
        <f>MAX(C1167-B1167,0)*Assumptions!$B$2</f>
        <v>0</v>
      </c>
      <c r="G1167">
        <f>MAX(B1167-C1167,0)*Assumptions!$B$2</f>
        <v>0.44210711669922631</v>
      </c>
    </row>
    <row r="1168" spans="1:7" x14ac:dyDescent="0.3">
      <c r="A1168" s="5">
        <f>Raw_Load_Data!A1168</f>
        <v>46228.291666669495</v>
      </c>
      <c r="B1168">
        <f>Raw_Load_Data!B1168</f>
        <v>6.7</v>
      </c>
      <c r="C1168">
        <f>MAX(0,IF(AND(HOUR(A1168)&gt;=6,HOUR(A1168)&lt;=18),Assumptions!$B$8*SIN(PI()*(HOUR(A1168)+MINUTE(A1168)/60-6)/12),0))</f>
        <v>7.7645713530756222</v>
      </c>
      <c r="D1168">
        <f t="shared" si="18"/>
        <v>-1.064571353075622</v>
      </c>
      <c r="E1168">
        <f>MIN(B1168,C1168)*Assumptions!$B$2</f>
        <v>3.35</v>
      </c>
      <c r="F1168">
        <f>MAX(C1168-B1168,0)*Assumptions!$B$2</f>
        <v>0.532285676537811</v>
      </c>
      <c r="G1168">
        <f>MAX(B1168-C1168,0)*Assumptions!$B$2</f>
        <v>0</v>
      </c>
    </row>
    <row r="1169" spans="1:7" x14ac:dyDescent="0.3">
      <c r="A1169" s="5">
        <f>Raw_Load_Data!A1169</f>
        <v>46228.31250000283</v>
      </c>
      <c r="B1169">
        <f>Raw_Load_Data!B1169</f>
        <v>7.4</v>
      </c>
      <c r="C1169">
        <f>MAX(0,IF(AND(HOUR(A1169)&gt;=6,HOUR(A1169)&lt;=18),Assumptions!$B$8*SIN(PI()*(HOUR(A1169)+MINUTE(A1169)/60-6)/12),0))</f>
        <v>11.480502970952694</v>
      </c>
      <c r="D1169">
        <f t="shared" si="18"/>
        <v>-4.0805029709526934</v>
      </c>
      <c r="E1169">
        <f>MIN(B1169,C1169)*Assumptions!$B$2</f>
        <v>3.7</v>
      </c>
      <c r="F1169">
        <f>MAX(C1169-B1169,0)*Assumptions!$B$2</f>
        <v>2.0402514854763467</v>
      </c>
      <c r="G1169">
        <f>MAX(B1169-C1169,0)*Assumptions!$B$2</f>
        <v>0</v>
      </c>
    </row>
    <row r="1170" spans="1:7" x14ac:dyDescent="0.3">
      <c r="A1170" s="5">
        <f>Raw_Load_Data!A1170</f>
        <v>46228.333333336166</v>
      </c>
      <c r="B1170">
        <f>Raw_Load_Data!B1170</f>
        <v>19</v>
      </c>
      <c r="C1170">
        <f>MAX(0,IF(AND(HOUR(A1170)&gt;=6,HOUR(A1170)&lt;=18),Assumptions!$B$8*SIN(PI()*(HOUR(A1170)+MINUTE(A1170)/60-6)/12),0))</f>
        <v>14.999999999999998</v>
      </c>
      <c r="D1170">
        <f t="shared" si="18"/>
        <v>4.0000000000000018</v>
      </c>
      <c r="E1170">
        <f>MIN(B1170,C1170)*Assumptions!$B$2</f>
        <v>7.4999999999999991</v>
      </c>
      <c r="F1170">
        <f>MAX(C1170-B1170,0)*Assumptions!$B$2</f>
        <v>0</v>
      </c>
      <c r="G1170">
        <f>MAX(B1170-C1170,0)*Assumptions!$B$2</f>
        <v>2.0000000000000009</v>
      </c>
    </row>
    <row r="1171" spans="1:7" x14ac:dyDescent="0.3">
      <c r="A1171" s="5">
        <f>Raw_Load_Data!A1171</f>
        <v>46228.354166669502</v>
      </c>
      <c r="B1171">
        <f>Raw_Load_Data!B1171</f>
        <v>19.899999999999999</v>
      </c>
      <c r="C1171">
        <f>MAX(0,IF(AND(HOUR(A1171)&gt;=6,HOUR(A1171)&lt;=18),Assumptions!$B$8*SIN(PI()*(HOUR(A1171)+MINUTE(A1171)/60-6)/12),0))</f>
        <v>18.262842870261618</v>
      </c>
      <c r="D1171">
        <f t="shared" si="18"/>
        <v>1.6371571297383802</v>
      </c>
      <c r="E1171">
        <f>MIN(B1171,C1171)*Assumptions!$B$2</f>
        <v>9.1314214351308092</v>
      </c>
      <c r="F1171">
        <f>MAX(C1171-B1171,0)*Assumptions!$B$2</f>
        <v>0</v>
      </c>
      <c r="G1171">
        <f>MAX(B1171-C1171,0)*Assumptions!$B$2</f>
        <v>0.81857856486919012</v>
      </c>
    </row>
    <row r="1172" spans="1:7" x14ac:dyDescent="0.3">
      <c r="A1172" s="5">
        <f>Raw_Load_Data!A1172</f>
        <v>46228.375000002838</v>
      </c>
      <c r="B1172">
        <f>Raw_Load_Data!B1172</f>
        <v>13.8</v>
      </c>
      <c r="C1172">
        <f>MAX(0,IF(AND(HOUR(A1172)&gt;=6,HOUR(A1172)&lt;=18),Assumptions!$B$8*SIN(PI()*(HOUR(A1172)+MINUTE(A1172)/60-6)/12),0))</f>
        <v>21.213203435596423</v>
      </c>
      <c r="D1172">
        <f t="shared" si="18"/>
        <v>-7.4132034355964223</v>
      </c>
      <c r="E1172">
        <f>MIN(B1172,C1172)*Assumptions!$B$2</f>
        <v>6.9</v>
      </c>
      <c r="F1172">
        <f>MAX(C1172-B1172,0)*Assumptions!$B$2</f>
        <v>3.7066017177982111</v>
      </c>
      <c r="G1172">
        <f>MAX(B1172-C1172,0)*Assumptions!$B$2</f>
        <v>0</v>
      </c>
    </row>
    <row r="1173" spans="1:7" x14ac:dyDescent="0.3">
      <c r="A1173" s="5">
        <f>Raw_Load_Data!A1173</f>
        <v>46228.395833336173</v>
      </c>
      <c r="B1173">
        <f>Raw_Load_Data!B1173</f>
        <v>15.8</v>
      </c>
      <c r="C1173">
        <f>MAX(0,IF(AND(HOUR(A1173)&gt;=6,HOUR(A1173)&lt;=18),Assumptions!$B$8*SIN(PI()*(HOUR(A1173)+MINUTE(A1173)/60-6)/12),0))</f>
        <v>23.800600208737055</v>
      </c>
      <c r="D1173">
        <f t="shared" si="18"/>
        <v>-8.0006002087370547</v>
      </c>
      <c r="E1173">
        <f>MIN(B1173,C1173)*Assumptions!$B$2</f>
        <v>7.9</v>
      </c>
      <c r="F1173">
        <f>MAX(C1173-B1173,0)*Assumptions!$B$2</f>
        <v>4.0003001043685273</v>
      </c>
      <c r="G1173">
        <f>MAX(B1173-C1173,0)*Assumptions!$B$2</f>
        <v>0</v>
      </c>
    </row>
    <row r="1174" spans="1:7" x14ac:dyDescent="0.3">
      <c r="A1174" s="5">
        <f>Raw_Load_Data!A1174</f>
        <v>46228.416666669509</v>
      </c>
      <c r="B1174">
        <f>Raw_Load_Data!B1174</f>
        <v>18.600000000000001</v>
      </c>
      <c r="C1174">
        <f>MAX(0,IF(AND(HOUR(A1174)&gt;=6,HOUR(A1174)&lt;=18),Assumptions!$B$8*SIN(PI()*(HOUR(A1174)+MINUTE(A1174)/60-6)/12),0))</f>
        <v>25.980762113533157</v>
      </c>
      <c r="D1174">
        <f t="shared" si="18"/>
        <v>-7.3807621135331551</v>
      </c>
      <c r="E1174">
        <f>MIN(B1174,C1174)*Assumptions!$B$2</f>
        <v>9.3000000000000007</v>
      </c>
      <c r="F1174">
        <f>MAX(C1174-B1174,0)*Assumptions!$B$2</f>
        <v>3.6903810567665776</v>
      </c>
      <c r="G1174">
        <f>MAX(B1174-C1174,0)*Assumptions!$B$2</f>
        <v>0</v>
      </c>
    </row>
    <row r="1175" spans="1:7" x14ac:dyDescent="0.3">
      <c r="A1175" s="5">
        <f>Raw_Load_Data!A1175</f>
        <v>46228.437500002845</v>
      </c>
      <c r="B1175">
        <f>Raw_Load_Data!B1175</f>
        <v>14.8</v>
      </c>
      <c r="C1175">
        <f>MAX(0,IF(AND(HOUR(A1175)&gt;=6,HOUR(A1175)&lt;=18),Assumptions!$B$8*SIN(PI()*(HOUR(A1175)+MINUTE(A1175)/60-6)/12),0))</f>
        <v>27.716385975338603</v>
      </c>
      <c r="D1175">
        <f t="shared" si="18"/>
        <v>-12.916385975338603</v>
      </c>
      <c r="E1175">
        <f>MIN(B1175,C1175)*Assumptions!$B$2</f>
        <v>7.4</v>
      </c>
      <c r="F1175">
        <f>MAX(C1175-B1175,0)*Assumptions!$B$2</f>
        <v>6.4581929876693014</v>
      </c>
      <c r="G1175">
        <f>MAX(B1175-C1175,0)*Assumptions!$B$2</f>
        <v>0</v>
      </c>
    </row>
    <row r="1176" spans="1:7" x14ac:dyDescent="0.3">
      <c r="A1176" s="5">
        <f>Raw_Load_Data!A1176</f>
        <v>46228.458333336181</v>
      </c>
      <c r="B1176">
        <f>Raw_Load_Data!B1176</f>
        <v>14.2</v>
      </c>
      <c r="C1176">
        <f>MAX(0,IF(AND(HOUR(A1176)&gt;=6,HOUR(A1176)&lt;=18),Assumptions!$B$8*SIN(PI()*(HOUR(A1176)+MINUTE(A1176)/60-6)/12),0))</f>
        <v>28.97777478867205</v>
      </c>
      <c r="D1176">
        <f t="shared" si="18"/>
        <v>-14.777774788672051</v>
      </c>
      <c r="E1176">
        <f>MIN(B1176,C1176)*Assumptions!$B$2</f>
        <v>7.1</v>
      </c>
      <c r="F1176">
        <f>MAX(C1176-B1176,0)*Assumptions!$B$2</f>
        <v>7.3888873943360256</v>
      </c>
      <c r="G1176">
        <f>MAX(B1176-C1176,0)*Assumptions!$B$2</f>
        <v>0</v>
      </c>
    </row>
    <row r="1177" spans="1:7" x14ac:dyDescent="0.3">
      <c r="A1177" s="5">
        <f>Raw_Load_Data!A1177</f>
        <v>46228.479166669516</v>
      </c>
      <c r="B1177">
        <f>Raw_Load_Data!B1177</f>
        <v>18.899999999999999</v>
      </c>
      <c r="C1177">
        <f>MAX(0,IF(AND(HOUR(A1177)&gt;=6,HOUR(A1177)&lt;=18),Assumptions!$B$8*SIN(PI()*(HOUR(A1177)+MINUTE(A1177)/60-6)/12),0))</f>
        <v>29.74334584121431</v>
      </c>
      <c r="D1177">
        <f t="shared" si="18"/>
        <v>-10.843345841214312</v>
      </c>
      <c r="E1177">
        <f>MIN(B1177,C1177)*Assumptions!$B$2</f>
        <v>9.4499999999999993</v>
      </c>
      <c r="F1177">
        <f>MAX(C1177-B1177,0)*Assumptions!$B$2</f>
        <v>5.4216729206071559</v>
      </c>
      <c r="G1177">
        <f>MAX(B1177-C1177,0)*Assumptions!$B$2</f>
        <v>0</v>
      </c>
    </row>
    <row r="1178" spans="1:7" x14ac:dyDescent="0.3">
      <c r="A1178" s="5">
        <f>Raw_Load_Data!A1178</f>
        <v>46228.500000002852</v>
      </c>
      <c r="B1178">
        <f>Raw_Load_Data!B1178</f>
        <v>33.1</v>
      </c>
      <c r="C1178">
        <f>MAX(0,IF(AND(HOUR(A1178)&gt;=6,HOUR(A1178)&lt;=18),Assumptions!$B$8*SIN(PI()*(HOUR(A1178)+MINUTE(A1178)/60-6)/12),0))</f>
        <v>30</v>
      </c>
      <c r="D1178">
        <f t="shared" si="18"/>
        <v>3.1000000000000014</v>
      </c>
      <c r="E1178">
        <f>MIN(B1178,C1178)*Assumptions!$B$2</f>
        <v>15</v>
      </c>
      <c r="F1178">
        <f>MAX(C1178-B1178,0)*Assumptions!$B$2</f>
        <v>0</v>
      </c>
      <c r="G1178">
        <f>MAX(B1178-C1178,0)*Assumptions!$B$2</f>
        <v>1.5500000000000007</v>
      </c>
    </row>
    <row r="1179" spans="1:7" x14ac:dyDescent="0.3">
      <c r="A1179" s="5">
        <f>Raw_Load_Data!A1179</f>
        <v>46228.520833336188</v>
      </c>
      <c r="B1179">
        <f>Raw_Load_Data!B1179</f>
        <v>25.3</v>
      </c>
      <c r="C1179">
        <f>MAX(0,IF(AND(HOUR(A1179)&gt;=6,HOUR(A1179)&lt;=18),Assumptions!$B$8*SIN(PI()*(HOUR(A1179)+MINUTE(A1179)/60-6)/12),0))</f>
        <v>29.74334584121431</v>
      </c>
      <c r="D1179">
        <f t="shared" si="18"/>
        <v>-4.4433458412143096</v>
      </c>
      <c r="E1179">
        <f>MIN(B1179,C1179)*Assumptions!$B$2</f>
        <v>12.65</v>
      </c>
      <c r="F1179">
        <f>MAX(C1179-B1179,0)*Assumptions!$B$2</f>
        <v>2.2216729206071548</v>
      </c>
      <c r="G1179">
        <f>MAX(B1179-C1179,0)*Assumptions!$B$2</f>
        <v>0</v>
      </c>
    </row>
    <row r="1180" spans="1:7" x14ac:dyDescent="0.3">
      <c r="A1180" s="5">
        <f>Raw_Load_Data!A1180</f>
        <v>46228.541666669524</v>
      </c>
      <c r="B1180">
        <f>Raw_Load_Data!B1180</f>
        <v>23.1</v>
      </c>
      <c r="C1180">
        <f>MAX(0,IF(AND(HOUR(A1180)&gt;=6,HOUR(A1180)&lt;=18),Assumptions!$B$8*SIN(PI()*(HOUR(A1180)+MINUTE(A1180)/60-6)/12),0))</f>
        <v>28.97777478867205</v>
      </c>
      <c r="D1180">
        <f t="shared" si="18"/>
        <v>-5.8777747886720491</v>
      </c>
      <c r="E1180">
        <f>MIN(B1180,C1180)*Assumptions!$B$2</f>
        <v>11.55</v>
      </c>
      <c r="F1180">
        <f>MAX(C1180-B1180,0)*Assumptions!$B$2</f>
        <v>2.9388873943360245</v>
      </c>
      <c r="G1180">
        <f>MAX(B1180-C1180,0)*Assumptions!$B$2</f>
        <v>0</v>
      </c>
    </row>
    <row r="1181" spans="1:7" x14ac:dyDescent="0.3">
      <c r="A1181" s="5">
        <f>Raw_Load_Data!A1181</f>
        <v>46228.562500002859</v>
      </c>
      <c r="B1181">
        <f>Raw_Load_Data!B1181</f>
        <v>21.8</v>
      </c>
      <c r="C1181">
        <f>MAX(0,IF(AND(HOUR(A1181)&gt;=6,HOUR(A1181)&lt;=18),Assumptions!$B$8*SIN(PI()*(HOUR(A1181)+MINUTE(A1181)/60-6)/12),0))</f>
        <v>27.716385975338607</v>
      </c>
      <c r="D1181">
        <f t="shared" si="18"/>
        <v>-5.9163859753386063</v>
      </c>
      <c r="E1181">
        <f>MIN(B1181,C1181)*Assumptions!$B$2</f>
        <v>10.9</v>
      </c>
      <c r="F1181">
        <f>MAX(C1181-B1181,0)*Assumptions!$B$2</f>
        <v>2.9581929876693032</v>
      </c>
      <c r="G1181">
        <f>MAX(B1181-C1181,0)*Assumptions!$B$2</f>
        <v>0</v>
      </c>
    </row>
    <row r="1182" spans="1:7" x14ac:dyDescent="0.3">
      <c r="A1182" s="5">
        <f>Raw_Load_Data!A1182</f>
        <v>46228.583333336195</v>
      </c>
      <c r="B1182">
        <f>Raw_Load_Data!B1182</f>
        <v>31.1</v>
      </c>
      <c r="C1182">
        <f>MAX(0,IF(AND(HOUR(A1182)&gt;=6,HOUR(A1182)&lt;=18),Assumptions!$B$8*SIN(PI()*(HOUR(A1182)+MINUTE(A1182)/60-6)/12),0))</f>
        <v>25.98076211353316</v>
      </c>
      <c r="D1182">
        <f t="shared" si="18"/>
        <v>5.1192378864668413</v>
      </c>
      <c r="E1182">
        <f>MIN(B1182,C1182)*Assumptions!$B$2</f>
        <v>12.99038105676658</v>
      </c>
      <c r="F1182">
        <f>MAX(C1182-B1182,0)*Assumptions!$B$2</f>
        <v>0</v>
      </c>
      <c r="G1182">
        <f>MAX(B1182-C1182,0)*Assumptions!$B$2</f>
        <v>2.5596189432334207</v>
      </c>
    </row>
    <row r="1183" spans="1:7" x14ac:dyDescent="0.3">
      <c r="A1183" s="5">
        <f>Raw_Load_Data!A1183</f>
        <v>46228.604166669531</v>
      </c>
      <c r="B1183">
        <f>Raw_Load_Data!B1183</f>
        <v>24.5</v>
      </c>
      <c r="C1183">
        <f>MAX(0,IF(AND(HOUR(A1183)&gt;=6,HOUR(A1183)&lt;=18),Assumptions!$B$8*SIN(PI()*(HOUR(A1183)+MINUTE(A1183)/60-6)/12),0))</f>
        <v>23.800600208737055</v>
      </c>
      <c r="D1183">
        <f t="shared" si="18"/>
        <v>0.6993997912629446</v>
      </c>
      <c r="E1183">
        <f>MIN(B1183,C1183)*Assumptions!$B$2</f>
        <v>11.900300104368528</v>
      </c>
      <c r="F1183">
        <f>MAX(C1183-B1183,0)*Assumptions!$B$2</f>
        <v>0</v>
      </c>
      <c r="G1183">
        <f>MAX(B1183-C1183,0)*Assumptions!$B$2</f>
        <v>0.3496998956314723</v>
      </c>
    </row>
    <row r="1184" spans="1:7" x14ac:dyDescent="0.3">
      <c r="A1184" s="5">
        <f>Raw_Load_Data!A1184</f>
        <v>46228.625000002867</v>
      </c>
      <c r="B1184">
        <f>Raw_Load_Data!B1184</f>
        <v>33.700000000000003</v>
      </c>
      <c r="C1184">
        <f>MAX(0,IF(AND(HOUR(A1184)&gt;=6,HOUR(A1184)&lt;=18),Assumptions!$B$8*SIN(PI()*(HOUR(A1184)+MINUTE(A1184)/60-6)/12),0))</f>
        <v>21.213203435596427</v>
      </c>
      <c r="D1184">
        <f t="shared" si="18"/>
        <v>12.486796564403576</v>
      </c>
      <c r="E1184">
        <f>MIN(B1184,C1184)*Assumptions!$B$2</f>
        <v>10.606601717798213</v>
      </c>
      <c r="F1184">
        <f>MAX(C1184-B1184,0)*Assumptions!$B$2</f>
        <v>0</v>
      </c>
      <c r="G1184">
        <f>MAX(B1184-C1184,0)*Assumptions!$B$2</f>
        <v>6.2433982822017882</v>
      </c>
    </row>
    <row r="1185" spans="1:7" x14ac:dyDescent="0.3">
      <c r="A1185" s="5">
        <f>Raw_Load_Data!A1185</f>
        <v>46228.645833336202</v>
      </c>
      <c r="B1185">
        <f>Raw_Load_Data!B1185</f>
        <v>20.9</v>
      </c>
      <c r="C1185">
        <f>MAX(0,IF(AND(HOUR(A1185)&gt;=6,HOUR(A1185)&lt;=18),Assumptions!$B$8*SIN(PI()*(HOUR(A1185)+MINUTE(A1185)/60-6)/12),0))</f>
        <v>18.262842870261625</v>
      </c>
      <c r="D1185">
        <f t="shared" si="18"/>
        <v>2.6371571297383731</v>
      </c>
      <c r="E1185">
        <f>MIN(B1185,C1185)*Assumptions!$B$2</f>
        <v>9.1314214351308127</v>
      </c>
      <c r="F1185">
        <f>MAX(C1185-B1185,0)*Assumptions!$B$2</f>
        <v>0</v>
      </c>
      <c r="G1185">
        <f>MAX(B1185-C1185,0)*Assumptions!$B$2</f>
        <v>1.3185785648691866</v>
      </c>
    </row>
    <row r="1186" spans="1:7" x14ac:dyDescent="0.3">
      <c r="A1186" s="5">
        <f>Raw_Load_Data!A1186</f>
        <v>46228.666666669538</v>
      </c>
      <c r="B1186">
        <f>Raw_Load_Data!B1186</f>
        <v>13.2</v>
      </c>
      <c r="C1186">
        <f>MAX(0,IF(AND(HOUR(A1186)&gt;=6,HOUR(A1186)&lt;=18),Assumptions!$B$8*SIN(PI()*(HOUR(A1186)+MINUTE(A1186)/60-6)/12),0))</f>
        <v>14.999999999999998</v>
      </c>
      <c r="D1186">
        <f t="shared" si="18"/>
        <v>-1.7999999999999989</v>
      </c>
      <c r="E1186">
        <f>MIN(B1186,C1186)*Assumptions!$B$2</f>
        <v>6.6</v>
      </c>
      <c r="F1186">
        <f>MAX(C1186-B1186,0)*Assumptions!$B$2</f>
        <v>0.89999999999999947</v>
      </c>
      <c r="G1186">
        <f>MAX(B1186-C1186,0)*Assumptions!$B$2</f>
        <v>0</v>
      </c>
    </row>
    <row r="1187" spans="1:7" x14ac:dyDescent="0.3">
      <c r="A1187" s="5">
        <f>Raw_Load_Data!A1187</f>
        <v>46228.687500002874</v>
      </c>
      <c r="B1187">
        <f>Raw_Load_Data!B1187</f>
        <v>11.8</v>
      </c>
      <c r="C1187">
        <f>MAX(0,IF(AND(HOUR(A1187)&gt;=6,HOUR(A1187)&lt;=18),Assumptions!$B$8*SIN(PI()*(HOUR(A1187)+MINUTE(A1187)/60-6)/12),0))</f>
        <v>11.480502970952697</v>
      </c>
      <c r="D1187">
        <f t="shared" si="18"/>
        <v>0.31949702904730337</v>
      </c>
      <c r="E1187">
        <f>MIN(B1187,C1187)*Assumptions!$B$2</f>
        <v>5.7402514854763487</v>
      </c>
      <c r="F1187">
        <f>MAX(C1187-B1187,0)*Assumptions!$B$2</f>
        <v>0</v>
      </c>
      <c r="G1187">
        <f>MAX(B1187-C1187,0)*Assumptions!$B$2</f>
        <v>0.15974851452365169</v>
      </c>
    </row>
    <row r="1188" spans="1:7" x14ac:dyDescent="0.3">
      <c r="A1188" s="5">
        <f>Raw_Load_Data!A1188</f>
        <v>46228.70833333621</v>
      </c>
      <c r="B1188">
        <f>Raw_Load_Data!B1188</f>
        <v>11.2</v>
      </c>
      <c r="C1188">
        <f>MAX(0,IF(AND(HOUR(A1188)&gt;=6,HOUR(A1188)&lt;=18),Assumptions!$B$8*SIN(PI()*(HOUR(A1188)+MINUTE(A1188)/60-6)/12),0))</f>
        <v>7.7645713530756302</v>
      </c>
      <c r="D1188">
        <f t="shared" si="18"/>
        <v>3.4354286469243691</v>
      </c>
      <c r="E1188">
        <f>MIN(B1188,C1188)*Assumptions!$B$2</f>
        <v>3.8822856765378151</v>
      </c>
      <c r="F1188">
        <f>MAX(C1188-B1188,0)*Assumptions!$B$2</f>
        <v>0</v>
      </c>
      <c r="G1188">
        <f>MAX(B1188-C1188,0)*Assumptions!$B$2</f>
        <v>1.7177143234621846</v>
      </c>
    </row>
    <row r="1189" spans="1:7" x14ac:dyDescent="0.3">
      <c r="A1189" s="5">
        <f>Raw_Load_Data!A1189</f>
        <v>46228.729166669546</v>
      </c>
      <c r="B1189">
        <f>Raw_Load_Data!B1189</f>
        <v>10.1</v>
      </c>
      <c r="C1189">
        <f>MAX(0,IF(AND(HOUR(A1189)&gt;=6,HOUR(A1189)&lt;=18),Assumptions!$B$8*SIN(PI()*(HOUR(A1189)+MINUTE(A1189)/60-6)/12),0))</f>
        <v>3.9157857666015596</v>
      </c>
      <c r="D1189">
        <f t="shared" si="18"/>
        <v>6.18421423339844</v>
      </c>
      <c r="E1189">
        <f>MIN(B1189,C1189)*Assumptions!$B$2</f>
        <v>1.9578928833007798</v>
      </c>
      <c r="F1189">
        <f>MAX(C1189-B1189,0)*Assumptions!$B$2</f>
        <v>0</v>
      </c>
      <c r="G1189">
        <f>MAX(B1189-C1189,0)*Assumptions!$B$2</f>
        <v>3.09210711669922</v>
      </c>
    </row>
    <row r="1190" spans="1:7" x14ac:dyDescent="0.3">
      <c r="A1190" s="5">
        <f>Raw_Load_Data!A1190</f>
        <v>46228.750000002881</v>
      </c>
      <c r="B1190">
        <f>Raw_Load_Data!B1190</f>
        <v>17.7</v>
      </c>
      <c r="C1190">
        <f>MAX(0,IF(AND(HOUR(A1190)&gt;=6,HOUR(A1190)&lt;=18),Assumptions!$B$8*SIN(PI()*(HOUR(A1190)+MINUTE(A1190)/60-6)/12),0))</f>
        <v>3.67544536472586E-15</v>
      </c>
      <c r="D1190">
        <f t="shared" si="18"/>
        <v>17.699999999999996</v>
      </c>
      <c r="E1190">
        <f>MIN(B1190,C1190)*Assumptions!$B$2</f>
        <v>1.83772268236293E-15</v>
      </c>
      <c r="F1190">
        <f>MAX(C1190-B1190,0)*Assumptions!$B$2</f>
        <v>0</v>
      </c>
      <c r="G1190">
        <f>MAX(B1190-C1190,0)*Assumptions!$B$2</f>
        <v>8.8499999999999979</v>
      </c>
    </row>
    <row r="1191" spans="1:7" x14ac:dyDescent="0.3">
      <c r="A1191" s="5">
        <f>Raw_Load_Data!A1191</f>
        <v>46228.770833336217</v>
      </c>
      <c r="B1191">
        <f>Raw_Load_Data!B1191</f>
        <v>11.7</v>
      </c>
      <c r="C1191">
        <f>MAX(0,IF(AND(HOUR(A1191)&gt;=6,HOUR(A1191)&lt;=18),Assumptions!$B$8*SIN(PI()*(HOUR(A1191)+MINUTE(A1191)/60-6)/12),0))</f>
        <v>0</v>
      </c>
      <c r="D1191">
        <f t="shared" si="18"/>
        <v>11.7</v>
      </c>
      <c r="E1191">
        <f>MIN(B1191,C1191)*Assumptions!$B$2</f>
        <v>0</v>
      </c>
      <c r="F1191">
        <f>MAX(C1191-B1191,0)*Assumptions!$B$2</f>
        <v>0</v>
      </c>
      <c r="G1191">
        <f>MAX(B1191-C1191,0)*Assumptions!$B$2</f>
        <v>5.85</v>
      </c>
    </row>
    <row r="1192" spans="1:7" x14ac:dyDescent="0.3">
      <c r="A1192" s="5">
        <f>Raw_Load_Data!A1192</f>
        <v>46228.791666669553</v>
      </c>
      <c r="B1192">
        <f>Raw_Load_Data!B1192</f>
        <v>5.3</v>
      </c>
      <c r="C1192">
        <f>MAX(0,IF(AND(HOUR(A1192)&gt;=6,HOUR(A1192)&lt;=18),Assumptions!$B$8*SIN(PI()*(HOUR(A1192)+MINUTE(A1192)/60-6)/12),0))</f>
        <v>0</v>
      </c>
      <c r="D1192">
        <f t="shared" si="18"/>
        <v>5.3</v>
      </c>
      <c r="E1192">
        <f>MIN(B1192,C1192)*Assumptions!$B$2</f>
        <v>0</v>
      </c>
      <c r="F1192">
        <f>MAX(C1192-B1192,0)*Assumptions!$B$2</f>
        <v>0</v>
      </c>
      <c r="G1192">
        <f>MAX(B1192-C1192,0)*Assumptions!$B$2</f>
        <v>2.65</v>
      </c>
    </row>
    <row r="1193" spans="1:7" x14ac:dyDescent="0.3">
      <c r="A1193" s="5">
        <f>Raw_Load_Data!A1193</f>
        <v>46228.812500002889</v>
      </c>
      <c r="B1193">
        <f>Raw_Load_Data!B1193</f>
        <v>4.7</v>
      </c>
      <c r="C1193">
        <f>MAX(0,IF(AND(HOUR(A1193)&gt;=6,HOUR(A1193)&lt;=18),Assumptions!$B$8*SIN(PI()*(HOUR(A1193)+MINUTE(A1193)/60-6)/12),0))</f>
        <v>0</v>
      </c>
      <c r="D1193">
        <f t="shared" si="18"/>
        <v>4.7</v>
      </c>
      <c r="E1193">
        <f>MIN(B1193,C1193)*Assumptions!$B$2</f>
        <v>0</v>
      </c>
      <c r="F1193">
        <f>MAX(C1193-B1193,0)*Assumptions!$B$2</f>
        <v>0</v>
      </c>
      <c r="G1193">
        <f>MAX(B1193-C1193,0)*Assumptions!$B$2</f>
        <v>2.35</v>
      </c>
    </row>
    <row r="1194" spans="1:7" x14ac:dyDescent="0.3">
      <c r="A1194" s="5">
        <f>Raw_Load_Data!A1194</f>
        <v>46228.833333336224</v>
      </c>
      <c r="B1194">
        <f>Raw_Load_Data!B1194</f>
        <v>3.7</v>
      </c>
      <c r="C1194">
        <f>MAX(0,IF(AND(HOUR(A1194)&gt;=6,HOUR(A1194)&lt;=18),Assumptions!$B$8*SIN(PI()*(HOUR(A1194)+MINUTE(A1194)/60-6)/12),0))</f>
        <v>0</v>
      </c>
      <c r="D1194">
        <f t="shared" si="18"/>
        <v>3.7</v>
      </c>
      <c r="E1194">
        <f>MIN(B1194,C1194)*Assumptions!$B$2</f>
        <v>0</v>
      </c>
      <c r="F1194">
        <f>MAX(C1194-B1194,0)*Assumptions!$B$2</f>
        <v>0</v>
      </c>
      <c r="G1194">
        <f>MAX(B1194-C1194,0)*Assumptions!$B$2</f>
        <v>1.85</v>
      </c>
    </row>
    <row r="1195" spans="1:7" x14ac:dyDescent="0.3">
      <c r="A1195" s="5">
        <f>Raw_Load_Data!A1195</f>
        <v>46228.85416666956</v>
      </c>
      <c r="B1195">
        <f>Raw_Load_Data!B1195</f>
        <v>5.7</v>
      </c>
      <c r="C1195">
        <f>MAX(0,IF(AND(HOUR(A1195)&gt;=6,HOUR(A1195)&lt;=18),Assumptions!$B$8*SIN(PI()*(HOUR(A1195)+MINUTE(A1195)/60-6)/12),0))</f>
        <v>0</v>
      </c>
      <c r="D1195">
        <f t="shared" si="18"/>
        <v>5.7</v>
      </c>
      <c r="E1195">
        <f>MIN(B1195,C1195)*Assumptions!$B$2</f>
        <v>0</v>
      </c>
      <c r="F1195">
        <f>MAX(C1195-B1195,0)*Assumptions!$B$2</f>
        <v>0</v>
      </c>
      <c r="G1195">
        <f>MAX(B1195-C1195,0)*Assumptions!$B$2</f>
        <v>2.85</v>
      </c>
    </row>
    <row r="1196" spans="1:7" x14ac:dyDescent="0.3">
      <c r="A1196" s="5">
        <f>Raw_Load_Data!A1196</f>
        <v>46228.875000002896</v>
      </c>
      <c r="B1196">
        <f>Raw_Load_Data!B1196</f>
        <v>5.9</v>
      </c>
      <c r="C1196">
        <f>MAX(0,IF(AND(HOUR(A1196)&gt;=6,HOUR(A1196)&lt;=18),Assumptions!$B$8*SIN(PI()*(HOUR(A1196)+MINUTE(A1196)/60-6)/12),0))</f>
        <v>0</v>
      </c>
      <c r="D1196">
        <f t="shared" si="18"/>
        <v>5.9</v>
      </c>
      <c r="E1196">
        <f>MIN(B1196,C1196)*Assumptions!$B$2</f>
        <v>0</v>
      </c>
      <c r="F1196">
        <f>MAX(C1196-B1196,0)*Assumptions!$B$2</f>
        <v>0</v>
      </c>
      <c r="G1196">
        <f>MAX(B1196-C1196,0)*Assumptions!$B$2</f>
        <v>2.95</v>
      </c>
    </row>
    <row r="1197" spans="1:7" x14ac:dyDescent="0.3">
      <c r="A1197" s="5">
        <f>Raw_Load_Data!A1197</f>
        <v>46228.895833336232</v>
      </c>
      <c r="B1197">
        <f>Raw_Load_Data!B1197</f>
        <v>7.8</v>
      </c>
      <c r="C1197">
        <f>MAX(0,IF(AND(HOUR(A1197)&gt;=6,HOUR(A1197)&lt;=18),Assumptions!$B$8*SIN(PI()*(HOUR(A1197)+MINUTE(A1197)/60-6)/12),0))</f>
        <v>0</v>
      </c>
      <c r="D1197">
        <f t="shared" si="18"/>
        <v>7.8</v>
      </c>
      <c r="E1197">
        <f>MIN(B1197,C1197)*Assumptions!$B$2</f>
        <v>0</v>
      </c>
      <c r="F1197">
        <f>MAX(C1197-B1197,0)*Assumptions!$B$2</f>
        <v>0</v>
      </c>
      <c r="G1197">
        <f>MAX(B1197-C1197,0)*Assumptions!$B$2</f>
        <v>3.9</v>
      </c>
    </row>
    <row r="1198" spans="1:7" x14ac:dyDescent="0.3">
      <c r="A1198" s="5">
        <f>Raw_Load_Data!A1198</f>
        <v>46228.916666669567</v>
      </c>
      <c r="B1198">
        <f>Raw_Load_Data!B1198</f>
        <v>4.5</v>
      </c>
      <c r="C1198">
        <f>MAX(0,IF(AND(HOUR(A1198)&gt;=6,HOUR(A1198)&lt;=18),Assumptions!$B$8*SIN(PI()*(HOUR(A1198)+MINUTE(A1198)/60-6)/12),0))</f>
        <v>0</v>
      </c>
      <c r="D1198">
        <f t="shared" si="18"/>
        <v>4.5</v>
      </c>
      <c r="E1198">
        <f>MIN(B1198,C1198)*Assumptions!$B$2</f>
        <v>0</v>
      </c>
      <c r="F1198">
        <f>MAX(C1198-B1198,0)*Assumptions!$B$2</f>
        <v>0</v>
      </c>
      <c r="G1198">
        <f>MAX(B1198-C1198,0)*Assumptions!$B$2</f>
        <v>2.25</v>
      </c>
    </row>
    <row r="1199" spans="1:7" x14ac:dyDescent="0.3">
      <c r="A1199" s="5">
        <f>Raw_Load_Data!A1199</f>
        <v>46228.937500002903</v>
      </c>
      <c r="B1199">
        <f>Raw_Load_Data!B1199</f>
        <v>3.8</v>
      </c>
      <c r="C1199">
        <f>MAX(0,IF(AND(HOUR(A1199)&gt;=6,HOUR(A1199)&lt;=18),Assumptions!$B$8*SIN(PI()*(HOUR(A1199)+MINUTE(A1199)/60-6)/12),0))</f>
        <v>0</v>
      </c>
      <c r="D1199">
        <f t="shared" si="18"/>
        <v>3.8</v>
      </c>
      <c r="E1199">
        <f>MIN(B1199,C1199)*Assumptions!$B$2</f>
        <v>0</v>
      </c>
      <c r="F1199">
        <f>MAX(C1199-B1199,0)*Assumptions!$B$2</f>
        <v>0</v>
      </c>
      <c r="G1199">
        <f>MAX(B1199-C1199,0)*Assumptions!$B$2</f>
        <v>1.9</v>
      </c>
    </row>
    <row r="1200" spans="1:7" x14ac:dyDescent="0.3">
      <c r="A1200" s="5">
        <f>Raw_Load_Data!A1200</f>
        <v>46228.958333336239</v>
      </c>
      <c r="B1200">
        <f>Raw_Load_Data!B1200</f>
        <v>4.7</v>
      </c>
      <c r="C1200">
        <f>MAX(0,IF(AND(HOUR(A1200)&gt;=6,HOUR(A1200)&lt;=18),Assumptions!$B$8*SIN(PI()*(HOUR(A1200)+MINUTE(A1200)/60-6)/12),0))</f>
        <v>0</v>
      </c>
      <c r="D1200">
        <f t="shared" si="18"/>
        <v>4.7</v>
      </c>
      <c r="E1200">
        <f>MIN(B1200,C1200)*Assumptions!$B$2</f>
        <v>0</v>
      </c>
      <c r="F1200">
        <f>MAX(C1200-B1200,0)*Assumptions!$B$2</f>
        <v>0</v>
      </c>
      <c r="G1200">
        <f>MAX(B1200-C1200,0)*Assumptions!$B$2</f>
        <v>2.35</v>
      </c>
    </row>
    <row r="1201" spans="1:7" x14ac:dyDescent="0.3">
      <c r="A1201" s="5">
        <f>Raw_Load_Data!A1201</f>
        <v>46228.979166669575</v>
      </c>
      <c r="B1201">
        <f>Raw_Load_Data!B1201</f>
        <v>6.2</v>
      </c>
      <c r="C1201">
        <f>MAX(0,IF(AND(HOUR(A1201)&gt;=6,HOUR(A1201)&lt;=18),Assumptions!$B$8*SIN(PI()*(HOUR(A1201)+MINUTE(A1201)/60-6)/12),0))</f>
        <v>0</v>
      </c>
      <c r="D1201">
        <f t="shared" si="18"/>
        <v>6.2</v>
      </c>
      <c r="E1201">
        <f>MIN(B1201,C1201)*Assumptions!$B$2</f>
        <v>0</v>
      </c>
      <c r="F1201">
        <f>MAX(C1201-B1201,0)*Assumptions!$B$2</f>
        <v>0</v>
      </c>
      <c r="G1201">
        <f>MAX(B1201-C1201,0)*Assumptions!$B$2</f>
        <v>3.1</v>
      </c>
    </row>
    <row r="1202" spans="1:7" x14ac:dyDescent="0.3">
      <c r="A1202" s="5">
        <f>Raw_Load_Data!A1202</f>
        <v>46229.00000000291</v>
      </c>
      <c r="B1202">
        <f>Raw_Load_Data!B1202</f>
        <v>2.8</v>
      </c>
      <c r="C1202">
        <f>MAX(0,IF(AND(HOUR(A1202)&gt;=6,HOUR(A1202)&lt;=18),Assumptions!$B$8*SIN(PI()*(HOUR(A1202)+MINUTE(A1202)/60-6)/12),0))</f>
        <v>0</v>
      </c>
      <c r="D1202">
        <f t="shared" si="18"/>
        <v>2.8</v>
      </c>
      <c r="E1202">
        <f>MIN(B1202,C1202)*Assumptions!$B$2</f>
        <v>0</v>
      </c>
      <c r="F1202">
        <f>MAX(C1202-B1202,0)*Assumptions!$B$2</f>
        <v>0</v>
      </c>
      <c r="G1202">
        <f>MAX(B1202-C1202,0)*Assumptions!$B$2</f>
        <v>1.4</v>
      </c>
    </row>
    <row r="1203" spans="1:7" x14ac:dyDescent="0.3">
      <c r="A1203" s="5">
        <f>Raw_Load_Data!A1203</f>
        <v>46229.020833336246</v>
      </c>
      <c r="B1203">
        <f>Raw_Load_Data!B1203</f>
        <v>2.9</v>
      </c>
      <c r="C1203">
        <f>MAX(0,IF(AND(HOUR(A1203)&gt;=6,HOUR(A1203)&lt;=18),Assumptions!$B$8*SIN(PI()*(HOUR(A1203)+MINUTE(A1203)/60-6)/12),0))</f>
        <v>0</v>
      </c>
      <c r="D1203">
        <f t="shared" si="18"/>
        <v>2.9</v>
      </c>
      <c r="E1203">
        <f>MIN(B1203,C1203)*Assumptions!$B$2</f>
        <v>0</v>
      </c>
      <c r="F1203">
        <f>MAX(C1203-B1203,0)*Assumptions!$B$2</f>
        <v>0</v>
      </c>
      <c r="G1203">
        <f>MAX(B1203-C1203,0)*Assumptions!$B$2</f>
        <v>1.45</v>
      </c>
    </row>
    <row r="1204" spans="1:7" x14ac:dyDescent="0.3">
      <c r="A1204" s="5">
        <f>Raw_Load_Data!A1204</f>
        <v>46229.041666669582</v>
      </c>
      <c r="B1204">
        <f>Raw_Load_Data!B1204</f>
        <v>2.6</v>
      </c>
      <c r="C1204">
        <f>MAX(0,IF(AND(HOUR(A1204)&gt;=6,HOUR(A1204)&lt;=18),Assumptions!$B$8*SIN(PI()*(HOUR(A1204)+MINUTE(A1204)/60-6)/12),0))</f>
        <v>0</v>
      </c>
      <c r="D1204">
        <f t="shared" si="18"/>
        <v>2.6</v>
      </c>
      <c r="E1204">
        <f>MIN(B1204,C1204)*Assumptions!$B$2</f>
        <v>0</v>
      </c>
      <c r="F1204">
        <f>MAX(C1204-B1204,0)*Assumptions!$B$2</f>
        <v>0</v>
      </c>
      <c r="G1204">
        <f>MAX(B1204-C1204,0)*Assumptions!$B$2</f>
        <v>1.3</v>
      </c>
    </row>
    <row r="1205" spans="1:7" x14ac:dyDescent="0.3">
      <c r="A1205" s="5">
        <f>Raw_Load_Data!A1205</f>
        <v>46229.062500002918</v>
      </c>
      <c r="B1205">
        <f>Raw_Load_Data!B1205</f>
        <v>1.8</v>
      </c>
      <c r="C1205">
        <f>MAX(0,IF(AND(HOUR(A1205)&gt;=6,HOUR(A1205)&lt;=18),Assumptions!$B$8*SIN(PI()*(HOUR(A1205)+MINUTE(A1205)/60-6)/12),0))</f>
        <v>0</v>
      </c>
      <c r="D1205">
        <f t="shared" si="18"/>
        <v>1.8</v>
      </c>
      <c r="E1205">
        <f>MIN(B1205,C1205)*Assumptions!$B$2</f>
        <v>0</v>
      </c>
      <c r="F1205">
        <f>MAX(C1205-B1205,0)*Assumptions!$B$2</f>
        <v>0</v>
      </c>
      <c r="G1205">
        <f>MAX(B1205-C1205,0)*Assumptions!$B$2</f>
        <v>0.9</v>
      </c>
    </row>
    <row r="1206" spans="1:7" x14ac:dyDescent="0.3">
      <c r="A1206" s="5">
        <f>Raw_Load_Data!A1206</f>
        <v>46229.083333336253</v>
      </c>
      <c r="B1206">
        <f>Raw_Load_Data!B1206</f>
        <v>2.7</v>
      </c>
      <c r="C1206">
        <f>MAX(0,IF(AND(HOUR(A1206)&gt;=6,HOUR(A1206)&lt;=18),Assumptions!$B$8*SIN(PI()*(HOUR(A1206)+MINUTE(A1206)/60-6)/12),0))</f>
        <v>0</v>
      </c>
      <c r="D1206">
        <f t="shared" si="18"/>
        <v>2.7</v>
      </c>
      <c r="E1206">
        <f>MIN(B1206,C1206)*Assumptions!$B$2</f>
        <v>0</v>
      </c>
      <c r="F1206">
        <f>MAX(C1206-B1206,0)*Assumptions!$B$2</f>
        <v>0</v>
      </c>
      <c r="G1206">
        <f>MAX(B1206-C1206,0)*Assumptions!$B$2</f>
        <v>1.35</v>
      </c>
    </row>
    <row r="1207" spans="1:7" x14ac:dyDescent="0.3">
      <c r="A1207" s="5">
        <f>Raw_Load_Data!A1207</f>
        <v>46229.104166669589</v>
      </c>
      <c r="B1207">
        <f>Raw_Load_Data!B1207</f>
        <v>2.4</v>
      </c>
      <c r="C1207">
        <f>MAX(0,IF(AND(HOUR(A1207)&gt;=6,HOUR(A1207)&lt;=18),Assumptions!$B$8*SIN(PI()*(HOUR(A1207)+MINUTE(A1207)/60-6)/12),0))</f>
        <v>0</v>
      </c>
      <c r="D1207">
        <f t="shared" si="18"/>
        <v>2.4</v>
      </c>
      <c r="E1207">
        <f>MIN(B1207,C1207)*Assumptions!$B$2</f>
        <v>0</v>
      </c>
      <c r="F1207">
        <f>MAX(C1207-B1207,0)*Assumptions!$B$2</f>
        <v>0</v>
      </c>
      <c r="G1207">
        <f>MAX(B1207-C1207,0)*Assumptions!$B$2</f>
        <v>1.2</v>
      </c>
    </row>
    <row r="1208" spans="1:7" x14ac:dyDescent="0.3">
      <c r="A1208" s="5">
        <f>Raw_Load_Data!A1208</f>
        <v>46229.125000002925</v>
      </c>
      <c r="B1208">
        <f>Raw_Load_Data!B1208</f>
        <v>1.8</v>
      </c>
      <c r="C1208">
        <f>MAX(0,IF(AND(HOUR(A1208)&gt;=6,HOUR(A1208)&lt;=18),Assumptions!$B$8*SIN(PI()*(HOUR(A1208)+MINUTE(A1208)/60-6)/12),0))</f>
        <v>0</v>
      </c>
      <c r="D1208">
        <f t="shared" si="18"/>
        <v>1.8</v>
      </c>
      <c r="E1208">
        <f>MIN(B1208,C1208)*Assumptions!$B$2</f>
        <v>0</v>
      </c>
      <c r="F1208">
        <f>MAX(C1208-B1208,0)*Assumptions!$B$2</f>
        <v>0</v>
      </c>
      <c r="G1208">
        <f>MAX(B1208-C1208,0)*Assumptions!$B$2</f>
        <v>0.9</v>
      </c>
    </row>
    <row r="1209" spans="1:7" x14ac:dyDescent="0.3">
      <c r="A1209" s="5">
        <f>Raw_Load_Data!A1209</f>
        <v>46229.145833336261</v>
      </c>
      <c r="B1209">
        <f>Raw_Load_Data!B1209</f>
        <v>2.1</v>
      </c>
      <c r="C1209">
        <f>MAX(0,IF(AND(HOUR(A1209)&gt;=6,HOUR(A1209)&lt;=18),Assumptions!$B$8*SIN(PI()*(HOUR(A1209)+MINUTE(A1209)/60-6)/12),0))</f>
        <v>0</v>
      </c>
      <c r="D1209">
        <f t="shared" si="18"/>
        <v>2.1</v>
      </c>
      <c r="E1209">
        <f>MIN(B1209,C1209)*Assumptions!$B$2</f>
        <v>0</v>
      </c>
      <c r="F1209">
        <f>MAX(C1209-B1209,0)*Assumptions!$B$2</f>
        <v>0</v>
      </c>
      <c r="G1209">
        <f>MAX(B1209-C1209,0)*Assumptions!$B$2</f>
        <v>1.05</v>
      </c>
    </row>
    <row r="1210" spans="1:7" x14ac:dyDescent="0.3">
      <c r="A1210" s="5">
        <f>Raw_Load_Data!A1210</f>
        <v>46229.166666669596</v>
      </c>
      <c r="B1210">
        <f>Raw_Load_Data!B1210</f>
        <v>2</v>
      </c>
      <c r="C1210">
        <f>MAX(0,IF(AND(HOUR(A1210)&gt;=6,HOUR(A1210)&lt;=18),Assumptions!$B$8*SIN(PI()*(HOUR(A1210)+MINUTE(A1210)/60-6)/12),0))</f>
        <v>0</v>
      </c>
      <c r="D1210">
        <f t="shared" si="18"/>
        <v>2</v>
      </c>
      <c r="E1210">
        <f>MIN(B1210,C1210)*Assumptions!$B$2</f>
        <v>0</v>
      </c>
      <c r="F1210">
        <f>MAX(C1210-B1210,0)*Assumptions!$B$2</f>
        <v>0</v>
      </c>
      <c r="G1210">
        <f>MAX(B1210-C1210,0)*Assumptions!$B$2</f>
        <v>1</v>
      </c>
    </row>
    <row r="1211" spans="1:7" x14ac:dyDescent="0.3">
      <c r="A1211" s="5">
        <f>Raw_Load_Data!A1211</f>
        <v>46229.187500002932</v>
      </c>
      <c r="B1211">
        <f>Raw_Load_Data!B1211</f>
        <v>2.1</v>
      </c>
      <c r="C1211">
        <f>MAX(0,IF(AND(HOUR(A1211)&gt;=6,HOUR(A1211)&lt;=18),Assumptions!$B$8*SIN(PI()*(HOUR(A1211)+MINUTE(A1211)/60-6)/12),0))</f>
        <v>0</v>
      </c>
      <c r="D1211">
        <f t="shared" si="18"/>
        <v>2.1</v>
      </c>
      <c r="E1211">
        <f>MIN(B1211,C1211)*Assumptions!$B$2</f>
        <v>0</v>
      </c>
      <c r="F1211">
        <f>MAX(C1211-B1211,0)*Assumptions!$B$2</f>
        <v>0</v>
      </c>
      <c r="G1211">
        <f>MAX(B1211-C1211,0)*Assumptions!$B$2</f>
        <v>1.05</v>
      </c>
    </row>
    <row r="1212" spans="1:7" x14ac:dyDescent="0.3">
      <c r="A1212" s="5">
        <f>Raw_Load_Data!A1212</f>
        <v>46229.208333336268</v>
      </c>
      <c r="B1212">
        <f>Raw_Load_Data!B1212</f>
        <v>2.7</v>
      </c>
      <c r="C1212">
        <f>MAX(0,IF(AND(HOUR(A1212)&gt;=6,HOUR(A1212)&lt;=18),Assumptions!$B$8*SIN(PI()*(HOUR(A1212)+MINUTE(A1212)/60-6)/12),0))</f>
        <v>0</v>
      </c>
      <c r="D1212">
        <f t="shared" si="18"/>
        <v>2.7</v>
      </c>
      <c r="E1212">
        <f>MIN(B1212,C1212)*Assumptions!$B$2</f>
        <v>0</v>
      </c>
      <c r="F1212">
        <f>MAX(C1212-B1212,0)*Assumptions!$B$2</f>
        <v>0</v>
      </c>
      <c r="G1212">
        <f>MAX(B1212-C1212,0)*Assumptions!$B$2</f>
        <v>1.35</v>
      </c>
    </row>
    <row r="1213" spans="1:7" x14ac:dyDescent="0.3">
      <c r="A1213" s="5">
        <f>Raw_Load_Data!A1213</f>
        <v>46229.229166669604</v>
      </c>
      <c r="B1213">
        <f>Raw_Load_Data!B1213</f>
        <v>2</v>
      </c>
      <c r="C1213">
        <f>MAX(0,IF(AND(HOUR(A1213)&gt;=6,HOUR(A1213)&lt;=18),Assumptions!$B$8*SIN(PI()*(HOUR(A1213)+MINUTE(A1213)/60-6)/12),0))</f>
        <v>0</v>
      </c>
      <c r="D1213">
        <f t="shared" si="18"/>
        <v>2</v>
      </c>
      <c r="E1213">
        <f>MIN(B1213,C1213)*Assumptions!$B$2</f>
        <v>0</v>
      </c>
      <c r="F1213">
        <f>MAX(C1213-B1213,0)*Assumptions!$B$2</f>
        <v>0</v>
      </c>
      <c r="G1213">
        <f>MAX(B1213-C1213,0)*Assumptions!$B$2</f>
        <v>1</v>
      </c>
    </row>
    <row r="1214" spans="1:7" x14ac:dyDescent="0.3">
      <c r="A1214" s="5">
        <f>Raw_Load_Data!A1214</f>
        <v>46229.250000002939</v>
      </c>
      <c r="B1214">
        <f>Raw_Load_Data!B1214</f>
        <v>7.6</v>
      </c>
      <c r="C1214">
        <f>MAX(0,IF(AND(HOUR(A1214)&gt;=6,HOUR(A1214)&lt;=18),Assumptions!$B$8*SIN(PI()*(HOUR(A1214)+MINUTE(A1214)/60-6)/12),0))</f>
        <v>0</v>
      </c>
      <c r="D1214">
        <f t="shared" si="18"/>
        <v>7.6</v>
      </c>
      <c r="E1214">
        <f>MIN(B1214,C1214)*Assumptions!$B$2</f>
        <v>0</v>
      </c>
      <c r="F1214">
        <f>MAX(C1214-B1214,0)*Assumptions!$B$2</f>
        <v>0</v>
      </c>
      <c r="G1214">
        <f>MAX(B1214-C1214,0)*Assumptions!$B$2</f>
        <v>3.8</v>
      </c>
    </row>
    <row r="1215" spans="1:7" x14ac:dyDescent="0.3">
      <c r="A1215" s="5">
        <f>Raw_Load_Data!A1215</f>
        <v>46229.270833336275</v>
      </c>
      <c r="B1215">
        <f>Raw_Load_Data!B1215</f>
        <v>5.2</v>
      </c>
      <c r="C1215">
        <f>MAX(0,IF(AND(HOUR(A1215)&gt;=6,HOUR(A1215)&lt;=18),Assumptions!$B$8*SIN(PI()*(HOUR(A1215)+MINUTE(A1215)/60-6)/12),0))</f>
        <v>3.9157857666015472</v>
      </c>
      <c r="D1215">
        <f t="shared" si="18"/>
        <v>1.284214233398453</v>
      </c>
      <c r="E1215">
        <f>MIN(B1215,C1215)*Assumptions!$B$2</f>
        <v>1.9578928833007736</v>
      </c>
      <c r="F1215">
        <f>MAX(C1215-B1215,0)*Assumptions!$B$2</f>
        <v>0</v>
      </c>
      <c r="G1215">
        <f>MAX(B1215-C1215,0)*Assumptions!$B$2</f>
        <v>0.64210711669922649</v>
      </c>
    </row>
    <row r="1216" spans="1:7" x14ac:dyDescent="0.3">
      <c r="A1216" s="5">
        <f>Raw_Load_Data!A1216</f>
        <v>46229.291666669611</v>
      </c>
      <c r="B1216">
        <f>Raw_Load_Data!B1216</f>
        <v>4.7</v>
      </c>
      <c r="C1216">
        <f>MAX(0,IF(AND(HOUR(A1216)&gt;=6,HOUR(A1216)&lt;=18),Assumptions!$B$8*SIN(PI()*(HOUR(A1216)+MINUTE(A1216)/60-6)/12),0))</f>
        <v>7.7645713530756222</v>
      </c>
      <c r="D1216">
        <f t="shared" si="18"/>
        <v>-3.064571353075622</v>
      </c>
      <c r="E1216">
        <f>MIN(B1216,C1216)*Assumptions!$B$2</f>
        <v>2.35</v>
      </c>
      <c r="F1216">
        <f>MAX(C1216-B1216,0)*Assumptions!$B$2</f>
        <v>1.532285676537811</v>
      </c>
      <c r="G1216">
        <f>MAX(B1216-C1216,0)*Assumptions!$B$2</f>
        <v>0</v>
      </c>
    </row>
    <row r="1217" spans="1:7" x14ac:dyDescent="0.3">
      <c r="A1217" s="5">
        <f>Raw_Load_Data!A1217</f>
        <v>46229.312500002947</v>
      </c>
      <c r="B1217">
        <f>Raw_Load_Data!B1217</f>
        <v>5.0999999999999996</v>
      </c>
      <c r="C1217">
        <f>MAX(0,IF(AND(HOUR(A1217)&gt;=6,HOUR(A1217)&lt;=18),Assumptions!$B$8*SIN(PI()*(HOUR(A1217)+MINUTE(A1217)/60-6)/12),0))</f>
        <v>11.480502970952694</v>
      </c>
      <c r="D1217">
        <f t="shared" si="18"/>
        <v>-6.3805029709526941</v>
      </c>
      <c r="E1217">
        <f>MIN(B1217,C1217)*Assumptions!$B$2</f>
        <v>2.5499999999999998</v>
      </c>
      <c r="F1217">
        <f>MAX(C1217-B1217,0)*Assumptions!$B$2</f>
        <v>3.1902514854763471</v>
      </c>
      <c r="G1217">
        <f>MAX(B1217-C1217,0)*Assumptions!$B$2</f>
        <v>0</v>
      </c>
    </row>
    <row r="1218" spans="1:7" x14ac:dyDescent="0.3">
      <c r="A1218" s="5">
        <f>Raw_Load_Data!A1218</f>
        <v>46229.333333336283</v>
      </c>
      <c r="B1218">
        <f>Raw_Load_Data!B1218</f>
        <v>21.9</v>
      </c>
      <c r="C1218">
        <f>MAX(0,IF(AND(HOUR(A1218)&gt;=6,HOUR(A1218)&lt;=18),Assumptions!$B$8*SIN(PI()*(HOUR(A1218)+MINUTE(A1218)/60-6)/12),0))</f>
        <v>14.999999999999998</v>
      </c>
      <c r="D1218">
        <f t="shared" si="18"/>
        <v>6.9</v>
      </c>
      <c r="E1218">
        <f>MIN(B1218,C1218)*Assumptions!$B$2</f>
        <v>7.4999999999999991</v>
      </c>
      <c r="F1218">
        <f>MAX(C1218-B1218,0)*Assumptions!$B$2</f>
        <v>0</v>
      </c>
      <c r="G1218">
        <f>MAX(B1218-C1218,0)*Assumptions!$B$2</f>
        <v>3.45</v>
      </c>
    </row>
    <row r="1219" spans="1:7" x14ac:dyDescent="0.3">
      <c r="A1219" s="5">
        <f>Raw_Load_Data!A1219</f>
        <v>46229.354166669618</v>
      </c>
      <c r="B1219">
        <f>Raw_Load_Data!B1219</f>
        <v>21.4</v>
      </c>
      <c r="C1219">
        <f>MAX(0,IF(AND(HOUR(A1219)&gt;=6,HOUR(A1219)&lt;=18),Assumptions!$B$8*SIN(PI()*(HOUR(A1219)+MINUTE(A1219)/60-6)/12),0))</f>
        <v>18.262842870261618</v>
      </c>
      <c r="D1219">
        <f t="shared" ref="D1219:D1282" si="19">B1219-C1219</f>
        <v>3.1371571297383802</v>
      </c>
      <c r="E1219">
        <f>MIN(B1219,C1219)*Assumptions!$B$2</f>
        <v>9.1314214351308092</v>
      </c>
      <c r="F1219">
        <f>MAX(C1219-B1219,0)*Assumptions!$B$2</f>
        <v>0</v>
      </c>
      <c r="G1219">
        <f>MAX(B1219-C1219,0)*Assumptions!$B$2</f>
        <v>1.5685785648691901</v>
      </c>
    </row>
    <row r="1220" spans="1:7" x14ac:dyDescent="0.3">
      <c r="A1220" s="5">
        <f>Raw_Load_Data!A1220</f>
        <v>46229.375000002954</v>
      </c>
      <c r="B1220">
        <f>Raw_Load_Data!B1220</f>
        <v>20.399999999999999</v>
      </c>
      <c r="C1220">
        <f>MAX(0,IF(AND(HOUR(A1220)&gt;=6,HOUR(A1220)&lt;=18),Assumptions!$B$8*SIN(PI()*(HOUR(A1220)+MINUTE(A1220)/60-6)/12),0))</f>
        <v>21.213203435596423</v>
      </c>
      <c r="D1220">
        <f t="shared" si="19"/>
        <v>-0.81320343559642438</v>
      </c>
      <c r="E1220">
        <f>MIN(B1220,C1220)*Assumptions!$B$2</f>
        <v>10.199999999999999</v>
      </c>
      <c r="F1220">
        <f>MAX(C1220-B1220,0)*Assumptions!$B$2</f>
        <v>0.40660171779821219</v>
      </c>
      <c r="G1220">
        <f>MAX(B1220-C1220,0)*Assumptions!$B$2</f>
        <v>0</v>
      </c>
    </row>
    <row r="1221" spans="1:7" x14ac:dyDescent="0.3">
      <c r="A1221" s="5">
        <f>Raw_Load_Data!A1221</f>
        <v>46229.39583333629</v>
      </c>
      <c r="B1221">
        <f>Raw_Load_Data!B1221</f>
        <v>13.7</v>
      </c>
      <c r="C1221">
        <f>MAX(0,IF(AND(HOUR(A1221)&gt;=6,HOUR(A1221)&lt;=18),Assumptions!$B$8*SIN(PI()*(HOUR(A1221)+MINUTE(A1221)/60-6)/12),0))</f>
        <v>23.800600208737055</v>
      </c>
      <c r="D1221">
        <f t="shared" si="19"/>
        <v>-10.100600208737056</v>
      </c>
      <c r="E1221">
        <f>MIN(B1221,C1221)*Assumptions!$B$2</f>
        <v>6.85</v>
      </c>
      <c r="F1221">
        <f>MAX(C1221-B1221,0)*Assumptions!$B$2</f>
        <v>5.0503001043685281</v>
      </c>
      <c r="G1221">
        <f>MAX(B1221-C1221,0)*Assumptions!$B$2</f>
        <v>0</v>
      </c>
    </row>
    <row r="1222" spans="1:7" x14ac:dyDescent="0.3">
      <c r="A1222" s="5">
        <f>Raw_Load_Data!A1222</f>
        <v>46229.416666669626</v>
      </c>
      <c r="B1222">
        <f>Raw_Load_Data!B1222</f>
        <v>13.8</v>
      </c>
      <c r="C1222">
        <f>MAX(0,IF(AND(HOUR(A1222)&gt;=6,HOUR(A1222)&lt;=18),Assumptions!$B$8*SIN(PI()*(HOUR(A1222)+MINUTE(A1222)/60-6)/12),0))</f>
        <v>25.980762113533157</v>
      </c>
      <c r="D1222">
        <f t="shared" si="19"/>
        <v>-12.180762113533156</v>
      </c>
      <c r="E1222">
        <f>MIN(B1222,C1222)*Assumptions!$B$2</f>
        <v>6.9</v>
      </c>
      <c r="F1222">
        <f>MAX(C1222-B1222,0)*Assumptions!$B$2</f>
        <v>6.0903810567665779</v>
      </c>
      <c r="G1222">
        <f>MAX(B1222-C1222,0)*Assumptions!$B$2</f>
        <v>0</v>
      </c>
    </row>
    <row r="1223" spans="1:7" x14ac:dyDescent="0.3">
      <c r="A1223" s="5">
        <f>Raw_Load_Data!A1223</f>
        <v>46229.437500002961</v>
      </c>
      <c r="B1223">
        <f>Raw_Load_Data!B1223</f>
        <v>18.899999999999999</v>
      </c>
      <c r="C1223">
        <f>MAX(0,IF(AND(HOUR(A1223)&gt;=6,HOUR(A1223)&lt;=18),Assumptions!$B$8*SIN(PI()*(HOUR(A1223)+MINUTE(A1223)/60-6)/12),0))</f>
        <v>27.716385975338603</v>
      </c>
      <c r="D1223">
        <f t="shared" si="19"/>
        <v>-8.8163859753386049</v>
      </c>
      <c r="E1223">
        <f>MIN(B1223,C1223)*Assumptions!$B$2</f>
        <v>9.4499999999999993</v>
      </c>
      <c r="F1223">
        <f>MAX(C1223-B1223,0)*Assumptions!$B$2</f>
        <v>4.4081929876693025</v>
      </c>
      <c r="G1223">
        <f>MAX(B1223-C1223,0)*Assumptions!$B$2</f>
        <v>0</v>
      </c>
    </row>
    <row r="1224" spans="1:7" x14ac:dyDescent="0.3">
      <c r="A1224" s="5">
        <f>Raw_Load_Data!A1224</f>
        <v>46229.458333336297</v>
      </c>
      <c r="B1224">
        <f>Raw_Load_Data!B1224</f>
        <v>21.1</v>
      </c>
      <c r="C1224">
        <f>MAX(0,IF(AND(HOUR(A1224)&gt;=6,HOUR(A1224)&lt;=18),Assumptions!$B$8*SIN(PI()*(HOUR(A1224)+MINUTE(A1224)/60-6)/12),0))</f>
        <v>28.97777478867205</v>
      </c>
      <c r="D1224">
        <f t="shared" si="19"/>
        <v>-7.8777747886720491</v>
      </c>
      <c r="E1224">
        <f>MIN(B1224,C1224)*Assumptions!$B$2</f>
        <v>10.55</v>
      </c>
      <c r="F1224">
        <f>MAX(C1224-B1224,0)*Assumptions!$B$2</f>
        <v>3.9388873943360245</v>
      </c>
      <c r="G1224">
        <f>MAX(B1224-C1224,0)*Assumptions!$B$2</f>
        <v>0</v>
      </c>
    </row>
    <row r="1225" spans="1:7" x14ac:dyDescent="0.3">
      <c r="A1225" s="5">
        <f>Raw_Load_Data!A1225</f>
        <v>46229.479166669633</v>
      </c>
      <c r="B1225">
        <f>Raw_Load_Data!B1225</f>
        <v>15.8</v>
      </c>
      <c r="C1225">
        <f>MAX(0,IF(AND(HOUR(A1225)&gt;=6,HOUR(A1225)&lt;=18),Assumptions!$B$8*SIN(PI()*(HOUR(A1225)+MINUTE(A1225)/60-6)/12),0))</f>
        <v>29.74334584121431</v>
      </c>
      <c r="D1225">
        <f t="shared" si="19"/>
        <v>-13.94334584121431</v>
      </c>
      <c r="E1225">
        <f>MIN(B1225,C1225)*Assumptions!$B$2</f>
        <v>7.9</v>
      </c>
      <c r="F1225">
        <f>MAX(C1225-B1225,0)*Assumptions!$B$2</f>
        <v>6.9716729206071548</v>
      </c>
      <c r="G1225">
        <f>MAX(B1225-C1225,0)*Assumptions!$B$2</f>
        <v>0</v>
      </c>
    </row>
    <row r="1226" spans="1:7" x14ac:dyDescent="0.3">
      <c r="A1226" s="5">
        <f>Raw_Load_Data!A1226</f>
        <v>46229.500000002969</v>
      </c>
      <c r="B1226">
        <f>Raw_Load_Data!B1226</f>
        <v>26.7</v>
      </c>
      <c r="C1226">
        <f>MAX(0,IF(AND(HOUR(A1226)&gt;=6,HOUR(A1226)&lt;=18),Assumptions!$B$8*SIN(PI()*(HOUR(A1226)+MINUTE(A1226)/60-6)/12),0))</f>
        <v>30</v>
      </c>
      <c r="D1226">
        <f t="shared" si="19"/>
        <v>-3.3000000000000007</v>
      </c>
      <c r="E1226">
        <f>MIN(B1226,C1226)*Assumptions!$B$2</f>
        <v>13.35</v>
      </c>
      <c r="F1226">
        <f>MAX(C1226-B1226,0)*Assumptions!$B$2</f>
        <v>1.6500000000000004</v>
      </c>
      <c r="G1226">
        <f>MAX(B1226-C1226,0)*Assumptions!$B$2</f>
        <v>0</v>
      </c>
    </row>
    <row r="1227" spans="1:7" x14ac:dyDescent="0.3">
      <c r="A1227" s="5">
        <f>Raw_Load_Data!A1227</f>
        <v>46229.520833336304</v>
      </c>
      <c r="B1227">
        <f>Raw_Load_Data!B1227</f>
        <v>31.5</v>
      </c>
      <c r="C1227">
        <f>MAX(0,IF(AND(HOUR(A1227)&gt;=6,HOUR(A1227)&lt;=18),Assumptions!$B$8*SIN(PI()*(HOUR(A1227)+MINUTE(A1227)/60-6)/12),0))</f>
        <v>29.74334584121431</v>
      </c>
      <c r="D1227">
        <f t="shared" si="19"/>
        <v>1.7566541587856896</v>
      </c>
      <c r="E1227">
        <f>MIN(B1227,C1227)*Assumptions!$B$2</f>
        <v>14.871672920607155</v>
      </c>
      <c r="F1227">
        <f>MAX(C1227-B1227,0)*Assumptions!$B$2</f>
        <v>0</v>
      </c>
      <c r="G1227">
        <f>MAX(B1227-C1227,0)*Assumptions!$B$2</f>
        <v>0.87832707939284482</v>
      </c>
    </row>
    <row r="1228" spans="1:7" x14ac:dyDescent="0.3">
      <c r="A1228" s="5">
        <f>Raw_Load_Data!A1228</f>
        <v>46229.54166666964</v>
      </c>
      <c r="B1228">
        <f>Raw_Load_Data!B1228</f>
        <v>29.1</v>
      </c>
      <c r="C1228">
        <f>MAX(0,IF(AND(HOUR(A1228)&gt;=6,HOUR(A1228)&lt;=18),Assumptions!$B$8*SIN(PI()*(HOUR(A1228)+MINUTE(A1228)/60-6)/12),0))</f>
        <v>28.97777478867205</v>
      </c>
      <c r="D1228">
        <f t="shared" si="19"/>
        <v>0.12222521132795094</v>
      </c>
      <c r="E1228">
        <f>MIN(B1228,C1228)*Assumptions!$B$2</f>
        <v>14.488887394336025</v>
      </c>
      <c r="F1228">
        <f>MAX(C1228-B1228,0)*Assumptions!$B$2</f>
        <v>0</v>
      </c>
      <c r="G1228">
        <f>MAX(B1228-C1228,0)*Assumptions!$B$2</f>
        <v>6.1112605663975472E-2</v>
      </c>
    </row>
    <row r="1229" spans="1:7" x14ac:dyDescent="0.3">
      <c r="A1229" s="5">
        <f>Raw_Load_Data!A1229</f>
        <v>46229.562500002976</v>
      </c>
      <c r="B1229">
        <f>Raw_Load_Data!B1229</f>
        <v>32.9</v>
      </c>
      <c r="C1229">
        <f>MAX(0,IF(AND(HOUR(A1229)&gt;=6,HOUR(A1229)&lt;=18),Assumptions!$B$8*SIN(PI()*(HOUR(A1229)+MINUTE(A1229)/60-6)/12),0))</f>
        <v>27.716385975338607</v>
      </c>
      <c r="D1229">
        <f t="shared" si="19"/>
        <v>5.1836140246613915</v>
      </c>
      <c r="E1229">
        <f>MIN(B1229,C1229)*Assumptions!$B$2</f>
        <v>13.858192987669304</v>
      </c>
      <c r="F1229">
        <f>MAX(C1229-B1229,0)*Assumptions!$B$2</f>
        <v>0</v>
      </c>
      <c r="G1229">
        <f>MAX(B1229-C1229,0)*Assumptions!$B$2</f>
        <v>2.5918070123306958</v>
      </c>
    </row>
    <row r="1230" spans="1:7" x14ac:dyDescent="0.3">
      <c r="A1230" s="5">
        <f>Raw_Load_Data!A1230</f>
        <v>46229.583333336312</v>
      </c>
      <c r="B1230">
        <f>Raw_Load_Data!B1230</f>
        <v>33.200000000000003</v>
      </c>
      <c r="C1230">
        <f>MAX(0,IF(AND(HOUR(A1230)&gt;=6,HOUR(A1230)&lt;=18),Assumptions!$B$8*SIN(PI()*(HOUR(A1230)+MINUTE(A1230)/60-6)/12),0))</f>
        <v>25.98076211353316</v>
      </c>
      <c r="D1230">
        <f t="shared" si="19"/>
        <v>7.2192378864668427</v>
      </c>
      <c r="E1230">
        <f>MIN(B1230,C1230)*Assumptions!$B$2</f>
        <v>12.99038105676658</v>
      </c>
      <c r="F1230">
        <f>MAX(C1230-B1230,0)*Assumptions!$B$2</f>
        <v>0</v>
      </c>
      <c r="G1230">
        <f>MAX(B1230-C1230,0)*Assumptions!$B$2</f>
        <v>3.6096189432334214</v>
      </c>
    </row>
    <row r="1231" spans="1:7" x14ac:dyDescent="0.3">
      <c r="A1231" s="5">
        <f>Raw_Load_Data!A1231</f>
        <v>46229.604166669647</v>
      </c>
      <c r="B1231">
        <f>Raw_Load_Data!B1231</f>
        <v>32</v>
      </c>
      <c r="C1231">
        <f>MAX(0,IF(AND(HOUR(A1231)&gt;=6,HOUR(A1231)&lt;=18),Assumptions!$B$8*SIN(PI()*(HOUR(A1231)+MINUTE(A1231)/60-6)/12),0))</f>
        <v>23.800600208737055</v>
      </c>
      <c r="D1231">
        <f t="shared" si="19"/>
        <v>8.1993997912629446</v>
      </c>
      <c r="E1231">
        <f>MIN(B1231,C1231)*Assumptions!$B$2</f>
        <v>11.900300104368528</v>
      </c>
      <c r="F1231">
        <f>MAX(C1231-B1231,0)*Assumptions!$B$2</f>
        <v>0</v>
      </c>
      <c r="G1231">
        <f>MAX(B1231-C1231,0)*Assumptions!$B$2</f>
        <v>4.0996998956314723</v>
      </c>
    </row>
    <row r="1232" spans="1:7" x14ac:dyDescent="0.3">
      <c r="A1232" s="5">
        <f>Raw_Load_Data!A1232</f>
        <v>46229.625000002983</v>
      </c>
      <c r="B1232">
        <f>Raw_Load_Data!B1232</f>
        <v>32.299999999999997</v>
      </c>
      <c r="C1232">
        <f>MAX(0,IF(AND(HOUR(A1232)&gt;=6,HOUR(A1232)&lt;=18),Assumptions!$B$8*SIN(PI()*(HOUR(A1232)+MINUTE(A1232)/60-6)/12),0))</f>
        <v>21.213203435596427</v>
      </c>
      <c r="D1232">
        <f t="shared" si="19"/>
        <v>11.086796564403571</v>
      </c>
      <c r="E1232">
        <f>MIN(B1232,C1232)*Assumptions!$B$2</f>
        <v>10.606601717798213</v>
      </c>
      <c r="F1232">
        <f>MAX(C1232-B1232,0)*Assumptions!$B$2</f>
        <v>0</v>
      </c>
      <c r="G1232">
        <f>MAX(B1232-C1232,0)*Assumptions!$B$2</f>
        <v>5.5433982822017853</v>
      </c>
    </row>
    <row r="1233" spans="1:7" x14ac:dyDescent="0.3">
      <c r="A1233" s="5">
        <f>Raw_Load_Data!A1233</f>
        <v>46229.645833336319</v>
      </c>
      <c r="B1233">
        <f>Raw_Load_Data!B1233</f>
        <v>22.1</v>
      </c>
      <c r="C1233">
        <f>MAX(0,IF(AND(HOUR(A1233)&gt;=6,HOUR(A1233)&lt;=18),Assumptions!$B$8*SIN(PI()*(HOUR(A1233)+MINUTE(A1233)/60-6)/12),0))</f>
        <v>18.262842870261625</v>
      </c>
      <c r="D1233">
        <f t="shared" si="19"/>
        <v>3.837157129738376</v>
      </c>
      <c r="E1233">
        <f>MIN(B1233,C1233)*Assumptions!$B$2</f>
        <v>9.1314214351308127</v>
      </c>
      <c r="F1233">
        <f>MAX(C1233-B1233,0)*Assumptions!$B$2</f>
        <v>0</v>
      </c>
      <c r="G1233">
        <f>MAX(B1233-C1233,0)*Assumptions!$B$2</f>
        <v>1.918578564869188</v>
      </c>
    </row>
    <row r="1234" spans="1:7" x14ac:dyDescent="0.3">
      <c r="A1234" s="5">
        <f>Raw_Load_Data!A1234</f>
        <v>46229.666666669655</v>
      </c>
      <c r="B1234">
        <f>Raw_Load_Data!B1234</f>
        <v>13</v>
      </c>
      <c r="C1234">
        <f>MAX(0,IF(AND(HOUR(A1234)&gt;=6,HOUR(A1234)&lt;=18),Assumptions!$B$8*SIN(PI()*(HOUR(A1234)+MINUTE(A1234)/60-6)/12),0))</f>
        <v>14.999999999999998</v>
      </c>
      <c r="D1234">
        <f t="shared" si="19"/>
        <v>-1.9999999999999982</v>
      </c>
      <c r="E1234">
        <f>MIN(B1234,C1234)*Assumptions!$B$2</f>
        <v>6.5</v>
      </c>
      <c r="F1234">
        <f>MAX(C1234-B1234,0)*Assumptions!$B$2</f>
        <v>0.99999999999999911</v>
      </c>
      <c r="G1234">
        <f>MAX(B1234-C1234,0)*Assumptions!$B$2</f>
        <v>0</v>
      </c>
    </row>
    <row r="1235" spans="1:7" x14ac:dyDescent="0.3">
      <c r="A1235" s="5">
        <f>Raw_Load_Data!A1235</f>
        <v>46229.68750000299</v>
      </c>
      <c r="B1235">
        <f>Raw_Load_Data!B1235</f>
        <v>19.100000000000001</v>
      </c>
      <c r="C1235">
        <f>MAX(0,IF(AND(HOUR(A1235)&gt;=6,HOUR(A1235)&lt;=18),Assumptions!$B$8*SIN(PI()*(HOUR(A1235)+MINUTE(A1235)/60-6)/12),0))</f>
        <v>11.480502970952697</v>
      </c>
      <c r="D1235">
        <f t="shared" si="19"/>
        <v>7.6194970290473041</v>
      </c>
      <c r="E1235">
        <f>MIN(B1235,C1235)*Assumptions!$B$2</f>
        <v>5.7402514854763487</v>
      </c>
      <c r="F1235">
        <f>MAX(C1235-B1235,0)*Assumptions!$B$2</f>
        <v>0</v>
      </c>
      <c r="G1235">
        <f>MAX(B1235-C1235,0)*Assumptions!$B$2</f>
        <v>3.809748514523652</v>
      </c>
    </row>
    <row r="1236" spans="1:7" x14ac:dyDescent="0.3">
      <c r="A1236" s="5">
        <f>Raw_Load_Data!A1236</f>
        <v>46229.708333336326</v>
      </c>
      <c r="B1236">
        <f>Raw_Load_Data!B1236</f>
        <v>10.6</v>
      </c>
      <c r="C1236">
        <f>MAX(0,IF(AND(HOUR(A1236)&gt;=6,HOUR(A1236)&lt;=18),Assumptions!$B$8*SIN(PI()*(HOUR(A1236)+MINUTE(A1236)/60-6)/12),0))</f>
        <v>7.7645713530756302</v>
      </c>
      <c r="D1236">
        <f t="shared" si="19"/>
        <v>2.8354286469243695</v>
      </c>
      <c r="E1236">
        <f>MIN(B1236,C1236)*Assumptions!$B$2</f>
        <v>3.8822856765378151</v>
      </c>
      <c r="F1236">
        <f>MAX(C1236-B1236,0)*Assumptions!$B$2</f>
        <v>0</v>
      </c>
      <c r="G1236">
        <f>MAX(B1236-C1236,0)*Assumptions!$B$2</f>
        <v>1.4177143234621847</v>
      </c>
    </row>
    <row r="1237" spans="1:7" x14ac:dyDescent="0.3">
      <c r="A1237" s="5">
        <f>Raw_Load_Data!A1237</f>
        <v>46229.729166669662</v>
      </c>
      <c r="B1237">
        <f>Raw_Load_Data!B1237</f>
        <v>15.3</v>
      </c>
      <c r="C1237">
        <f>MAX(0,IF(AND(HOUR(A1237)&gt;=6,HOUR(A1237)&lt;=18),Assumptions!$B$8*SIN(PI()*(HOUR(A1237)+MINUTE(A1237)/60-6)/12),0))</f>
        <v>3.9157857666015596</v>
      </c>
      <c r="D1237">
        <f t="shared" si="19"/>
        <v>11.384214233398442</v>
      </c>
      <c r="E1237">
        <f>MIN(B1237,C1237)*Assumptions!$B$2</f>
        <v>1.9578928833007798</v>
      </c>
      <c r="F1237">
        <f>MAX(C1237-B1237,0)*Assumptions!$B$2</f>
        <v>0</v>
      </c>
      <c r="G1237">
        <f>MAX(B1237-C1237,0)*Assumptions!$B$2</f>
        <v>5.692107116699221</v>
      </c>
    </row>
    <row r="1238" spans="1:7" x14ac:dyDescent="0.3">
      <c r="A1238" s="5">
        <f>Raw_Load_Data!A1238</f>
        <v>46229.750000002998</v>
      </c>
      <c r="B1238">
        <f>Raw_Load_Data!B1238</f>
        <v>12.4</v>
      </c>
      <c r="C1238">
        <f>MAX(0,IF(AND(HOUR(A1238)&gt;=6,HOUR(A1238)&lt;=18),Assumptions!$B$8*SIN(PI()*(HOUR(A1238)+MINUTE(A1238)/60-6)/12),0))</f>
        <v>3.67544536472586E-15</v>
      </c>
      <c r="D1238">
        <f t="shared" si="19"/>
        <v>12.399999999999997</v>
      </c>
      <c r="E1238">
        <f>MIN(B1238,C1238)*Assumptions!$B$2</f>
        <v>1.83772268236293E-15</v>
      </c>
      <c r="F1238">
        <f>MAX(C1238-B1238,0)*Assumptions!$B$2</f>
        <v>0</v>
      </c>
      <c r="G1238">
        <f>MAX(B1238-C1238,0)*Assumptions!$B$2</f>
        <v>6.1999999999999984</v>
      </c>
    </row>
    <row r="1239" spans="1:7" x14ac:dyDescent="0.3">
      <c r="A1239" s="5">
        <f>Raw_Load_Data!A1239</f>
        <v>46229.770833336333</v>
      </c>
      <c r="B1239">
        <f>Raw_Load_Data!B1239</f>
        <v>16.8</v>
      </c>
      <c r="C1239">
        <f>MAX(0,IF(AND(HOUR(A1239)&gt;=6,HOUR(A1239)&lt;=18),Assumptions!$B$8*SIN(PI()*(HOUR(A1239)+MINUTE(A1239)/60-6)/12),0))</f>
        <v>0</v>
      </c>
      <c r="D1239">
        <f t="shared" si="19"/>
        <v>16.8</v>
      </c>
      <c r="E1239">
        <f>MIN(B1239,C1239)*Assumptions!$B$2</f>
        <v>0</v>
      </c>
      <c r="F1239">
        <f>MAX(C1239-B1239,0)*Assumptions!$B$2</f>
        <v>0</v>
      </c>
      <c r="G1239">
        <f>MAX(B1239-C1239,0)*Assumptions!$B$2</f>
        <v>8.4</v>
      </c>
    </row>
    <row r="1240" spans="1:7" x14ac:dyDescent="0.3">
      <c r="A1240" s="5">
        <f>Raw_Load_Data!A1240</f>
        <v>46229.791666669669</v>
      </c>
      <c r="B1240">
        <f>Raw_Load_Data!B1240</f>
        <v>3</v>
      </c>
      <c r="C1240">
        <f>MAX(0,IF(AND(HOUR(A1240)&gt;=6,HOUR(A1240)&lt;=18),Assumptions!$B$8*SIN(PI()*(HOUR(A1240)+MINUTE(A1240)/60-6)/12),0))</f>
        <v>0</v>
      </c>
      <c r="D1240">
        <f t="shared" si="19"/>
        <v>3</v>
      </c>
      <c r="E1240">
        <f>MIN(B1240,C1240)*Assumptions!$B$2</f>
        <v>0</v>
      </c>
      <c r="F1240">
        <f>MAX(C1240-B1240,0)*Assumptions!$B$2</f>
        <v>0</v>
      </c>
      <c r="G1240">
        <f>MAX(B1240-C1240,0)*Assumptions!$B$2</f>
        <v>1.5</v>
      </c>
    </row>
    <row r="1241" spans="1:7" x14ac:dyDescent="0.3">
      <c r="A1241" s="5">
        <f>Raw_Load_Data!A1241</f>
        <v>46229.812500003005</v>
      </c>
      <c r="B1241">
        <f>Raw_Load_Data!B1241</f>
        <v>6.5</v>
      </c>
      <c r="C1241">
        <f>MAX(0,IF(AND(HOUR(A1241)&gt;=6,HOUR(A1241)&lt;=18),Assumptions!$B$8*SIN(PI()*(HOUR(A1241)+MINUTE(A1241)/60-6)/12),0))</f>
        <v>0</v>
      </c>
      <c r="D1241">
        <f t="shared" si="19"/>
        <v>6.5</v>
      </c>
      <c r="E1241">
        <f>MIN(B1241,C1241)*Assumptions!$B$2</f>
        <v>0</v>
      </c>
      <c r="F1241">
        <f>MAX(C1241-B1241,0)*Assumptions!$B$2</f>
        <v>0</v>
      </c>
      <c r="G1241">
        <f>MAX(B1241-C1241,0)*Assumptions!$B$2</f>
        <v>3.25</v>
      </c>
    </row>
    <row r="1242" spans="1:7" x14ac:dyDescent="0.3">
      <c r="A1242" s="5">
        <f>Raw_Load_Data!A1242</f>
        <v>46229.833333336341</v>
      </c>
      <c r="B1242">
        <f>Raw_Load_Data!B1242</f>
        <v>7.3</v>
      </c>
      <c r="C1242">
        <f>MAX(0,IF(AND(HOUR(A1242)&gt;=6,HOUR(A1242)&lt;=18),Assumptions!$B$8*SIN(PI()*(HOUR(A1242)+MINUTE(A1242)/60-6)/12),0))</f>
        <v>0</v>
      </c>
      <c r="D1242">
        <f t="shared" si="19"/>
        <v>7.3</v>
      </c>
      <c r="E1242">
        <f>MIN(B1242,C1242)*Assumptions!$B$2</f>
        <v>0</v>
      </c>
      <c r="F1242">
        <f>MAX(C1242-B1242,0)*Assumptions!$B$2</f>
        <v>0</v>
      </c>
      <c r="G1242">
        <f>MAX(B1242-C1242,0)*Assumptions!$B$2</f>
        <v>3.65</v>
      </c>
    </row>
    <row r="1243" spans="1:7" x14ac:dyDescent="0.3">
      <c r="A1243" s="5">
        <f>Raw_Load_Data!A1243</f>
        <v>46229.854166669676</v>
      </c>
      <c r="B1243">
        <f>Raw_Load_Data!B1243</f>
        <v>3</v>
      </c>
      <c r="C1243">
        <f>MAX(0,IF(AND(HOUR(A1243)&gt;=6,HOUR(A1243)&lt;=18),Assumptions!$B$8*SIN(PI()*(HOUR(A1243)+MINUTE(A1243)/60-6)/12),0))</f>
        <v>0</v>
      </c>
      <c r="D1243">
        <f t="shared" si="19"/>
        <v>3</v>
      </c>
      <c r="E1243">
        <f>MIN(B1243,C1243)*Assumptions!$B$2</f>
        <v>0</v>
      </c>
      <c r="F1243">
        <f>MAX(C1243-B1243,0)*Assumptions!$B$2</f>
        <v>0</v>
      </c>
      <c r="G1243">
        <f>MAX(B1243-C1243,0)*Assumptions!$B$2</f>
        <v>1.5</v>
      </c>
    </row>
    <row r="1244" spans="1:7" x14ac:dyDescent="0.3">
      <c r="A1244" s="5">
        <f>Raw_Load_Data!A1244</f>
        <v>46229.875000003012</v>
      </c>
      <c r="B1244">
        <f>Raw_Load_Data!B1244</f>
        <v>4.4000000000000004</v>
      </c>
      <c r="C1244">
        <f>MAX(0,IF(AND(HOUR(A1244)&gt;=6,HOUR(A1244)&lt;=18),Assumptions!$B$8*SIN(PI()*(HOUR(A1244)+MINUTE(A1244)/60-6)/12),0))</f>
        <v>0</v>
      </c>
      <c r="D1244">
        <f t="shared" si="19"/>
        <v>4.4000000000000004</v>
      </c>
      <c r="E1244">
        <f>MIN(B1244,C1244)*Assumptions!$B$2</f>
        <v>0</v>
      </c>
      <c r="F1244">
        <f>MAX(C1244-B1244,0)*Assumptions!$B$2</f>
        <v>0</v>
      </c>
      <c r="G1244">
        <f>MAX(B1244-C1244,0)*Assumptions!$B$2</f>
        <v>2.2000000000000002</v>
      </c>
    </row>
    <row r="1245" spans="1:7" x14ac:dyDescent="0.3">
      <c r="A1245" s="5">
        <f>Raw_Load_Data!A1245</f>
        <v>46229.895833336348</v>
      </c>
      <c r="B1245">
        <f>Raw_Load_Data!B1245</f>
        <v>6.4</v>
      </c>
      <c r="C1245">
        <f>MAX(0,IF(AND(HOUR(A1245)&gt;=6,HOUR(A1245)&lt;=18),Assumptions!$B$8*SIN(PI()*(HOUR(A1245)+MINUTE(A1245)/60-6)/12),0))</f>
        <v>0</v>
      </c>
      <c r="D1245">
        <f t="shared" si="19"/>
        <v>6.4</v>
      </c>
      <c r="E1245">
        <f>MIN(B1245,C1245)*Assumptions!$B$2</f>
        <v>0</v>
      </c>
      <c r="F1245">
        <f>MAX(C1245-B1245,0)*Assumptions!$B$2</f>
        <v>0</v>
      </c>
      <c r="G1245">
        <f>MAX(B1245-C1245,0)*Assumptions!$B$2</f>
        <v>3.2</v>
      </c>
    </row>
    <row r="1246" spans="1:7" x14ac:dyDescent="0.3">
      <c r="A1246" s="5">
        <f>Raw_Load_Data!A1246</f>
        <v>46229.916666669684</v>
      </c>
      <c r="B1246">
        <f>Raw_Load_Data!B1246</f>
        <v>5.7</v>
      </c>
      <c r="C1246">
        <f>MAX(0,IF(AND(HOUR(A1246)&gt;=6,HOUR(A1246)&lt;=18),Assumptions!$B$8*SIN(PI()*(HOUR(A1246)+MINUTE(A1246)/60-6)/12),0))</f>
        <v>0</v>
      </c>
      <c r="D1246">
        <f t="shared" si="19"/>
        <v>5.7</v>
      </c>
      <c r="E1246">
        <f>MIN(B1246,C1246)*Assumptions!$B$2</f>
        <v>0</v>
      </c>
      <c r="F1246">
        <f>MAX(C1246-B1246,0)*Assumptions!$B$2</f>
        <v>0</v>
      </c>
      <c r="G1246">
        <f>MAX(B1246-C1246,0)*Assumptions!$B$2</f>
        <v>2.85</v>
      </c>
    </row>
    <row r="1247" spans="1:7" x14ac:dyDescent="0.3">
      <c r="A1247" s="5">
        <f>Raw_Load_Data!A1247</f>
        <v>46229.93750000302</v>
      </c>
      <c r="B1247">
        <f>Raw_Load_Data!B1247</f>
        <v>5.3</v>
      </c>
      <c r="C1247">
        <f>MAX(0,IF(AND(HOUR(A1247)&gt;=6,HOUR(A1247)&lt;=18),Assumptions!$B$8*SIN(PI()*(HOUR(A1247)+MINUTE(A1247)/60-6)/12),0))</f>
        <v>0</v>
      </c>
      <c r="D1247">
        <f t="shared" si="19"/>
        <v>5.3</v>
      </c>
      <c r="E1247">
        <f>MIN(B1247,C1247)*Assumptions!$B$2</f>
        <v>0</v>
      </c>
      <c r="F1247">
        <f>MAX(C1247-B1247,0)*Assumptions!$B$2</f>
        <v>0</v>
      </c>
      <c r="G1247">
        <f>MAX(B1247-C1247,0)*Assumptions!$B$2</f>
        <v>2.65</v>
      </c>
    </row>
    <row r="1248" spans="1:7" x14ac:dyDescent="0.3">
      <c r="A1248" s="5">
        <f>Raw_Load_Data!A1248</f>
        <v>46229.958333336355</v>
      </c>
      <c r="B1248">
        <f>Raw_Load_Data!B1248</f>
        <v>4.7</v>
      </c>
      <c r="C1248">
        <f>MAX(0,IF(AND(HOUR(A1248)&gt;=6,HOUR(A1248)&lt;=18),Assumptions!$B$8*SIN(PI()*(HOUR(A1248)+MINUTE(A1248)/60-6)/12),0))</f>
        <v>0</v>
      </c>
      <c r="D1248">
        <f t="shared" si="19"/>
        <v>4.7</v>
      </c>
      <c r="E1248">
        <f>MIN(B1248,C1248)*Assumptions!$B$2</f>
        <v>0</v>
      </c>
      <c r="F1248">
        <f>MAX(C1248-B1248,0)*Assumptions!$B$2</f>
        <v>0</v>
      </c>
      <c r="G1248">
        <f>MAX(B1248-C1248,0)*Assumptions!$B$2</f>
        <v>2.35</v>
      </c>
    </row>
    <row r="1249" spans="1:7" x14ac:dyDescent="0.3">
      <c r="A1249" s="5">
        <f>Raw_Load_Data!A1249</f>
        <v>46229.979166669691</v>
      </c>
      <c r="B1249">
        <f>Raw_Load_Data!B1249</f>
        <v>4.5999999999999996</v>
      </c>
      <c r="C1249">
        <f>MAX(0,IF(AND(HOUR(A1249)&gt;=6,HOUR(A1249)&lt;=18),Assumptions!$B$8*SIN(PI()*(HOUR(A1249)+MINUTE(A1249)/60-6)/12),0))</f>
        <v>0</v>
      </c>
      <c r="D1249">
        <f t="shared" si="19"/>
        <v>4.5999999999999996</v>
      </c>
      <c r="E1249">
        <f>MIN(B1249,C1249)*Assumptions!$B$2</f>
        <v>0</v>
      </c>
      <c r="F1249">
        <f>MAX(C1249-B1249,0)*Assumptions!$B$2</f>
        <v>0</v>
      </c>
      <c r="G1249">
        <f>MAX(B1249-C1249,0)*Assumptions!$B$2</f>
        <v>2.2999999999999998</v>
      </c>
    </row>
    <row r="1250" spans="1:7" x14ac:dyDescent="0.3">
      <c r="A1250" s="5">
        <f>Raw_Load_Data!A1250</f>
        <v>46230.000000003027</v>
      </c>
      <c r="B1250">
        <f>Raw_Load_Data!B1250</f>
        <v>1.8</v>
      </c>
      <c r="C1250">
        <f>MAX(0,IF(AND(HOUR(A1250)&gt;=6,HOUR(A1250)&lt;=18),Assumptions!$B$8*SIN(PI()*(HOUR(A1250)+MINUTE(A1250)/60-6)/12),0))</f>
        <v>0</v>
      </c>
      <c r="D1250">
        <f t="shared" si="19"/>
        <v>1.8</v>
      </c>
      <c r="E1250">
        <f>MIN(B1250,C1250)*Assumptions!$B$2</f>
        <v>0</v>
      </c>
      <c r="F1250">
        <f>MAX(C1250-B1250,0)*Assumptions!$B$2</f>
        <v>0</v>
      </c>
      <c r="G1250">
        <f>MAX(B1250-C1250,0)*Assumptions!$B$2</f>
        <v>0.9</v>
      </c>
    </row>
    <row r="1251" spans="1:7" x14ac:dyDescent="0.3">
      <c r="A1251" s="5">
        <f>Raw_Load_Data!A1251</f>
        <v>46230.020833336363</v>
      </c>
      <c r="B1251">
        <f>Raw_Load_Data!B1251</f>
        <v>1.8</v>
      </c>
      <c r="C1251">
        <f>MAX(0,IF(AND(HOUR(A1251)&gt;=6,HOUR(A1251)&lt;=18),Assumptions!$B$8*SIN(PI()*(HOUR(A1251)+MINUTE(A1251)/60-6)/12),0))</f>
        <v>0</v>
      </c>
      <c r="D1251">
        <f t="shared" si="19"/>
        <v>1.8</v>
      </c>
      <c r="E1251">
        <f>MIN(B1251,C1251)*Assumptions!$B$2</f>
        <v>0</v>
      </c>
      <c r="F1251">
        <f>MAX(C1251-B1251,0)*Assumptions!$B$2</f>
        <v>0</v>
      </c>
      <c r="G1251">
        <f>MAX(B1251-C1251,0)*Assumptions!$B$2</f>
        <v>0.9</v>
      </c>
    </row>
    <row r="1252" spans="1:7" x14ac:dyDescent="0.3">
      <c r="A1252" s="5">
        <f>Raw_Load_Data!A1252</f>
        <v>46230.041666669698</v>
      </c>
      <c r="B1252">
        <f>Raw_Load_Data!B1252</f>
        <v>2.8</v>
      </c>
      <c r="C1252">
        <f>MAX(0,IF(AND(HOUR(A1252)&gt;=6,HOUR(A1252)&lt;=18),Assumptions!$B$8*SIN(PI()*(HOUR(A1252)+MINUTE(A1252)/60-6)/12),0))</f>
        <v>0</v>
      </c>
      <c r="D1252">
        <f t="shared" si="19"/>
        <v>2.8</v>
      </c>
      <c r="E1252">
        <f>MIN(B1252,C1252)*Assumptions!$B$2</f>
        <v>0</v>
      </c>
      <c r="F1252">
        <f>MAX(C1252-B1252,0)*Assumptions!$B$2</f>
        <v>0</v>
      </c>
      <c r="G1252">
        <f>MAX(B1252-C1252,0)*Assumptions!$B$2</f>
        <v>1.4</v>
      </c>
    </row>
    <row r="1253" spans="1:7" x14ac:dyDescent="0.3">
      <c r="A1253" s="5">
        <f>Raw_Load_Data!A1253</f>
        <v>46230.062500003034</v>
      </c>
      <c r="B1253">
        <f>Raw_Load_Data!B1253</f>
        <v>2.6</v>
      </c>
      <c r="C1253">
        <f>MAX(0,IF(AND(HOUR(A1253)&gt;=6,HOUR(A1253)&lt;=18),Assumptions!$B$8*SIN(PI()*(HOUR(A1253)+MINUTE(A1253)/60-6)/12),0))</f>
        <v>0</v>
      </c>
      <c r="D1253">
        <f t="shared" si="19"/>
        <v>2.6</v>
      </c>
      <c r="E1253">
        <f>MIN(B1253,C1253)*Assumptions!$B$2</f>
        <v>0</v>
      </c>
      <c r="F1253">
        <f>MAX(C1253-B1253,0)*Assumptions!$B$2</f>
        <v>0</v>
      </c>
      <c r="G1253">
        <f>MAX(B1253-C1253,0)*Assumptions!$B$2</f>
        <v>1.3</v>
      </c>
    </row>
    <row r="1254" spans="1:7" x14ac:dyDescent="0.3">
      <c r="A1254" s="5">
        <f>Raw_Load_Data!A1254</f>
        <v>46230.08333333637</v>
      </c>
      <c r="B1254">
        <f>Raw_Load_Data!B1254</f>
        <v>2.7</v>
      </c>
      <c r="C1254">
        <f>MAX(0,IF(AND(HOUR(A1254)&gt;=6,HOUR(A1254)&lt;=18),Assumptions!$B$8*SIN(PI()*(HOUR(A1254)+MINUTE(A1254)/60-6)/12),0))</f>
        <v>0</v>
      </c>
      <c r="D1254">
        <f t="shared" si="19"/>
        <v>2.7</v>
      </c>
      <c r="E1254">
        <f>MIN(B1254,C1254)*Assumptions!$B$2</f>
        <v>0</v>
      </c>
      <c r="F1254">
        <f>MAX(C1254-B1254,0)*Assumptions!$B$2</f>
        <v>0</v>
      </c>
      <c r="G1254">
        <f>MAX(B1254-C1254,0)*Assumptions!$B$2</f>
        <v>1.35</v>
      </c>
    </row>
    <row r="1255" spans="1:7" x14ac:dyDescent="0.3">
      <c r="A1255" s="5">
        <f>Raw_Load_Data!A1255</f>
        <v>46230.104166669706</v>
      </c>
      <c r="B1255">
        <f>Raw_Load_Data!B1255</f>
        <v>1.8</v>
      </c>
      <c r="C1255">
        <f>MAX(0,IF(AND(HOUR(A1255)&gt;=6,HOUR(A1255)&lt;=18),Assumptions!$B$8*SIN(PI()*(HOUR(A1255)+MINUTE(A1255)/60-6)/12),0))</f>
        <v>0</v>
      </c>
      <c r="D1255">
        <f t="shared" si="19"/>
        <v>1.8</v>
      </c>
      <c r="E1255">
        <f>MIN(B1255,C1255)*Assumptions!$B$2</f>
        <v>0</v>
      </c>
      <c r="F1255">
        <f>MAX(C1255-B1255,0)*Assumptions!$B$2</f>
        <v>0</v>
      </c>
      <c r="G1255">
        <f>MAX(B1255-C1255,0)*Assumptions!$B$2</f>
        <v>0.9</v>
      </c>
    </row>
    <row r="1256" spans="1:7" x14ac:dyDescent="0.3">
      <c r="A1256" s="5">
        <f>Raw_Load_Data!A1256</f>
        <v>46230.125000003041</v>
      </c>
      <c r="B1256">
        <f>Raw_Load_Data!B1256</f>
        <v>2.6</v>
      </c>
      <c r="C1256">
        <f>MAX(0,IF(AND(HOUR(A1256)&gt;=6,HOUR(A1256)&lt;=18),Assumptions!$B$8*SIN(PI()*(HOUR(A1256)+MINUTE(A1256)/60-6)/12),0))</f>
        <v>0</v>
      </c>
      <c r="D1256">
        <f t="shared" si="19"/>
        <v>2.6</v>
      </c>
      <c r="E1256">
        <f>MIN(B1256,C1256)*Assumptions!$B$2</f>
        <v>0</v>
      </c>
      <c r="F1256">
        <f>MAX(C1256-B1256,0)*Assumptions!$B$2</f>
        <v>0</v>
      </c>
      <c r="G1256">
        <f>MAX(B1256-C1256,0)*Assumptions!$B$2</f>
        <v>1.3</v>
      </c>
    </row>
    <row r="1257" spans="1:7" x14ac:dyDescent="0.3">
      <c r="A1257" s="5">
        <f>Raw_Load_Data!A1257</f>
        <v>46230.145833336377</v>
      </c>
      <c r="B1257">
        <f>Raw_Load_Data!B1257</f>
        <v>1.8</v>
      </c>
      <c r="C1257">
        <f>MAX(0,IF(AND(HOUR(A1257)&gt;=6,HOUR(A1257)&lt;=18),Assumptions!$B$8*SIN(PI()*(HOUR(A1257)+MINUTE(A1257)/60-6)/12),0))</f>
        <v>0</v>
      </c>
      <c r="D1257">
        <f t="shared" si="19"/>
        <v>1.8</v>
      </c>
      <c r="E1257">
        <f>MIN(B1257,C1257)*Assumptions!$B$2</f>
        <v>0</v>
      </c>
      <c r="F1257">
        <f>MAX(C1257-B1257,0)*Assumptions!$B$2</f>
        <v>0</v>
      </c>
      <c r="G1257">
        <f>MAX(B1257-C1257,0)*Assumptions!$B$2</f>
        <v>0.9</v>
      </c>
    </row>
    <row r="1258" spans="1:7" x14ac:dyDescent="0.3">
      <c r="A1258" s="5">
        <f>Raw_Load_Data!A1258</f>
        <v>46230.166666669713</v>
      </c>
      <c r="B1258">
        <f>Raw_Load_Data!B1258</f>
        <v>2.7</v>
      </c>
      <c r="C1258">
        <f>MAX(0,IF(AND(HOUR(A1258)&gt;=6,HOUR(A1258)&lt;=18),Assumptions!$B$8*SIN(PI()*(HOUR(A1258)+MINUTE(A1258)/60-6)/12),0))</f>
        <v>0</v>
      </c>
      <c r="D1258">
        <f t="shared" si="19"/>
        <v>2.7</v>
      </c>
      <c r="E1258">
        <f>MIN(B1258,C1258)*Assumptions!$B$2</f>
        <v>0</v>
      </c>
      <c r="F1258">
        <f>MAX(C1258-B1258,0)*Assumptions!$B$2</f>
        <v>0</v>
      </c>
      <c r="G1258">
        <f>MAX(B1258-C1258,0)*Assumptions!$B$2</f>
        <v>1.35</v>
      </c>
    </row>
    <row r="1259" spans="1:7" x14ac:dyDescent="0.3">
      <c r="A1259" s="5">
        <f>Raw_Load_Data!A1259</f>
        <v>46230.187500003049</v>
      </c>
      <c r="B1259">
        <f>Raw_Load_Data!B1259</f>
        <v>1.8</v>
      </c>
      <c r="C1259">
        <f>MAX(0,IF(AND(HOUR(A1259)&gt;=6,HOUR(A1259)&lt;=18),Assumptions!$B$8*SIN(PI()*(HOUR(A1259)+MINUTE(A1259)/60-6)/12),0))</f>
        <v>0</v>
      </c>
      <c r="D1259">
        <f t="shared" si="19"/>
        <v>1.8</v>
      </c>
      <c r="E1259">
        <f>MIN(B1259,C1259)*Assumptions!$B$2</f>
        <v>0</v>
      </c>
      <c r="F1259">
        <f>MAX(C1259-B1259,0)*Assumptions!$B$2</f>
        <v>0</v>
      </c>
      <c r="G1259">
        <f>MAX(B1259-C1259,0)*Assumptions!$B$2</f>
        <v>0.9</v>
      </c>
    </row>
    <row r="1260" spans="1:7" x14ac:dyDescent="0.3">
      <c r="A1260" s="5">
        <f>Raw_Load_Data!A1260</f>
        <v>46230.208333336384</v>
      </c>
      <c r="B1260">
        <f>Raw_Load_Data!B1260</f>
        <v>2.2000000000000002</v>
      </c>
      <c r="C1260">
        <f>MAX(0,IF(AND(HOUR(A1260)&gt;=6,HOUR(A1260)&lt;=18),Assumptions!$B$8*SIN(PI()*(HOUR(A1260)+MINUTE(A1260)/60-6)/12),0))</f>
        <v>0</v>
      </c>
      <c r="D1260">
        <f t="shared" si="19"/>
        <v>2.2000000000000002</v>
      </c>
      <c r="E1260">
        <f>MIN(B1260,C1260)*Assumptions!$B$2</f>
        <v>0</v>
      </c>
      <c r="F1260">
        <f>MAX(C1260-B1260,0)*Assumptions!$B$2</f>
        <v>0</v>
      </c>
      <c r="G1260">
        <f>MAX(B1260-C1260,0)*Assumptions!$B$2</f>
        <v>1.1000000000000001</v>
      </c>
    </row>
    <row r="1261" spans="1:7" x14ac:dyDescent="0.3">
      <c r="A1261" s="5">
        <f>Raw_Load_Data!A1261</f>
        <v>46230.22916666972</v>
      </c>
      <c r="B1261">
        <f>Raw_Load_Data!B1261</f>
        <v>2.4</v>
      </c>
      <c r="C1261">
        <f>MAX(0,IF(AND(HOUR(A1261)&gt;=6,HOUR(A1261)&lt;=18),Assumptions!$B$8*SIN(PI()*(HOUR(A1261)+MINUTE(A1261)/60-6)/12),0))</f>
        <v>0</v>
      </c>
      <c r="D1261">
        <f t="shared" si="19"/>
        <v>2.4</v>
      </c>
      <c r="E1261">
        <f>MIN(B1261,C1261)*Assumptions!$B$2</f>
        <v>0</v>
      </c>
      <c r="F1261">
        <f>MAX(C1261-B1261,0)*Assumptions!$B$2</f>
        <v>0</v>
      </c>
      <c r="G1261">
        <f>MAX(B1261-C1261,0)*Assumptions!$B$2</f>
        <v>1.2</v>
      </c>
    </row>
    <row r="1262" spans="1:7" x14ac:dyDescent="0.3">
      <c r="A1262" s="5">
        <f>Raw_Load_Data!A1262</f>
        <v>46230.250000003056</v>
      </c>
      <c r="B1262">
        <f>Raw_Load_Data!B1262</f>
        <v>5.9</v>
      </c>
      <c r="C1262">
        <f>MAX(0,IF(AND(HOUR(A1262)&gt;=6,HOUR(A1262)&lt;=18),Assumptions!$B$8*SIN(PI()*(HOUR(A1262)+MINUTE(A1262)/60-6)/12),0))</f>
        <v>0</v>
      </c>
      <c r="D1262">
        <f t="shared" si="19"/>
        <v>5.9</v>
      </c>
      <c r="E1262">
        <f>MIN(B1262,C1262)*Assumptions!$B$2</f>
        <v>0</v>
      </c>
      <c r="F1262">
        <f>MAX(C1262-B1262,0)*Assumptions!$B$2</f>
        <v>0</v>
      </c>
      <c r="G1262">
        <f>MAX(B1262-C1262,0)*Assumptions!$B$2</f>
        <v>2.95</v>
      </c>
    </row>
    <row r="1263" spans="1:7" x14ac:dyDescent="0.3">
      <c r="A1263" s="5">
        <f>Raw_Load_Data!A1263</f>
        <v>46230.270833336392</v>
      </c>
      <c r="B1263">
        <f>Raw_Load_Data!B1263</f>
        <v>5.4</v>
      </c>
      <c r="C1263">
        <f>MAX(0,IF(AND(HOUR(A1263)&gt;=6,HOUR(A1263)&lt;=18),Assumptions!$B$8*SIN(PI()*(HOUR(A1263)+MINUTE(A1263)/60-6)/12),0))</f>
        <v>3.9157857666015472</v>
      </c>
      <c r="D1263">
        <f t="shared" si="19"/>
        <v>1.4842142333984532</v>
      </c>
      <c r="E1263">
        <f>MIN(B1263,C1263)*Assumptions!$B$2</f>
        <v>1.9578928833007736</v>
      </c>
      <c r="F1263">
        <f>MAX(C1263-B1263,0)*Assumptions!$B$2</f>
        <v>0</v>
      </c>
      <c r="G1263">
        <f>MAX(B1263-C1263,0)*Assumptions!$B$2</f>
        <v>0.74210711669922658</v>
      </c>
    </row>
    <row r="1264" spans="1:7" x14ac:dyDescent="0.3">
      <c r="A1264" s="5">
        <f>Raw_Load_Data!A1264</f>
        <v>46230.291666669727</v>
      </c>
      <c r="B1264">
        <f>Raw_Load_Data!B1264</f>
        <v>7.2</v>
      </c>
      <c r="C1264">
        <f>MAX(0,IF(AND(HOUR(A1264)&gt;=6,HOUR(A1264)&lt;=18),Assumptions!$B$8*SIN(PI()*(HOUR(A1264)+MINUTE(A1264)/60-6)/12),0))</f>
        <v>7.7645713530756222</v>
      </c>
      <c r="D1264">
        <f t="shared" si="19"/>
        <v>-0.56457135307562201</v>
      </c>
      <c r="E1264">
        <f>MIN(B1264,C1264)*Assumptions!$B$2</f>
        <v>3.6</v>
      </c>
      <c r="F1264">
        <f>MAX(C1264-B1264,0)*Assumptions!$B$2</f>
        <v>0.282285676537811</v>
      </c>
      <c r="G1264">
        <f>MAX(B1264-C1264,0)*Assumptions!$B$2</f>
        <v>0</v>
      </c>
    </row>
    <row r="1265" spans="1:7" x14ac:dyDescent="0.3">
      <c r="A1265" s="5">
        <f>Raw_Load_Data!A1265</f>
        <v>46230.312500003063</v>
      </c>
      <c r="B1265">
        <f>Raw_Load_Data!B1265</f>
        <v>7.5</v>
      </c>
      <c r="C1265">
        <f>MAX(0,IF(AND(HOUR(A1265)&gt;=6,HOUR(A1265)&lt;=18),Assumptions!$B$8*SIN(PI()*(HOUR(A1265)+MINUTE(A1265)/60-6)/12),0))</f>
        <v>11.480502970952694</v>
      </c>
      <c r="D1265">
        <f t="shared" si="19"/>
        <v>-3.9805029709526938</v>
      </c>
      <c r="E1265">
        <f>MIN(B1265,C1265)*Assumptions!$B$2</f>
        <v>3.75</v>
      </c>
      <c r="F1265">
        <f>MAX(C1265-B1265,0)*Assumptions!$B$2</f>
        <v>1.9902514854763469</v>
      </c>
      <c r="G1265">
        <f>MAX(B1265-C1265,0)*Assumptions!$B$2</f>
        <v>0</v>
      </c>
    </row>
    <row r="1266" spans="1:7" x14ac:dyDescent="0.3">
      <c r="A1266" s="5">
        <f>Raw_Load_Data!A1266</f>
        <v>46230.333333336399</v>
      </c>
      <c r="B1266">
        <f>Raw_Load_Data!B1266</f>
        <v>17.2</v>
      </c>
      <c r="C1266">
        <f>MAX(0,IF(AND(HOUR(A1266)&gt;=6,HOUR(A1266)&lt;=18),Assumptions!$B$8*SIN(PI()*(HOUR(A1266)+MINUTE(A1266)/60-6)/12),0))</f>
        <v>14.999999999999998</v>
      </c>
      <c r="D1266">
        <f t="shared" si="19"/>
        <v>2.2000000000000011</v>
      </c>
      <c r="E1266">
        <f>MIN(B1266,C1266)*Assumptions!$B$2</f>
        <v>7.4999999999999991</v>
      </c>
      <c r="F1266">
        <f>MAX(C1266-B1266,0)*Assumptions!$B$2</f>
        <v>0</v>
      </c>
      <c r="G1266">
        <f>MAX(B1266-C1266,0)*Assumptions!$B$2</f>
        <v>1.1000000000000005</v>
      </c>
    </row>
    <row r="1267" spans="1:7" x14ac:dyDescent="0.3">
      <c r="A1267" s="5">
        <f>Raw_Load_Data!A1267</f>
        <v>46230.354166669735</v>
      </c>
      <c r="B1267">
        <f>Raw_Load_Data!B1267</f>
        <v>15.2</v>
      </c>
      <c r="C1267">
        <f>MAX(0,IF(AND(HOUR(A1267)&gt;=6,HOUR(A1267)&lt;=18),Assumptions!$B$8*SIN(PI()*(HOUR(A1267)+MINUTE(A1267)/60-6)/12),0))</f>
        <v>18.262842870261618</v>
      </c>
      <c r="D1267">
        <f t="shared" si="19"/>
        <v>-3.0628428702616191</v>
      </c>
      <c r="E1267">
        <f>MIN(B1267,C1267)*Assumptions!$B$2</f>
        <v>7.6</v>
      </c>
      <c r="F1267">
        <f>MAX(C1267-B1267,0)*Assumptions!$B$2</f>
        <v>1.5314214351308095</v>
      </c>
      <c r="G1267">
        <f>MAX(B1267-C1267,0)*Assumptions!$B$2</f>
        <v>0</v>
      </c>
    </row>
    <row r="1268" spans="1:7" x14ac:dyDescent="0.3">
      <c r="A1268" s="5">
        <f>Raw_Load_Data!A1268</f>
        <v>46230.37500000307</v>
      </c>
      <c r="B1268">
        <f>Raw_Load_Data!B1268</f>
        <v>17.5</v>
      </c>
      <c r="C1268">
        <f>MAX(0,IF(AND(HOUR(A1268)&gt;=6,HOUR(A1268)&lt;=18),Assumptions!$B$8*SIN(PI()*(HOUR(A1268)+MINUTE(A1268)/60-6)/12),0))</f>
        <v>21.213203435596423</v>
      </c>
      <c r="D1268">
        <f t="shared" si="19"/>
        <v>-3.713203435596423</v>
      </c>
      <c r="E1268">
        <f>MIN(B1268,C1268)*Assumptions!$B$2</f>
        <v>8.75</v>
      </c>
      <c r="F1268">
        <f>MAX(C1268-B1268,0)*Assumptions!$B$2</f>
        <v>1.8566017177982115</v>
      </c>
      <c r="G1268">
        <f>MAX(B1268-C1268,0)*Assumptions!$B$2</f>
        <v>0</v>
      </c>
    </row>
    <row r="1269" spans="1:7" x14ac:dyDescent="0.3">
      <c r="A1269" s="5">
        <f>Raw_Load_Data!A1269</f>
        <v>46230.395833336406</v>
      </c>
      <c r="B1269">
        <f>Raw_Load_Data!B1269</f>
        <v>18.7</v>
      </c>
      <c r="C1269">
        <f>MAX(0,IF(AND(HOUR(A1269)&gt;=6,HOUR(A1269)&lt;=18),Assumptions!$B$8*SIN(PI()*(HOUR(A1269)+MINUTE(A1269)/60-6)/12),0))</f>
        <v>23.800600208737055</v>
      </c>
      <c r="D1269">
        <f t="shared" si="19"/>
        <v>-5.1006002087370561</v>
      </c>
      <c r="E1269">
        <f>MIN(B1269,C1269)*Assumptions!$B$2</f>
        <v>9.35</v>
      </c>
      <c r="F1269">
        <f>MAX(C1269-B1269,0)*Assumptions!$B$2</f>
        <v>2.5503001043685281</v>
      </c>
      <c r="G1269">
        <f>MAX(B1269-C1269,0)*Assumptions!$B$2</f>
        <v>0</v>
      </c>
    </row>
    <row r="1270" spans="1:7" x14ac:dyDescent="0.3">
      <c r="A1270" s="5">
        <f>Raw_Load_Data!A1270</f>
        <v>46230.416666669742</v>
      </c>
      <c r="B1270">
        <f>Raw_Load_Data!B1270</f>
        <v>21.7</v>
      </c>
      <c r="C1270">
        <f>MAX(0,IF(AND(HOUR(A1270)&gt;=6,HOUR(A1270)&lt;=18),Assumptions!$B$8*SIN(PI()*(HOUR(A1270)+MINUTE(A1270)/60-6)/12),0))</f>
        <v>25.980762113533157</v>
      </c>
      <c r="D1270">
        <f t="shared" si="19"/>
        <v>-4.2807621135331573</v>
      </c>
      <c r="E1270">
        <f>MIN(B1270,C1270)*Assumptions!$B$2</f>
        <v>10.85</v>
      </c>
      <c r="F1270">
        <f>MAX(C1270-B1270,0)*Assumptions!$B$2</f>
        <v>2.1403810567665786</v>
      </c>
      <c r="G1270">
        <f>MAX(B1270-C1270,0)*Assumptions!$B$2</f>
        <v>0</v>
      </c>
    </row>
    <row r="1271" spans="1:7" x14ac:dyDescent="0.3">
      <c r="A1271" s="5">
        <f>Raw_Load_Data!A1271</f>
        <v>46230.437500003078</v>
      </c>
      <c r="B1271">
        <f>Raw_Load_Data!B1271</f>
        <v>18.2</v>
      </c>
      <c r="C1271">
        <f>MAX(0,IF(AND(HOUR(A1271)&gt;=6,HOUR(A1271)&lt;=18),Assumptions!$B$8*SIN(PI()*(HOUR(A1271)+MINUTE(A1271)/60-6)/12),0))</f>
        <v>27.716385975338603</v>
      </c>
      <c r="D1271">
        <f t="shared" si="19"/>
        <v>-9.5163859753386042</v>
      </c>
      <c r="E1271">
        <f>MIN(B1271,C1271)*Assumptions!$B$2</f>
        <v>9.1</v>
      </c>
      <c r="F1271">
        <f>MAX(C1271-B1271,0)*Assumptions!$B$2</f>
        <v>4.7581929876693021</v>
      </c>
      <c r="G1271">
        <f>MAX(B1271-C1271,0)*Assumptions!$B$2</f>
        <v>0</v>
      </c>
    </row>
    <row r="1272" spans="1:7" x14ac:dyDescent="0.3">
      <c r="A1272" s="5">
        <f>Raw_Load_Data!A1272</f>
        <v>46230.458333336413</v>
      </c>
      <c r="B1272">
        <f>Raw_Load_Data!B1272</f>
        <v>12.3</v>
      </c>
      <c r="C1272">
        <f>MAX(0,IF(AND(HOUR(A1272)&gt;=6,HOUR(A1272)&lt;=18),Assumptions!$B$8*SIN(PI()*(HOUR(A1272)+MINUTE(A1272)/60-6)/12),0))</f>
        <v>28.97777478867205</v>
      </c>
      <c r="D1272">
        <f t="shared" si="19"/>
        <v>-16.67777478867205</v>
      </c>
      <c r="E1272">
        <f>MIN(B1272,C1272)*Assumptions!$B$2</f>
        <v>6.15</v>
      </c>
      <c r="F1272">
        <f>MAX(C1272-B1272,0)*Assumptions!$B$2</f>
        <v>8.3388873943360249</v>
      </c>
      <c r="G1272">
        <f>MAX(B1272-C1272,0)*Assumptions!$B$2</f>
        <v>0</v>
      </c>
    </row>
    <row r="1273" spans="1:7" x14ac:dyDescent="0.3">
      <c r="A1273" s="5">
        <f>Raw_Load_Data!A1273</f>
        <v>46230.479166669749</v>
      </c>
      <c r="B1273">
        <f>Raw_Load_Data!B1273</f>
        <v>14.1</v>
      </c>
      <c r="C1273">
        <f>MAX(0,IF(AND(HOUR(A1273)&gt;=6,HOUR(A1273)&lt;=18),Assumptions!$B$8*SIN(PI()*(HOUR(A1273)+MINUTE(A1273)/60-6)/12),0))</f>
        <v>29.74334584121431</v>
      </c>
      <c r="D1273">
        <f t="shared" si="19"/>
        <v>-15.643345841214311</v>
      </c>
      <c r="E1273">
        <f>MIN(B1273,C1273)*Assumptions!$B$2</f>
        <v>7.05</v>
      </c>
      <c r="F1273">
        <f>MAX(C1273-B1273,0)*Assumptions!$B$2</f>
        <v>7.8216729206071554</v>
      </c>
      <c r="G1273">
        <f>MAX(B1273-C1273,0)*Assumptions!$B$2</f>
        <v>0</v>
      </c>
    </row>
    <row r="1274" spans="1:7" x14ac:dyDescent="0.3">
      <c r="A1274" s="5">
        <f>Raw_Load_Data!A1274</f>
        <v>46230.500000003085</v>
      </c>
      <c r="B1274">
        <f>Raw_Load_Data!B1274</f>
        <v>24.1</v>
      </c>
      <c r="C1274">
        <f>MAX(0,IF(AND(HOUR(A1274)&gt;=6,HOUR(A1274)&lt;=18),Assumptions!$B$8*SIN(PI()*(HOUR(A1274)+MINUTE(A1274)/60-6)/12),0))</f>
        <v>30</v>
      </c>
      <c r="D1274">
        <f t="shared" si="19"/>
        <v>-5.8999999999999986</v>
      </c>
      <c r="E1274">
        <f>MIN(B1274,C1274)*Assumptions!$B$2</f>
        <v>12.05</v>
      </c>
      <c r="F1274">
        <f>MAX(C1274-B1274,0)*Assumptions!$B$2</f>
        <v>2.9499999999999993</v>
      </c>
      <c r="G1274">
        <f>MAX(B1274-C1274,0)*Assumptions!$B$2</f>
        <v>0</v>
      </c>
    </row>
    <row r="1275" spans="1:7" x14ac:dyDescent="0.3">
      <c r="A1275" s="5">
        <f>Raw_Load_Data!A1275</f>
        <v>46230.520833336421</v>
      </c>
      <c r="B1275">
        <f>Raw_Load_Data!B1275</f>
        <v>29.1</v>
      </c>
      <c r="C1275">
        <f>MAX(0,IF(AND(HOUR(A1275)&gt;=6,HOUR(A1275)&lt;=18),Assumptions!$B$8*SIN(PI()*(HOUR(A1275)+MINUTE(A1275)/60-6)/12),0))</f>
        <v>29.74334584121431</v>
      </c>
      <c r="D1275">
        <f t="shared" si="19"/>
        <v>-0.64334584121430893</v>
      </c>
      <c r="E1275">
        <f>MIN(B1275,C1275)*Assumptions!$B$2</f>
        <v>14.55</v>
      </c>
      <c r="F1275">
        <f>MAX(C1275-B1275,0)*Assumptions!$B$2</f>
        <v>0.32167292060715447</v>
      </c>
      <c r="G1275">
        <f>MAX(B1275-C1275,0)*Assumptions!$B$2</f>
        <v>0</v>
      </c>
    </row>
    <row r="1276" spans="1:7" x14ac:dyDescent="0.3">
      <c r="A1276" s="5">
        <f>Raw_Load_Data!A1276</f>
        <v>46230.541666669757</v>
      </c>
      <c r="B1276">
        <f>Raw_Load_Data!B1276</f>
        <v>18</v>
      </c>
      <c r="C1276">
        <f>MAX(0,IF(AND(HOUR(A1276)&gt;=6,HOUR(A1276)&lt;=18),Assumptions!$B$8*SIN(PI()*(HOUR(A1276)+MINUTE(A1276)/60-6)/12),0))</f>
        <v>28.97777478867205</v>
      </c>
      <c r="D1276">
        <f t="shared" si="19"/>
        <v>-10.97777478867205</v>
      </c>
      <c r="E1276">
        <f>MIN(B1276,C1276)*Assumptions!$B$2</f>
        <v>9</v>
      </c>
      <c r="F1276">
        <f>MAX(C1276-B1276,0)*Assumptions!$B$2</f>
        <v>5.4888873943360252</v>
      </c>
      <c r="G1276">
        <f>MAX(B1276-C1276,0)*Assumptions!$B$2</f>
        <v>0</v>
      </c>
    </row>
    <row r="1277" spans="1:7" x14ac:dyDescent="0.3">
      <c r="A1277" s="5">
        <f>Raw_Load_Data!A1277</f>
        <v>46230.562500003092</v>
      </c>
      <c r="B1277">
        <f>Raw_Load_Data!B1277</f>
        <v>27.6</v>
      </c>
      <c r="C1277">
        <f>MAX(0,IF(AND(HOUR(A1277)&gt;=6,HOUR(A1277)&lt;=18),Assumptions!$B$8*SIN(PI()*(HOUR(A1277)+MINUTE(A1277)/60-6)/12),0))</f>
        <v>27.716385975338607</v>
      </c>
      <c r="D1277">
        <f t="shared" si="19"/>
        <v>-0.11638597533860562</v>
      </c>
      <c r="E1277">
        <f>MIN(B1277,C1277)*Assumptions!$B$2</f>
        <v>13.8</v>
      </c>
      <c r="F1277">
        <f>MAX(C1277-B1277,0)*Assumptions!$B$2</f>
        <v>5.8192987669302809E-2</v>
      </c>
      <c r="G1277">
        <f>MAX(B1277-C1277,0)*Assumptions!$B$2</f>
        <v>0</v>
      </c>
    </row>
    <row r="1278" spans="1:7" x14ac:dyDescent="0.3">
      <c r="A1278" s="5">
        <f>Raw_Load_Data!A1278</f>
        <v>46230.583333336428</v>
      </c>
      <c r="B1278">
        <f>Raw_Load_Data!B1278</f>
        <v>20.9</v>
      </c>
      <c r="C1278">
        <f>MAX(0,IF(AND(HOUR(A1278)&gt;=6,HOUR(A1278)&lt;=18),Assumptions!$B$8*SIN(PI()*(HOUR(A1278)+MINUTE(A1278)/60-6)/12),0))</f>
        <v>25.98076211353316</v>
      </c>
      <c r="D1278">
        <f t="shared" si="19"/>
        <v>-5.0807621135331615</v>
      </c>
      <c r="E1278">
        <f>MIN(B1278,C1278)*Assumptions!$B$2</f>
        <v>10.45</v>
      </c>
      <c r="F1278">
        <f>MAX(C1278-B1278,0)*Assumptions!$B$2</f>
        <v>2.5403810567665808</v>
      </c>
      <c r="G1278">
        <f>MAX(B1278-C1278,0)*Assumptions!$B$2</f>
        <v>0</v>
      </c>
    </row>
    <row r="1279" spans="1:7" x14ac:dyDescent="0.3">
      <c r="A1279" s="5">
        <f>Raw_Load_Data!A1279</f>
        <v>46230.604166669764</v>
      </c>
      <c r="B1279">
        <f>Raw_Load_Data!B1279</f>
        <v>20.399999999999999</v>
      </c>
      <c r="C1279">
        <f>MAX(0,IF(AND(HOUR(A1279)&gt;=6,HOUR(A1279)&lt;=18),Assumptions!$B$8*SIN(PI()*(HOUR(A1279)+MINUTE(A1279)/60-6)/12),0))</f>
        <v>23.800600208737055</v>
      </c>
      <c r="D1279">
        <f t="shared" si="19"/>
        <v>-3.4006002087370568</v>
      </c>
      <c r="E1279">
        <f>MIN(B1279,C1279)*Assumptions!$B$2</f>
        <v>10.199999999999999</v>
      </c>
      <c r="F1279">
        <f>MAX(C1279-B1279,0)*Assumptions!$B$2</f>
        <v>1.7003001043685284</v>
      </c>
      <c r="G1279">
        <f>MAX(B1279-C1279,0)*Assumptions!$B$2</f>
        <v>0</v>
      </c>
    </row>
    <row r="1280" spans="1:7" x14ac:dyDescent="0.3">
      <c r="A1280" s="5">
        <f>Raw_Load_Data!A1280</f>
        <v>46230.6250000031</v>
      </c>
      <c r="B1280">
        <f>Raw_Load_Data!B1280</f>
        <v>32.799999999999997</v>
      </c>
      <c r="C1280">
        <f>MAX(0,IF(AND(HOUR(A1280)&gt;=6,HOUR(A1280)&lt;=18),Assumptions!$B$8*SIN(PI()*(HOUR(A1280)+MINUTE(A1280)/60-6)/12),0))</f>
        <v>21.213203435596427</v>
      </c>
      <c r="D1280">
        <f t="shared" si="19"/>
        <v>11.586796564403571</v>
      </c>
      <c r="E1280">
        <f>MIN(B1280,C1280)*Assumptions!$B$2</f>
        <v>10.606601717798213</v>
      </c>
      <c r="F1280">
        <f>MAX(C1280-B1280,0)*Assumptions!$B$2</f>
        <v>0</v>
      </c>
      <c r="G1280">
        <f>MAX(B1280-C1280,0)*Assumptions!$B$2</f>
        <v>5.7933982822017853</v>
      </c>
    </row>
    <row r="1281" spans="1:7" x14ac:dyDescent="0.3">
      <c r="A1281" s="5">
        <f>Raw_Load_Data!A1281</f>
        <v>46230.645833336435</v>
      </c>
      <c r="B1281">
        <f>Raw_Load_Data!B1281</f>
        <v>27.9</v>
      </c>
      <c r="C1281">
        <f>MAX(0,IF(AND(HOUR(A1281)&gt;=6,HOUR(A1281)&lt;=18),Assumptions!$B$8*SIN(PI()*(HOUR(A1281)+MINUTE(A1281)/60-6)/12),0))</f>
        <v>18.262842870261625</v>
      </c>
      <c r="D1281">
        <f t="shared" si="19"/>
        <v>9.6371571297383731</v>
      </c>
      <c r="E1281">
        <f>MIN(B1281,C1281)*Assumptions!$B$2</f>
        <v>9.1314214351308127</v>
      </c>
      <c r="F1281">
        <f>MAX(C1281-B1281,0)*Assumptions!$B$2</f>
        <v>0</v>
      </c>
      <c r="G1281">
        <f>MAX(B1281-C1281,0)*Assumptions!$B$2</f>
        <v>4.8185785648691866</v>
      </c>
    </row>
    <row r="1282" spans="1:7" x14ac:dyDescent="0.3">
      <c r="A1282" s="5">
        <f>Raw_Load_Data!A1282</f>
        <v>46230.666666669771</v>
      </c>
      <c r="B1282">
        <f>Raw_Load_Data!B1282</f>
        <v>14.3</v>
      </c>
      <c r="C1282">
        <f>MAX(0,IF(AND(HOUR(A1282)&gt;=6,HOUR(A1282)&lt;=18),Assumptions!$B$8*SIN(PI()*(HOUR(A1282)+MINUTE(A1282)/60-6)/12),0))</f>
        <v>14.999999999999998</v>
      </c>
      <c r="D1282">
        <f t="shared" si="19"/>
        <v>-0.69999999999999751</v>
      </c>
      <c r="E1282">
        <f>MIN(B1282,C1282)*Assumptions!$B$2</f>
        <v>7.15</v>
      </c>
      <c r="F1282">
        <f>MAX(C1282-B1282,0)*Assumptions!$B$2</f>
        <v>0.34999999999999876</v>
      </c>
      <c r="G1282">
        <f>MAX(B1282-C1282,0)*Assumptions!$B$2</f>
        <v>0</v>
      </c>
    </row>
    <row r="1283" spans="1:7" x14ac:dyDescent="0.3">
      <c r="A1283" s="5">
        <f>Raw_Load_Data!A1283</f>
        <v>46230.687500003107</v>
      </c>
      <c r="B1283">
        <f>Raw_Load_Data!B1283</f>
        <v>17.7</v>
      </c>
      <c r="C1283">
        <f>MAX(0,IF(AND(HOUR(A1283)&gt;=6,HOUR(A1283)&lt;=18),Assumptions!$B$8*SIN(PI()*(HOUR(A1283)+MINUTE(A1283)/60-6)/12),0))</f>
        <v>11.480502970952697</v>
      </c>
      <c r="D1283">
        <f t="shared" ref="D1283:D1346" si="20">B1283-C1283</f>
        <v>6.219497029047302</v>
      </c>
      <c r="E1283">
        <f>MIN(B1283,C1283)*Assumptions!$B$2</f>
        <v>5.7402514854763487</v>
      </c>
      <c r="F1283">
        <f>MAX(C1283-B1283,0)*Assumptions!$B$2</f>
        <v>0</v>
      </c>
      <c r="G1283">
        <f>MAX(B1283-C1283,0)*Assumptions!$B$2</f>
        <v>3.109748514523651</v>
      </c>
    </row>
    <row r="1284" spans="1:7" x14ac:dyDescent="0.3">
      <c r="A1284" s="5">
        <f>Raw_Load_Data!A1284</f>
        <v>46230.708333336443</v>
      </c>
      <c r="B1284">
        <f>Raw_Load_Data!B1284</f>
        <v>10.6</v>
      </c>
      <c r="C1284">
        <f>MAX(0,IF(AND(HOUR(A1284)&gt;=6,HOUR(A1284)&lt;=18),Assumptions!$B$8*SIN(PI()*(HOUR(A1284)+MINUTE(A1284)/60-6)/12),0))</f>
        <v>7.7645713530756302</v>
      </c>
      <c r="D1284">
        <f t="shared" si="20"/>
        <v>2.8354286469243695</v>
      </c>
      <c r="E1284">
        <f>MIN(B1284,C1284)*Assumptions!$B$2</f>
        <v>3.8822856765378151</v>
      </c>
      <c r="F1284">
        <f>MAX(C1284-B1284,0)*Assumptions!$B$2</f>
        <v>0</v>
      </c>
      <c r="G1284">
        <f>MAX(B1284-C1284,0)*Assumptions!$B$2</f>
        <v>1.4177143234621847</v>
      </c>
    </row>
    <row r="1285" spans="1:7" x14ac:dyDescent="0.3">
      <c r="A1285" s="5">
        <f>Raw_Load_Data!A1285</f>
        <v>46230.729166669778</v>
      </c>
      <c r="B1285">
        <f>Raw_Load_Data!B1285</f>
        <v>19.3</v>
      </c>
      <c r="C1285">
        <f>MAX(0,IF(AND(HOUR(A1285)&gt;=6,HOUR(A1285)&lt;=18),Assumptions!$B$8*SIN(PI()*(HOUR(A1285)+MINUTE(A1285)/60-6)/12),0))</f>
        <v>3.9157857666015596</v>
      </c>
      <c r="D1285">
        <f t="shared" si="20"/>
        <v>15.384214233398442</v>
      </c>
      <c r="E1285">
        <f>MIN(B1285,C1285)*Assumptions!$B$2</f>
        <v>1.9578928833007798</v>
      </c>
      <c r="F1285">
        <f>MAX(C1285-B1285,0)*Assumptions!$B$2</f>
        <v>0</v>
      </c>
      <c r="G1285">
        <f>MAX(B1285-C1285,0)*Assumptions!$B$2</f>
        <v>7.692107116699221</v>
      </c>
    </row>
    <row r="1286" spans="1:7" x14ac:dyDescent="0.3">
      <c r="A1286" s="5">
        <f>Raw_Load_Data!A1286</f>
        <v>46230.750000003114</v>
      </c>
      <c r="B1286">
        <f>Raw_Load_Data!B1286</f>
        <v>16.100000000000001</v>
      </c>
      <c r="C1286">
        <f>MAX(0,IF(AND(HOUR(A1286)&gt;=6,HOUR(A1286)&lt;=18),Assumptions!$B$8*SIN(PI()*(HOUR(A1286)+MINUTE(A1286)/60-6)/12),0))</f>
        <v>3.67544536472586E-15</v>
      </c>
      <c r="D1286">
        <f t="shared" si="20"/>
        <v>16.099999999999998</v>
      </c>
      <c r="E1286">
        <f>MIN(B1286,C1286)*Assumptions!$B$2</f>
        <v>1.83772268236293E-15</v>
      </c>
      <c r="F1286">
        <f>MAX(C1286-B1286,0)*Assumptions!$B$2</f>
        <v>0</v>
      </c>
      <c r="G1286">
        <f>MAX(B1286-C1286,0)*Assumptions!$B$2</f>
        <v>8.0499999999999989</v>
      </c>
    </row>
    <row r="1287" spans="1:7" x14ac:dyDescent="0.3">
      <c r="A1287" s="5">
        <f>Raw_Load_Data!A1287</f>
        <v>46230.77083333645</v>
      </c>
      <c r="B1287">
        <f>Raw_Load_Data!B1287</f>
        <v>17.3</v>
      </c>
      <c r="C1287">
        <f>MAX(0,IF(AND(HOUR(A1287)&gt;=6,HOUR(A1287)&lt;=18),Assumptions!$B$8*SIN(PI()*(HOUR(A1287)+MINUTE(A1287)/60-6)/12),0))</f>
        <v>0</v>
      </c>
      <c r="D1287">
        <f t="shared" si="20"/>
        <v>17.3</v>
      </c>
      <c r="E1287">
        <f>MIN(B1287,C1287)*Assumptions!$B$2</f>
        <v>0</v>
      </c>
      <c r="F1287">
        <f>MAX(C1287-B1287,0)*Assumptions!$B$2</f>
        <v>0</v>
      </c>
      <c r="G1287">
        <f>MAX(B1287-C1287,0)*Assumptions!$B$2</f>
        <v>8.65</v>
      </c>
    </row>
    <row r="1288" spans="1:7" x14ac:dyDescent="0.3">
      <c r="A1288" s="5">
        <f>Raw_Load_Data!A1288</f>
        <v>46230.791666669786</v>
      </c>
      <c r="B1288">
        <f>Raw_Load_Data!B1288</f>
        <v>3.8</v>
      </c>
      <c r="C1288">
        <f>MAX(0,IF(AND(HOUR(A1288)&gt;=6,HOUR(A1288)&lt;=18),Assumptions!$B$8*SIN(PI()*(HOUR(A1288)+MINUTE(A1288)/60-6)/12),0))</f>
        <v>0</v>
      </c>
      <c r="D1288">
        <f t="shared" si="20"/>
        <v>3.8</v>
      </c>
      <c r="E1288">
        <f>MIN(B1288,C1288)*Assumptions!$B$2</f>
        <v>0</v>
      </c>
      <c r="F1288">
        <f>MAX(C1288-B1288,0)*Assumptions!$B$2</f>
        <v>0</v>
      </c>
      <c r="G1288">
        <f>MAX(B1288-C1288,0)*Assumptions!$B$2</f>
        <v>1.9</v>
      </c>
    </row>
    <row r="1289" spans="1:7" x14ac:dyDescent="0.3">
      <c r="A1289" s="5">
        <f>Raw_Load_Data!A1289</f>
        <v>46230.812500003121</v>
      </c>
      <c r="B1289">
        <f>Raw_Load_Data!B1289</f>
        <v>4.2</v>
      </c>
      <c r="C1289">
        <f>MAX(0,IF(AND(HOUR(A1289)&gt;=6,HOUR(A1289)&lt;=18),Assumptions!$B$8*SIN(PI()*(HOUR(A1289)+MINUTE(A1289)/60-6)/12),0))</f>
        <v>0</v>
      </c>
      <c r="D1289">
        <f t="shared" si="20"/>
        <v>4.2</v>
      </c>
      <c r="E1289">
        <f>MIN(B1289,C1289)*Assumptions!$B$2</f>
        <v>0</v>
      </c>
      <c r="F1289">
        <f>MAX(C1289-B1289,0)*Assumptions!$B$2</f>
        <v>0</v>
      </c>
      <c r="G1289">
        <f>MAX(B1289-C1289,0)*Assumptions!$B$2</f>
        <v>2.1</v>
      </c>
    </row>
    <row r="1290" spans="1:7" x14ac:dyDescent="0.3">
      <c r="A1290" s="5">
        <f>Raw_Load_Data!A1290</f>
        <v>46230.833333336457</v>
      </c>
      <c r="B1290">
        <f>Raw_Load_Data!B1290</f>
        <v>7.9</v>
      </c>
      <c r="C1290">
        <f>MAX(0,IF(AND(HOUR(A1290)&gt;=6,HOUR(A1290)&lt;=18),Assumptions!$B$8*SIN(PI()*(HOUR(A1290)+MINUTE(A1290)/60-6)/12),0))</f>
        <v>0</v>
      </c>
      <c r="D1290">
        <f t="shared" si="20"/>
        <v>7.9</v>
      </c>
      <c r="E1290">
        <f>MIN(B1290,C1290)*Assumptions!$B$2</f>
        <v>0</v>
      </c>
      <c r="F1290">
        <f>MAX(C1290-B1290,0)*Assumptions!$B$2</f>
        <v>0</v>
      </c>
      <c r="G1290">
        <f>MAX(B1290-C1290,0)*Assumptions!$B$2</f>
        <v>3.95</v>
      </c>
    </row>
    <row r="1291" spans="1:7" x14ac:dyDescent="0.3">
      <c r="A1291" s="5">
        <f>Raw_Load_Data!A1291</f>
        <v>46230.854166669793</v>
      </c>
      <c r="B1291">
        <f>Raw_Load_Data!B1291</f>
        <v>3.7</v>
      </c>
      <c r="C1291">
        <f>MAX(0,IF(AND(HOUR(A1291)&gt;=6,HOUR(A1291)&lt;=18),Assumptions!$B$8*SIN(PI()*(HOUR(A1291)+MINUTE(A1291)/60-6)/12),0))</f>
        <v>0</v>
      </c>
      <c r="D1291">
        <f t="shared" si="20"/>
        <v>3.7</v>
      </c>
      <c r="E1291">
        <f>MIN(B1291,C1291)*Assumptions!$B$2</f>
        <v>0</v>
      </c>
      <c r="F1291">
        <f>MAX(C1291-B1291,0)*Assumptions!$B$2</f>
        <v>0</v>
      </c>
      <c r="G1291">
        <f>MAX(B1291-C1291,0)*Assumptions!$B$2</f>
        <v>1.85</v>
      </c>
    </row>
    <row r="1292" spans="1:7" x14ac:dyDescent="0.3">
      <c r="A1292" s="5">
        <f>Raw_Load_Data!A1292</f>
        <v>46230.875000003129</v>
      </c>
      <c r="B1292">
        <f>Raw_Load_Data!B1292</f>
        <v>3.9</v>
      </c>
      <c r="C1292">
        <f>MAX(0,IF(AND(HOUR(A1292)&gt;=6,HOUR(A1292)&lt;=18),Assumptions!$B$8*SIN(PI()*(HOUR(A1292)+MINUTE(A1292)/60-6)/12),0))</f>
        <v>0</v>
      </c>
      <c r="D1292">
        <f t="shared" si="20"/>
        <v>3.9</v>
      </c>
      <c r="E1292">
        <f>MIN(B1292,C1292)*Assumptions!$B$2</f>
        <v>0</v>
      </c>
      <c r="F1292">
        <f>MAX(C1292-B1292,0)*Assumptions!$B$2</f>
        <v>0</v>
      </c>
      <c r="G1292">
        <f>MAX(B1292-C1292,0)*Assumptions!$B$2</f>
        <v>1.95</v>
      </c>
    </row>
    <row r="1293" spans="1:7" x14ac:dyDescent="0.3">
      <c r="A1293" s="5">
        <f>Raw_Load_Data!A1293</f>
        <v>46230.895833336464</v>
      </c>
      <c r="B1293">
        <f>Raw_Load_Data!B1293</f>
        <v>3.5</v>
      </c>
      <c r="C1293">
        <f>MAX(0,IF(AND(HOUR(A1293)&gt;=6,HOUR(A1293)&lt;=18),Assumptions!$B$8*SIN(PI()*(HOUR(A1293)+MINUTE(A1293)/60-6)/12),0))</f>
        <v>0</v>
      </c>
      <c r="D1293">
        <f t="shared" si="20"/>
        <v>3.5</v>
      </c>
      <c r="E1293">
        <f>MIN(B1293,C1293)*Assumptions!$B$2</f>
        <v>0</v>
      </c>
      <c r="F1293">
        <f>MAX(C1293-B1293,0)*Assumptions!$B$2</f>
        <v>0</v>
      </c>
      <c r="G1293">
        <f>MAX(B1293-C1293,0)*Assumptions!$B$2</f>
        <v>1.75</v>
      </c>
    </row>
    <row r="1294" spans="1:7" x14ac:dyDescent="0.3">
      <c r="A1294" s="5">
        <f>Raw_Load_Data!A1294</f>
        <v>46230.9166666698</v>
      </c>
      <c r="B1294">
        <f>Raw_Load_Data!B1294</f>
        <v>3.6</v>
      </c>
      <c r="C1294">
        <f>MAX(0,IF(AND(HOUR(A1294)&gt;=6,HOUR(A1294)&lt;=18),Assumptions!$B$8*SIN(PI()*(HOUR(A1294)+MINUTE(A1294)/60-6)/12),0))</f>
        <v>0</v>
      </c>
      <c r="D1294">
        <f t="shared" si="20"/>
        <v>3.6</v>
      </c>
      <c r="E1294">
        <f>MIN(B1294,C1294)*Assumptions!$B$2</f>
        <v>0</v>
      </c>
      <c r="F1294">
        <f>MAX(C1294-B1294,0)*Assumptions!$B$2</f>
        <v>0</v>
      </c>
      <c r="G1294">
        <f>MAX(B1294-C1294,0)*Assumptions!$B$2</f>
        <v>1.8</v>
      </c>
    </row>
    <row r="1295" spans="1:7" x14ac:dyDescent="0.3">
      <c r="A1295" s="5">
        <f>Raw_Load_Data!A1295</f>
        <v>46230.937500003136</v>
      </c>
      <c r="B1295">
        <f>Raw_Load_Data!B1295</f>
        <v>4.5</v>
      </c>
      <c r="C1295">
        <f>MAX(0,IF(AND(HOUR(A1295)&gt;=6,HOUR(A1295)&lt;=18),Assumptions!$B$8*SIN(PI()*(HOUR(A1295)+MINUTE(A1295)/60-6)/12),0))</f>
        <v>0</v>
      </c>
      <c r="D1295">
        <f t="shared" si="20"/>
        <v>4.5</v>
      </c>
      <c r="E1295">
        <f>MIN(B1295,C1295)*Assumptions!$B$2</f>
        <v>0</v>
      </c>
      <c r="F1295">
        <f>MAX(C1295-B1295,0)*Assumptions!$B$2</f>
        <v>0</v>
      </c>
      <c r="G1295">
        <f>MAX(B1295-C1295,0)*Assumptions!$B$2</f>
        <v>2.25</v>
      </c>
    </row>
    <row r="1296" spans="1:7" x14ac:dyDescent="0.3">
      <c r="A1296" s="5">
        <f>Raw_Load_Data!A1296</f>
        <v>46230.958333336472</v>
      </c>
      <c r="B1296">
        <f>Raw_Load_Data!B1296</f>
        <v>5.8</v>
      </c>
      <c r="C1296">
        <f>MAX(0,IF(AND(HOUR(A1296)&gt;=6,HOUR(A1296)&lt;=18),Assumptions!$B$8*SIN(PI()*(HOUR(A1296)+MINUTE(A1296)/60-6)/12),0))</f>
        <v>0</v>
      </c>
      <c r="D1296">
        <f t="shared" si="20"/>
        <v>5.8</v>
      </c>
      <c r="E1296">
        <f>MIN(B1296,C1296)*Assumptions!$B$2</f>
        <v>0</v>
      </c>
      <c r="F1296">
        <f>MAX(C1296-B1296,0)*Assumptions!$B$2</f>
        <v>0</v>
      </c>
      <c r="G1296">
        <f>MAX(B1296-C1296,0)*Assumptions!$B$2</f>
        <v>2.9</v>
      </c>
    </row>
    <row r="1297" spans="1:7" x14ac:dyDescent="0.3">
      <c r="A1297" s="5">
        <f>Raw_Load_Data!A1297</f>
        <v>46230.979166669807</v>
      </c>
      <c r="B1297">
        <f>Raw_Load_Data!B1297</f>
        <v>3.6</v>
      </c>
      <c r="C1297">
        <f>MAX(0,IF(AND(HOUR(A1297)&gt;=6,HOUR(A1297)&lt;=18),Assumptions!$B$8*SIN(PI()*(HOUR(A1297)+MINUTE(A1297)/60-6)/12),0))</f>
        <v>0</v>
      </c>
      <c r="D1297">
        <f t="shared" si="20"/>
        <v>3.6</v>
      </c>
      <c r="E1297">
        <f>MIN(B1297,C1297)*Assumptions!$B$2</f>
        <v>0</v>
      </c>
      <c r="F1297">
        <f>MAX(C1297-B1297,0)*Assumptions!$B$2</f>
        <v>0</v>
      </c>
      <c r="G1297">
        <f>MAX(B1297-C1297,0)*Assumptions!$B$2</f>
        <v>1.8</v>
      </c>
    </row>
    <row r="1298" spans="1:7" x14ac:dyDescent="0.3">
      <c r="A1298" s="5">
        <f>Raw_Load_Data!A1298</f>
        <v>46231.000000003143</v>
      </c>
      <c r="B1298">
        <f>Raw_Load_Data!B1298</f>
        <v>2.4</v>
      </c>
      <c r="C1298">
        <f>MAX(0,IF(AND(HOUR(A1298)&gt;=6,HOUR(A1298)&lt;=18),Assumptions!$B$8*SIN(PI()*(HOUR(A1298)+MINUTE(A1298)/60-6)/12),0))</f>
        <v>0</v>
      </c>
      <c r="D1298">
        <f t="shared" si="20"/>
        <v>2.4</v>
      </c>
      <c r="E1298">
        <f>MIN(B1298,C1298)*Assumptions!$B$2</f>
        <v>0</v>
      </c>
      <c r="F1298">
        <f>MAX(C1298-B1298,0)*Assumptions!$B$2</f>
        <v>0</v>
      </c>
      <c r="G1298">
        <f>MAX(B1298-C1298,0)*Assumptions!$B$2</f>
        <v>1.2</v>
      </c>
    </row>
    <row r="1299" spans="1:7" x14ac:dyDescent="0.3">
      <c r="A1299" s="5">
        <f>Raw_Load_Data!A1299</f>
        <v>46231.020833336479</v>
      </c>
      <c r="B1299">
        <f>Raw_Load_Data!B1299</f>
        <v>2.4</v>
      </c>
      <c r="C1299">
        <f>MAX(0,IF(AND(HOUR(A1299)&gt;=6,HOUR(A1299)&lt;=18),Assumptions!$B$8*SIN(PI()*(HOUR(A1299)+MINUTE(A1299)/60-6)/12),0))</f>
        <v>0</v>
      </c>
      <c r="D1299">
        <f t="shared" si="20"/>
        <v>2.4</v>
      </c>
      <c r="E1299">
        <f>MIN(B1299,C1299)*Assumptions!$B$2</f>
        <v>0</v>
      </c>
      <c r="F1299">
        <f>MAX(C1299-B1299,0)*Assumptions!$B$2</f>
        <v>0</v>
      </c>
      <c r="G1299">
        <f>MAX(B1299-C1299,0)*Assumptions!$B$2</f>
        <v>1.2</v>
      </c>
    </row>
    <row r="1300" spans="1:7" x14ac:dyDescent="0.3">
      <c r="A1300" s="5">
        <f>Raw_Load_Data!A1300</f>
        <v>46231.041666669815</v>
      </c>
      <c r="B1300">
        <f>Raw_Load_Data!B1300</f>
        <v>2.7</v>
      </c>
      <c r="C1300">
        <f>MAX(0,IF(AND(HOUR(A1300)&gt;=6,HOUR(A1300)&lt;=18),Assumptions!$B$8*SIN(PI()*(HOUR(A1300)+MINUTE(A1300)/60-6)/12),0))</f>
        <v>0</v>
      </c>
      <c r="D1300">
        <f t="shared" si="20"/>
        <v>2.7</v>
      </c>
      <c r="E1300">
        <f>MIN(B1300,C1300)*Assumptions!$B$2</f>
        <v>0</v>
      </c>
      <c r="F1300">
        <f>MAX(C1300-B1300,0)*Assumptions!$B$2</f>
        <v>0</v>
      </c>
      <c r="G1300">
        <f>MAX(B1300-C1300,0)*Assumptions!$B$2</f>
        <v>1.35</v>
      </c>
    </row>
    <row r="1301" spans="1:7" x14ac:dyDescent="0.3">
      <c r="A1301" s="5">
        <f>Raw_Load_Data!A1301</f>
        <v>46231.06250000315</v>
      </c>
      <c r="B1301">
        <f>Raw_Load_Data!B1301</f>
        <v>2.9</v>
      </c>
      <c r="C1301">
        <f>MAX(0,IF(AND(HOUR(A1301)&gt;=6,HOUR(A1301)&lt;=18),Assumptions!$B$8*SIN(PI()*(HOUR(A1301)+MINUTE(A1301)/60-6)/12),0))</f>
        <v>0</v>
      </c>
      <c r="D1301">
        <f t="shared" si="20"/>
        <v>2.9</v>
      </c>
      <c r="E1301">
        <f>MIN(B1301,C1301)*Assumptions!$B$2</f>
        <v>0</v>
      </c>
      <c r="F1301">
        <f>MAX(C1301-B1301,0)*Assumptions!$B$2</f>
        <v>0</v>
      </c>
      <c r="G1301">
        <f>MAX(B1301-C1301,0)*Assumptions!$B$2</f>
        <v>1.45</v>
      </c>
    </row>
    <row r="1302" spans="1:7" x14ac:dyDescent="0.3">
      <c r="A1302" s="5">
        <f>Raw_Load_Data!A1302</f>
        <v>46231.083333336486</v>
      </c>
      <c r="B1302">
        <f>Raw_Load_Data!B1302</f>
        <v>2</v>
      </c>
      <c r="C1302">
        <f>MAX(0,IF(AND(HOUR(A1302)&gt;=6,HOUR(A1302)&lt;=18),Assumptions!$B$8*SIN(PI()*(HOUR(A1302)+MINUTE(A1302)/60-6)/12),0))</f>
        <v>0</v>
      </c>
      <c r="D1302">
        <f t="shared" si="20"/>
        <v>2</v>
      </c>
      <c r="E1302">
        <f>MIN(B1302,C1302)*Assumptions!$B$2</f>
        <v>0</v>
      </c>
      <c r="F1302">
        <f>MAX(C1302-B1302,0)*Assumptions!$B$2</f>
        <v>0</v>
      </c>
      <c r="G1302">
        <f>MAX(B1302-C1302,0)*Assumptions!$B$2</f>
        <v>1</v>
      </c>
    </row>
    <row r="1303" spans="1:7" x14ac:dyDescent="0.3">
      <c r="A1303" s="5">
        <f>Raw_Load_Data!A1303</f>
        <v>46231.104166669822</v>
      </c>
      <c r="B1303">
        <f>Raw_Load_Data!B1303</f>
        <v>2.7</v>
      </c>
      <c r="C1303">
        <f>MAX(0,IF(AND(HOUR(A1303)&gt;=6,HOUR(A1303)&lt;=18),Assumptions!$B$8*SIN(PI()*(HOUR(A1303)+MINUTE(A1303)/60-6)/12),0))</f>
        <v>0</v>
      </c>
      <c r="D1303">
        <f t="shared" si="20"/>
        <v>2.7</v>
      </c>
      <c r="E1303">
        <f>MIN(B1303,C1303)*Assumptions!$B$2</f>
        <v>0</v>
      </c>
      <c r="F1303">
        <f>MAX(C1303-B1303,0)*Assumptions!$B$2</f>
        <v>0</v>
      </c>
      <c r="G1303">
        <f>MAX(B1303-C1303,0)*Assumptions!$B$2</f>
        <v>1.35</v>
      </c>
    </row>
    <row r="1304" spans="1:7" x14ac:dyDescent="0.3">
      <c r="A1304" s="5">
        <f>Raw_Load_Data!A1304</f>
        <v>46231.125000003158</v>
      </c>
      <c r="B1304">
        <f>Raw_Load_Data!B1304</f>
        <v>2.9</v>
      </c>
      <c r="C1304">
        <f>MAX(0,IF(AND(HOUR(A1304)&gt;=6,HOUR(A1304)&lt;=18),Assumptions!$B$8*SIN(PI()*(HOUR(A1304)+MINUTE(A1304)/60-6)/12),0))</f>
        <v>0</v>
      </c>
      <c r="D1304">
        <f t="shared" si="20"/>
        <v>2.9</v>
      </c>
      <c r="E1304">
        <f>MIN(B1304,C1304)*Assumptions!$B$2</f>
        <v>0</v>
      </c>
      <c r="F1304">
        <f>MAX(C1304-B1304,0)*Assumptions!$B$2</f>
        <v>0</v>
      </c>
      <c r="G1304">
        <f>MAX(B1304-C1304,0)*Assumptions!$B$2</f>
        <v>1.45</v>
      </c>
    </row>
    <row r="1305" spans="1:7" x14ac:dyDescent="0.3">
      <c r="A1305" s="5">
        <f>Raw_Load_Data!A1305</f>
        <v>46231.145833336494</v>
      </c>
      <c r="B1305">
        <f>Raw_Load_Data!B1305</f>
        <v>2.6</v>
      </c>
      <c r="C1305">
        <f>MAX(0,IF(AND(HOUR(A1305)&gt;=6,HOUR(A1305)&lt;=18),Assumptions!$B$8*SIN(PI()*(HOUR(A1305)+MINUTE(A1305)/60-6)/12),0))</f>
        <v>0</v>
      </c>
      <c r="D1305">
        <f t="shared" si="20"/>
        <v>2.6</v>
      </c>
      <c r="E1305">
        <f>MIN(B1305,C1305)*Assumptions!$B$2</f>
        <v>0</v>
      </c>
      <c r="F1305">
        <f>MAX(C1305-B1305,0)*Assumptions!$B$2</f>
        <v>0</v>
      </c>
      <c r="G1305">
        <f>MAX(B1305-C1305,0)*Assumptions!$B$2</f>
        <v>1.3</v>
      </c>
    </row>
    <row r="1306" spans="1:7" x14ac:dyDescent="0.3">
      <c r="A1306" s="5">
        <f>Raw_Load_Data!A1306</f>
        <v>46231.166666669829</v>
      </c>
      <c r="B1306">
        <f>Raw_Load_Data!B1306</f>
        <v>2.2000000000000002</v>
      </c>
      <c r="C1306">
        <f>MAX(0,IF(AND(HOUR(A1306)&gt;=6,HOUR(A1306)&lt;=18),Assumptions!$B$8*SIN(PI()*(HOUR(A1306)+MINUTE(A1306)/60-6)/12),0))</f>
        <v>0</v>
      </c>
      <c r="D1306">
        <f t="shared" si="20"/>
        <v>2.2000000000000002</v>
      </c>
      <c r="E1306">
        <f>MIN(B1306,C1306)*Assumptions!$B$2</f>
        <v>0</v>
      </c>
      <c r="F1306">
        <f>MAX(C1306-B1306,0)*Assumptions!$B$2</f>
        <v>0</v>
      </c>
      <c r="G1306">
        <f>MAX(B1306-C1306,0)*Assumptions!$B$2</f>
        <v>1.1000000000000001</v>
      </c>
    </row>
    <row r="1307" spans="1:7" x14ac:dyDescent="0.3">
      <c r="A1307" s="5">
        <f>Raw_Load_Data!A1307</f>
        <v>46231.187500003165</v>
      </c>
      <c r="B1307">
        <f>Raw_Load_Data!B1307</f>
        <v>2.2999999999999998</v>
      </c>
      <c r="C1307">
        <f>MAX(0,IF(AND(HOUR(A1307)&gt;=6,HOUR(A1307)&lt;=18),Assumptions!$B$8*SIN(PI()*(HOUR(A1307)+MINUTE(A1307)/60-6)/12),0))</f>
        <v>0</v>
      </c>
      <c r="D1307">
        <f t="shared" si="20"/>
        <v>2.2999999999999998</v>
      </c>
      <c r="E1307">
        <f>MIN(B1307,C1307)*Assumptions!$B$2</f>
        <v>0</v>
      </c>
      <c r="F1307">
        <f>MAX(C1307-B1307,0)*Assumptions!$B$2</f>
        <v>0</v>
      </c>
      <c r="G1307">
        <f>MAX(B1307-C1307,0)*Assumptions!$B$2</f>
        <v>1.1499999999999999</v>
      </c>
    </row>
    <row r="1308" spans="1:7" x14ac:dyDescent="0.3">
      <c r="A1308" s="5">
        <f>Raw_Load_Data!A1308</f>
        <v>46231.208333336501</v>
      </c>
      <c r="B1308">
        <f>Raw_Load_Data!B1308</f>
        <v>1.9</v>
      </c>
      <c r="C1308">
        <f>MAX(0,IF(AND(HOUR(A1308)&gt;=6,HOUR(A1308)&lt;=18),Assumptions!$B$8*SIN(PI()*(HOUR(A1308)+MINUTE(A1308)/60-6)/12),0))</f>
        <v>0</v>
      </c>
      <c r="D1308">
        <f t="shared" si="20"/>
        <v>1.9</v>
      </c>
      <c r="E1308">
        <f>MIN(B1308,C1308)*Assumptions!$B$2</f>
        <v>0</v>
      </c>
      <c r="F1308">
        <f>MAX(C1308-B1308,0)*Assumptions!$B$2</f>
        <v>0</v>
      </c>
      <c r="G1308">
        <f>MAX(B1308-C1308,0)*Assumptions!$B$2</f>
        <v>0.95</v>
      </c>
    </row>
    <row r="1309" spans="1:7" x14ac:dyDescent="0.3">
      <c r="A1309" s="5">
        <f>Raw_Load_Data!A1309</f>
        <v>46231.229166669837</v>
      </c>
      <c r="B1309">
        <f>Raw_Load_Data!B1309</f>
        <v>2</v>
      </c>
      <c r="C1309">
        <f>MAX(0,IF(AND(HOUR(A1309)&gt;=6,HOUR(A1309)&lt;=18),Assumptions!$B$8*SIN(PI()*(HOUR(A1309)+MINUTE(A1309)/60-6)/12),0))</f>
        <v>0</v>
      </c>
      <c r="D1309">
        <f t="shared" si="20"/>
        <v>2</v>
      </c>
      <c r="E1309">
        <f>MIN(B1309,C1309)*Assumptions!$B$2</f>
        <v>0</v>
      </c>
      <c r="F1309">
        <f>MAX(C1309-B1309,0)*Assumptions!$B$2</f>
        <v>0</v>
      </c>
      <c r="G1309">
        <f>MAX(B1309-C1309,0)*Assumptions!$B$2</f>
        <v>1</v>
      </c>
    </row>
    <row r="1310" spans="1:7" x14ac:dyDescent="0.3">
      <c r="A1310" s="5">
        <f>Raw_Load_Data!A1310</f>
        <v>46231.250000003172</v>
      </c>
      <c r="B1310">
        <f>Raw_Load_Data!B1310</f>
        <v>6.3</v>
      </c>
      <c r="C1310">
        <f>MAX(0,IF(AND(HOUR(A1310)&gt;=6,HOUR(A1310)&lt;=18),Assumptions!$B$8*SIN(PI()*(HOUR(A1310)+MINUTE(A1310)/60-6)/12),0))</f>
        <v>0</v>
      </c>
      <c r="D1310">
        <f t="shared" si="20"/>
        <v>6.3</v>
      </c>
      <c r="E1310">
        <f>MIN(B1310,C1310)*Assumptions!$B$2</f>
        <v>0</v>
      </c>
      <c r="F1310">
        <f>MAX(C1310-B1310,0)*Assumptions!$B$2</f>
        <v>0</v>
      </c>
      <c r="G1310">
        <f>MAX(B1310-C1310,0)*Assumptions!$B$2</f>
        <v>3.15</v>
      </c>
    </row>
    <row r="1311" spans="1:7" x14ac:dyDescent="0.3">
      <c r="A1311" s="5">
        <f>Raw_Load_Data!A1311</f>
        <v>46231.270833336508</v>
      </c>
      <c r="B1311">
        <f>Raw_Load_Data!B1311</f>
        <v>5.8</v>
      </c>
      <c r="C1311">
        <f>MAX(0,IF(AND(HOUR(A1311)&gt;=6,HOUR(A1311)&lt;=18),Assumptions!$B$8*SIN(PI()*(HOUR(A1311)+MINUTE(A1311)/60-6)/12),0))</f>
        <v>3.9157857666015472</v>
      </c>
      <c r="D1311">
        <f t="shared" si="20"/>
        <v>1.8842142333984526</v>
      </c>
      <c r="E1311">
        <f>MIN(B1311,C1311)*Assumptions!$B$2</f>
        <v>1.9578928833007736</v>
      </c>
      <c r="F1311">
        <f>MAX(C1311-B1311,0)*Assumptions!$B$2</f>
        <v>0</v>
      </c>
      <c r="G1311">
        <f>MAX(B1311-C1311,0)*Assumptions!$B$2</f>
        <v>0.94210711669922631</v>
      </c>
    </row>
    <row r="1312" spans="1:7" x14ac:dyDescent="0.3">
      <c r="A1312" s="5">
        <f>Raw_Load_Data!A1312</f>
        <v>46231.291666669844</v>
      </c>
      <c r="B1312">
        <f>Raw_Load_Data!B1312</f>
        <v>6.2</v>
      </c>
      <c r="C1312">
        <f>MAX(0,IF(AND(HOUR(A1312)&gt;=6,HOUR(A1312)&lt;=18),Assumptions!$B$8*SIN(PI()*(HOUR(A1312)+MINUTE(A1312)/60-6)/12),0))</f>
        <v>7.7645713530756222</v>
      </c>
      <c r="D1312">
        <f t="shared" si="20"/>
        <v>-1.564571353075622</v>
      </c>
      <c r="E1312">
        <f>MIN(B1312,C1312)*Assumptions!$B$2</f>
        <v>3.1</v>
      </c>
      <c r="F1312">
        <f>MAX(C1312-B1312,0)*Assumptions!$B$2</f>
        <v>0.782285676537811</v>
      </c>
      <c r="G1312">
        <f>MAX(B1312-C1312,0)*Assumptions!$B$2</f>
        <v>0</v>
      </c>
    </row>
    <row r="1313" spans="1:7" x14ac:dyDescent="0.3">
      <c r="A1313" s="5">
        <f>Raw_Load_Data!A1313</f>
        <v>46231.31250000318</v>
      </c>
      <c r="B1313">
        <f>Raw_Load_Data!B1313</f>
        <v>6.9</v>
      </c>
      <c r="C1313">
        <f>MAX(0,IF(AND(HOUR(A1313)&gt;=6,HOUR(A1313)&lt;=18),Assumptions!$B$8*SIN(PI()*(HOUR(A1313)+MINUTE(A1313)/60-6)/12),0))</f>
        <v>11.480502970952694</v>
      </c>
      <c r="D1313">
        <f t="shared" si="20"/>
        <v>-4.5805029709526934</v>
      </c>
      <c r="E1313">
        <f>MIN(B1313,C1313)*Assumptions!$B$2</f>
        <v>3.45</v>
      </c>
      <c r="F1313">
        <f>MAX(C1313-B1313,0)*Assumptions!$B$2</f>
        <v>2.2902514854763467</v>
      </c>
      <c r="G1313">
        <f>MAX(B1313-C1313,0)*Assumptions!$B$2</f>
        <v>0</v>
      </c>
    </row>
    <row r="1314" spans="1:7" x14ac:dyDescent="0.3">
      <c r="A1314" s="5">
        <f>Raw_Load_Data!A1314</f>
        <v>46231.333333336515</v>
      </c>
      <c r="B1314">
        <f>Raw_Load_Data!B1314</f>
        <v>15.8</v>
      </c>
      <c r="C1314">
        <f>MAX(0,IF(AND(HOUR(A1314)&gt;=6,HOUR(A1314)&lt;=18),Assumptions!$B$8*SIN(PI()*(HOUR(A1314)+MINUTE(A1314)/60-6)/12),0))</f>
        <v>14.999999999999998</v>
      </c>
      <c r="D1314">
        <f t="shared" si="20"/>
        <v>0.80000000000000249</v>
      </c>
      <c r="E1314">
        <f>MIN(B1314,C1314)*Assumptions!$B$2</f>
        <v>7.4999999999999991</v>
      </c>
      <c r="F1314">
        <f>MAX(C1314-B1314,0)*Assumptions!$B$2</f>
        <v>0</v>
      </c>
      <c r="G1314">
        <f>MAX(B1314-C1314,0)*Assumptions!$B$2</f>
        <v>0.40000000000000124</v>
      </c>
    </row>
    <row r="1315" spans="1:7" x14ac:dyDescent="0.3">
      <c r="A1315" s="5">
        <f>Raw_Load_Data!A1315</f>
        <v>46231.354166669851</v>
      </c>
      <c r="B1315">
        <f>Raw_Load_Data!B1315</f>
        <v>20.2</v>
      </c>
      <c r="C1315">
        <f>MAX(0,IF(AND(HOUR(A1315)&gt;=6,HOUR(A1315)&lt;=18),Assumptions!$B$8*SIN(PI()*(HOUR(A1315)+MINUTE(A1315)/60-6)/12),0))</f>
        <v>18.262842870261618</v>
      </c>
      <c r="D1315">
        <f t="shared" si="20"/>
        <v>1.9371571297383809</v>
      </c>
      <c r="E1315">
        <f>MIN(B1315,C1315)*Assumptions!$B$2</f>
        <v>9.1314214351308092</v>
      </c>
      <c r="F1315">
        <f>MAX(C1315-B1315,0)*Assumptions!$B$2</f>
        <v>0</v>
      </c>
      <c r="G1315">
        <f>MAX(B1315-C1315,0)*Assumptions!$B$2</f>
        <v>0.96857856486919047</v>
      </c>
    </row>
    <row r="1316" spans="1:7" x14ac:dyDescent="0.3">
      <c r="A1316" s="5">
        <f>Raw_Load_Data!A1316</f>
        <v>46231.375000003187</v>
      </c>
      <c r="B1316">
        <f>Raw_Load_Data!B1316</f>
        <v>18.100000000000001</v>
      </c>
      <c r="C1316">
        <f>MAX(0,IF(AND(HOUR(A1316)&gt;=6,HOUR(A1316)&lt;=18),Assumptions!$B$8*SIN(PI()*(HOUR(A1316)+MINUTE(A1316)/60-6)/12),0))</f>
        <v>21.213203435596423</v>
      </c>
      <c r="D1316">
        <f t="shared" si="20"/>
        <v>-3.1132034355964215</v>
      </c>
      <c r="E1316">
        <f>MIN(B1316,C1316)*Assumptions!$B$2</f>
        <v>9.0500000000000007</v>
      </c>
      <c r="F1316">
        <f>MAX(C1316-B1316,0)*Assumptions!$B$2</f>
        <v>1.5566017177982108</v>
      </c>
      <c r="G1316">
        <f>MAX(B1316-C1316,0)*Assumptions!$B$2</f>
        <v>0</v>
      </c>
    </row>
    <row r="1317" spans="1:7" x14ac:dyDescent="0.3">
      <c r="A1317" s="5">
        <f>Raw_Load_Data!A1317</f>
        <v>46231.395833336523</v>
      </c>
      <c r="B1317">
        <f>Raw_Load_Data!B1317</f>
        <v>12.9</v>
      </c>
      <c r="C1317">
        <f>MAX(0,IF(AND(HOUR(A1317)&gt;=6,HOUR(A1317)&lt;=18),Assumptions!$B$8*SIN(PI()*(HOUR(A1317)+MINUTE(A1317)/60-6)/12),0))</f>
        <v>23.800600208737055</v>
      </c>
      <c r="D1317">
        <f t="shared" si="20"/>
        <v>-10.900600208737055</v>
      </c>
      <c r="E1317">
        <f>MIN(B1317,C1317)*Assumptions!$B$2</f>
        <v>6.45</v>
      </c>
      <c r="F1317">
        <f>MAX(C1317-B1317,0)*Assumptions!$B$2</f>
        <v>5.4503001043685275</v>
      </c>
      <c r="G1317">
        <f>MAX(B1317-C1317,0)*Assumptions!$B$2</f>
        <v>0</v>
      </c>
    </row>
    <row r="1318" spans="1:7" x14ac:dyDescent="0.3">
      <c r="A1318" s="5">
        <f>Raw_Load_Data!A1318</f>
        <v>46231.416666669858</v>
      </c>
      <c r="B1318">
        <f>Raw_Load_Data!B1318</f>
        <v>16</v>
      </c>
      <c r="C1318">
        <f>MAX(0,IF(AND(HOUR(A1318)&gt;=6,HOUR(A1318)&lt;=18),Assumptions!$B$8*SIN(PI()*(HOUR(A1318)+MINUTE(A1318)/60-6)/12),0))</f>
        <v>25.980762113533157</v>
      </c>
      <c r="D1318">
        <f t="shared" si="20"/>
        <v>-9.9807621135331566</v>
      </c>
      <c r="E1318">
        <f>MIN(B1318,C1318)*Assumptions!$B$2</f>
        <v>8</v>
      </c>
      <c r="F1318">
        <f>MAX(C1318-B1318,0)*Assumptions!$B$2</f>
        <v>4.9903810567665783</v>
      </c>
      <c r="G1318">
        <f>MAX(B1318-C1318,0)*Assumptions!$B$2</f>
        <v>0</v>
      </c>
    </row>
    <row r="1319" spans="1:7" x14ac:dyDescent="0.3">
      <c r="A1319" s="5">
        <f>Raw_Load_Data!A1319</f>
        <v>46231.437500003194</v>
      </c>
      <c r="B1319">
        <f>Raw_Load_Data!B1319</f>
        <v>19.100000000000001</v>
      </c>
      <c r="C1319">
        <f>MAX(0,IF(AND(HOUR(A1319)&gt;=6,HOUR(A1319)&lt;=18),Assumptions!$B$8*SIN(PI()*(HOUR(A1319)+MINUTE(A1319)/60-6)/12),0))</f>
        <v>27.716385975338603</v>
      </c>
      <c r="D1319">
        <f t="shared" si="20"/>
        <v>-8.6163859753386021</v>
      </c>
      <c r="E1319">
        <f>MIN(B1319,C1319)*Assumptions!$B$2</f>
        <v>9.5500000000000007</v>
      </c>
      <c r="F1319">
        <f>MAX(C1319-B1319,0)*Assumptions!$B$2</f>
        <v>4.308192987669301</v>
      </c>
      <c r="G1319">
        <f>MAX(B1319-C1319,0)*Assumptions!$B$2</f>
        <v>0</v>
      </c>
    </row>
    <row r="1320" spans="1:7" x14ac:dyDescent="0.3">
      <c r="A1320" s="5">
        <f>Raw_Load_Data!A1320</f>
        <v>46231.45833333653</v>
      </c>
      <c r="B1320">
        <f>Raw_Load_Data!B1320</f>
        <v>13.5</v>
      </c>
      <c r="C1320">
        <f>MAX(0,IF(AND(HOUR(A1320)&gt;=6,HOUR(A1320)&lt;=18),Assumptions!$B$8*SIN(PI()*(HOUR(A1320)+MINUTE(A1320)/60-6)/12),0))</f>
        <v>28.97777478867205</v>
      </c>
      <c r="D1320">
        <f t="shared" si="20"/>
        <v>-15.47777478867205</v>
      </c>
      <c r="E1320">
        <f>MIN(B1320,C1320)*Assumptions!$B$2</f>
        <v>6.75</v>
      </c>
      <c r="F1320">
        <f>MAX(C1320-B1320,0)*Assumptions!$B$2</f>
        <v>7.7388873943360252</v>
      </c>
      <c r="G1320">
        <f>MAX(B1320-C1320,0)*Assumptions!$B$2</f>
        <v>0</v>
      </c>
    </row>
    <row r="1321" spans="1:7" x14ac:dyDescent="0.3">
      <c r="A1321" s="5">
        <f>Raw_Load_Data!A1321</f>
        <v>46231.479166669866</v>
      </c>
      <c r="B1321">
        <f>Raw_Load_Data!B1321</f>
        <v>19.600000000000001</v>
      </c>
      <c r="C1321">
        <f>MAX(0,IF(AND(HOUR(A1321)&gt;=6,HOUR(A1321)&lt;=18),Assumptions!$B$8*SIN(PI()*(HOUR(A1321)+MINUTE(A1321)/60-6)/12),0))</f>
        <v>29.74334584121431</v>
      </c>
      <c r="D1321">
        <f t="shared" si="20"/>
        <v>-10.143345841214309</v>
      </c>
      <c r="E1321">
        <f>MIN(B1321,C1321)*Assumptions!$B$2</f>
        <v>9.8000000000000007</v>
      </c>
      <c r="F1321">
        <f>MAX(C1321-B1321,0)*Assumptions!$B$2</f>
        <v>5.0716729206071545</v>
      </c>
      <c r="G1321">
        <f>MAX(B1321-C1321,0)*Assumptions!$B$2</f>
        <v>0</v>
      </c>
    </row>
    <row r="1322" spans="1:7" x14ac:dyDescent="0.3">
      <c r="A1322" s="5">
        <f>Raw_Load_Data!A1322</f>
        <v>46231.500000003201</v>
      </c>
      <c r="B1322">
        <f>Raw_Load_Data!B1322</f>
        <v>24.4</v>
      </c>
      <c r="C1322">
        <f>MAX(0,IF(AND(HOUR(A1322)&gt;=6,HOUR(A1322)&lt;=18),Assumptions!$B$8*SIN(PI()*(HOUR(A1322)+MINUTE(A1322)/60-6)/12),0))</f>
        <v>30</v>
      </c>
      <c r="D1322">
        <f t="shared" si="20"/>
        <v>-5.6000000000000014</v>
      </c>
      <c r="E1322">
        <f>MIN(B1322,C1322)*Assumptions!$B$2</f>
        <v>12.2</v>
      </c>
      <c r="F1322">
        <f>MAX(C1322-B1322,0)*Assumptions!$B$2</f>
        <v>2.8000000000000007</v>
      </c>
      <c r="G1322">
        <f>MAX(B1322-C1322,0)*Assumptions!$B$2</f>
        <v>0</v>
      </c>
    </row>
    <row r="1323" spans="1:7" x14ac:dyDescent="0.3">
      <c r="A1323" s="5">
        <f>Raw_Load_Data!A1323</f>
        <v>46231.520833336537</v>
      </c>
      <c r="B1323">
        <f>Raw_Load_Data!B1323</f>
        <v>34.700000000000003</v>
      </c>
      <c r="C1323">
        <f>MAX(0,IF(AND(HOUR(A1323)&gt;=6,HOUR(A1323)&lt;=18),Assumptions!$B$8*SIN(PI()*(HOUR(A1323)+MINUTE(A1323)/60-6)/12),0))</f>
        <v>29.74334584121431</v>
      </c>
      <c r="D1323">
        <f t="shared" si="20"/>
        <v>4.9566541587856925</v>
      </c>
      <c r="E1323">
        <f>MIN(B1323,C1323)*Assumptions!$B$2</f>
        <v>14.871672920607155</v>
      </c>
      <c r="F1323">
        <f>MAX(C1323-B1323,0)*Assumptions!$B$2</f>
        <v>0</v>
      </c>
      <c r="G1323">
        <f>MAX(B1323-C1323,0)*Assumptions!$B$2</f>
        <v>2.4783270793928462</v>
      </c>
    </row>
    <row r="1324" spans="1:7" x14ac:dyDescent="0.3">
      <c r="A1324" s="5">
        <f>Raw_Load_Data!A1324</f>
        <v>46231.541666669873</v>
      </c>
      <c r="B1324">
        <f>Raw_Load_Data!B1324</f>
        <v>26.8</v>
      </c>
      <c r="C1324">
        <f>MAX(0,IF(AND(HOUR(A1324)&gt;=6,HOUR(A1324)&lt;=18),Assumptions!$B$8*SIN(PI()*(HOUR(A1324)+MINUTE(A1324)/60-6)/12),0))</f>
        <v>28.97777478867205</v>
      </c>
      <c r="D1324">
        <f t="shared" si="20"/>
        <v>-2.1777747886720498</v>
      </c>
      <c r="E1324">
        <f>MIN(B1324,C1324)*Assumptions!$B$2</f>
        <v>13.4</v>
      </c>
      <c r="F1324">
        <f>MAX(C1324-B1324,0)*Assumptions!$B$2</f>
        <v>1.0888873943360249</v>
      </c>
      <c r="G1324">
        <f>MAX(B1324-C1324,0)*Assumptions!$B$2</f>
        <v>0</v>
      </c>
    </row>
    <row r="1325" spans="1:7" x14ac:dyDescent="0.3">
      <c r="A1325" s="5">
        <f>Raw_Load_Data!A1325</f>
        <v>46231.562500003209</v>
      </c>
      <c r="B1325">
        <f>Raw_Load_Data!B1325</f>
        <v>30.6</v>
      </c>
      <c r="C1325">
        <f>MAX(0,IF(AND(HOUR(A1325)&gt;=6,HOUR(A1325)&lt;=18),Assumptions!$B$8*SIN(PI()*(HOUR(A1325)+MINUTE(A1325)/60-6)/12),0))</f>
        <v>27.716385975338607</v>
      </c>
      <c r="D1325">
        <f t="shared" si="20"/>
        <v>2.8836140246613944</v>
      </c>
      <c r="E1325">
        <f>MIN(B1325,C1325)*Assumptions!$B$2</f>
        <v>13.858192987669304</v>
      </c>
      <c r="F1325">
        <f>MAX(C1325-B1325,0)*Assumptions!$B$2</f>
        <v>0</v>
      </c>
      <c r="G1325">
        <f>MAX(B1325-C1325,0)*Assumptions!$B$2</f>
        <v>1.4418070123306972</v>
      </c>
    </row>
    <row r="1326" spans="1:7" x14ac:dyDescent="0.3">
      <c r="A1326" s="5">
        <f>Raw_Load_Data!A1326</f>
        <v>46231.583333336544</v>
      </c>
      <c r="B1326">
        <f>Raw_Load_Data!B1326</f>
        <v>26</v>
      </c>
      <c r="C1326">
        <f>MAX(0,IF(AND(HOUR(A1326)&gt;=6,HOUR(A1326)&lt;=18),Assumptions!$B$8*SIN(PI()*(HOUR(A1326)+MINUTE(A1326)/60-6)/12),0))</f>
        <v>25.98076211353316</v>
      </c>
      <c r="D1326">
        <f t="shared" si="20"/>
        <v>1.9237886466839882E-2</v>
      </c>
      <c r="E1326">
        <f>MIN(B1326,C1326)*Assumptions!$B$2</f>
        <v>12.99038105676658</v>
      </c>
      <c r="F1326">
        <f>MAX(C1326-B1326,0)*Assumptions!$B$2</f>
        <v>0</v>
      </c>
      <c r="G1326">
        <f>MAX(B1326-C1326,0)*Assumptions!$B$2</f>
        <v>9.618943233419941E-3</v>
      </c>
    </row>
    <row r="1327" spans="1:7" x14ac:dyDescent="0.3">
      <c r="A1327" s="5">
        <f>Raw_Load_Data!A1327</f>
        <v>46231.60416666988</v>
      </c>
      <c r="B1327">
        <f>Raw_Load_Data!B1327</f>
        <v>22.3</v>
      </c>
      <c r="C1327">
        <f>MAX(0,IF(AND(HOUR(A1327)&gt;=6,HOUR(A1327)&lt;=18),Assumptions!$B$8*SIN(PI()*(HOUR(A1327)+MINUTE(A1327)/60-6)/12),0))</f>
        <v>23.800600208737055</v>
      </c>
      <c r="D1327">
        <f t="shared" si="20"/>
        <v>-1.5006002087370547</v>
      </c>
      <c r="E1327">
        <f>MIN(B1327,C1327)*Assumptions!$B$2</f>
        <v>11.15</v>
      </c>
      <c r="F1327">
        <f>MAX(C1327-B1327,0)*Assumptions!$B$2</f>
        <v>0.75030010436852734</v>
      </c>
      <c r="G1327">
        <f>MAX(B1327-C1327,0)*Assumptions!$B$2</f>
        <v>0</v>
      </c>
    </row>
    <row r="1328" spans="1:7" x14ac:dyDescent="0.3">
      <c r="A1328" s="5">
        <f>Raw_Load_Data!A1328</f>
        <v>46231.625000003216</v>
      </c>
      <c r="B1328">
        <f>Raw_Load_Data!B1328</f>
        <v>34.200000000000003</v>
      </c>
      <c r="C1328">
        <f>MAX(0,IF(AND(HOUR(A1328)&gt;=6,HOUR(A1328)&lt;=18),Assumptions!$B$8*SIN(PI()*(HOUR(A1328)+MINUTE(A1328)/60-6)/12),0))</f>
        <v>21.213203435596427</v>
      </c>
      <c r="D1328">
        <f t="shared" si="20"/>
        <v>12.986796564403576</v>
      </c>
      <c r="E1328">
        <f>MIN(B1328,C1328)*Assumptions!$B$2</f>
        <v>10.606601717798213</v>
      </c>
      <c r="F1328">
        <f>MAX(C1328-B1328,0)*Assumptions!$B$2</f>
        <v>0</v>
      </c>
      <c r="G1328">
        <f>MAX(B1328-C1328,0)*Assumptions!$B$2</f>
        <v>6.4933982822017882</v>
      </c>
    </row>
    <row r="1329" spans="1:7" x14ac:dyDescent="0.3">
      <c r="A1329" s="5">
        <f>Raw_Load_Data!A1329</f>
        <v>46231.645833336552</v>
      </c>
      <c r="B1329">
        <f>Raw_Load_Data!B1329</f>
        <v>21</v>
      </c>
      <c r="C1329">
        <f>MAX(0,IF(AND(HOUR(A1329)&gt;=6,HOUR(A1329)&lt;=18),Assumptions!$B$8*SIN(PI()*(HOUR(A1329)+MINUTE(A1329)/60-6)/12),0))</f>
        <v>18.262842870261625</v>
      </c>
      <c r="D1329">
        <f t="shared" si="20"/>
        <v>2.7371571297383746</v>
      </c>
      <c r="E1329">
        <f>MIN(B1329,C1329)*Assumptions!$B$2</f>
        <v>9.1314214351308127</v>
      </c>
      <c r="F1329">
        <f>MAX(C1329-B1329,0)*Assumptions!$B$2</f>
        <v>0</v>
      </c>
      <c r="G1329">
        <f>MAX(B1329-C1329,0)*Assumptions!$B$2</f>
        <v>1.3685785648691873</v>
      </c>
    </row>
    <row r="1330" spans="1:7" x14ac:dyDescent="0.3">
      <c r="A1330" s="5">
        <f>Raw_Load_Data!A1330</f>
        <v>46231.666666669887</v>
      </c>
      <c r="B1330">
        <f>Raw_Load_Data!B1330</f>
        <v>16</v>
      </c>
      <c r="C1330">
        <f>MAX(0,IF(AND(HOUR(A1330)&gt;=6,HOUR(A1330)&lt;=18),Assumptions!$B$8*SIN(PI()*(HOUR(A1330)+MINUTE(A1330)/60-6)/12),0))</f>
        <v>14.999999999999998</v>
      </c>
      <c r="D1330">
        <f t="shared" si="20"/>
        <v>1.0000000000000018</v>
      </c>
      <c r="E1330">
        <f>MIN(B1330,C1330)*Assumptions!$B$2</f>
        <v>7.4999999999999991</v>
      </c>
      <c r="F1330">
        <f>MAX(C1330-B1330,0)*Assumptions!$B$2</f>
        <v>0</v>
      </c>
      <c r="G1330">
        <f>MAX(B1330-C1330,0)*Assumptions!$B$2</f>
        <v>0.50000000000000089</v>
      </c>
    </row>
    <row r="1331" spans="1:7" x14ac:dyDescent="0.3">
      <c r="A1331" s="5">
        <f>Raw_Load_Data!A1331</f>
        <v>46231.687500003223</v>
      </c>
      <c r="B1331">
        <f>Raw_Load_Data!B1331</f>
        <v>19.600000000000001</v>
      </c>
      <c r="C1331">
        <f>MAX(0,IF(AND(HOUR(A1331)&gt;=6,HOUR(A1331)&lt;=18),Assumptions!$B$8*SIN(PI()*(HOUR(A1331)+MINUTE(A1331)/60-6)/12),0))</f>
        <v>11.480502970952697</v>
      </c>
      <c r="D1331">
        <f t="shared" si="20"/>
        <v>8.1194970290473041</v>
      </c>
      <c r="E1331">
        <f>MIN(B1331,C1331)*Assumptions!$B$2</f>
        <v>5.7402514854763487</v>
      </c>
      <c r="F1331">
        <f>MAX(C1331-B1331,0)*Assumptions!$B$2</f>
        <v>0</v>
      </c>
      <c r="G1331">
        <f>MAX(B1331-C1331,0)*Assumptions!$B$2</f>
        <v>4.059748514523652</v>
      </c>
    </row>
    <row r="1332" spans="1:7" x14ac:dyDescent="0.3">
      <c r="A1332" s="5">
        <f>Raw_Load_Data!A1332</f>
        <v>46231.708333336559</v>
      </c>
      <c r="B1332">
        <f>Raw_Load_Data!B1332</f>
        <v>13.3</v>
      </c>
      <c r="C1332">
        <f>MAX(0,IF(AND(HOUR(A1332)&gt;=6,HOUR(A1332)&lt;=18),Assumptions!$B$8*SIN(PI()*(HOUR(A1332)+MINUTE(A1332)/60-6)/12),0))</f>
        <v>7.7645713530756302</v>
      </c>
      <c r="D1332">
        <f t="shared" si="20"/>
        <v>5.5354286469243705</v>
      </c>
      <c r="E1332">
        <f>MIN(B1332,C1332)*Assumptions!$B$2</f>
        <v>3.8822856765378151</v>
      </c>
      <c r="F1332">
        <f>MAX(C1332-B1332,0)*Assumptions!$B$2</f>
        <v>0</v>
      </c>
      <c r="G1332">
        <f>MAX(B1332-C1332,0)*Assumptions!$B$2</f>
        <v>2.7677143234621853</v>
      </c>
    </row>
    <row r="1333" spans="1:7" x14ac:dyDescent="0.3">
      <c r="A1333" s="5">
        <f>Raw_Load_Data!A1333</f>
        <v>46231.729166669895</v>
      </c>
      <c r="B1333">
        <f>Raw_Load_Data!B1333</f>
        <v>11.1</v>
      </c>
      <c r="C1333">
        <f>MAX(0,IF(AND(HOUR(A1333)&gt;=6,HOUR(A1333)&lt;=18),Assumptions!$B$8*SIN(PI()*(HOUR(A1333)+MINUTE(A1333)/60-6)/12),0))</f>
        <v>3.9157857666015596</v>
      </c>
      <c r="D1333">
        <f t="shared" si="20"/>
        <v>7.18421423339844</v>
      </c>
      <c r="E1333">
        <f>MIN(B1333,C1333)*Assumptions!$B$2</f>
        <v>1.9578928833007798</v>
      </c>
      <c r="F1333">
        <f>MAX(C1333-B1333,0)*Assumptions!$B$2</f>
        <v>0</v>
      </c>
      <c r="G1333">
        <f>MAX(B1333-C1333,0)*Assumptions!$B$2</f>
        <v>3.59210711669922</v>
      </c>
    </row>
    <row r="1334" spans="1:7" x14ac:dyDescent="0.3">
      <c r="A1334" s="5">
        <f>Raw_Load_Data!A1334</f>
        <v>46231.750000003231</v>
      </c>
      <c r="B1334">
        <f>Raw_Load_Data!B1334</f>
        <v>18</v>
      </c>
      <c r="C1334">
        <f>MAX(0,IF(AND(HOUR(A1334)&gt;=6,HOUR(A1334)&lt;=18),Assumptions!$B$8*SIN(PI()*(HOUR(A1334)+MINUTE(A1334)/60-6)/12),0))</f>
        <v>3.67544536472586E-15</v>
      </c>
      <c r="D1334">
        <f t="shared" si="20"/>
        <v>17.999999999999996</v>
      </c>
      <c r="E1334">
        <f>MIN(B1334,C1334)*Assumptions!$B$2</f>
        <v>1.83772268236293E-15</v>
      </c>
      <c r="F1334">
        <f>MAX(C1334-B1334,0)*Assumptions!$B$2</f>
        <v>0</v>
      </c>
      <c r="G1334">
        <f>MAX(B1334-C1334,0)*Assumptions!$B$2</f>
        <v>8.9999999999999982</v>
      </c>
    </row>
    <row r="1335" spans="1:7" x14ac:dyDescent="0.3">
      <c r="A1335" s="5">
        <f>Raw_Load_Data!A1335</f>
        <v>46231.770833336566</v>
      </c>
      <c r="B1335">
        <f>Raw_Load_Data!B1335</f>
        <v>14</v>
      </c>
      <c r="C1335">
        <f>MAX(0,IF(AND(HOUR(A1335)&gt;=6,HOUR(A1335)&lt;=18),Assumptions!$B$8*SIN(PI()*(HOUR(A1335)+MINUTE(A1335)/60-6)/12),0))</f>
        <v>0</v>
      </c>
      <c r="D1335">
        <f t="shared" si="20"/>
        <v>14</v>
      </c>
      <c r="E1335">
        <f>MIN(B1335,C1335)*Assumptions!$B$2</f>
        <v>0</v>
      </c>
      <c r="F1335">
        <f>MAX(C1335-B1335,0)*Assumptions!$B$2</f>
        <v>0</v>
      </c>
      <c r="G1335">
        <f>MAX(B1335-C1335,0)*Assumptions!$B$2</f>
        <v>7</v>
      </c>
    </row>
    <row r="1336" spans="1:7" x14ac:dyDescent="0.3">
      <c r="A1336" s="5">
        <f>Raw_Load_Data!A1336</f>
        <v>46231.791666669902</v>
      </c>
      <c r="B1336">
        <f>Raw_Load_Data!B1336</f>
        <v>4.8</v>
      </c>
      <c r="C1336">
        <f>MAX(0,IF(AND(HOUR(A1336)&gt;=6,HOUR(A1336)&lt;=18),Assumptions!$B$8*SIN(PI()*(HOUR(A1336)+MINUTE(A1336)/60-6)/12),0))</f>
        <v>0</v>
      </c>
      <c r="D1336">
        <f t="shared" si="20"/>
        <v>4.8</v>
      </c>
      <c r="E1336">
        <f>MIN(B1336,C1336)*Assumptions!$B$2</f>
        <v>0</v>
      </c>
      <c r="F1336">
        <f>MAX(C1336-B1336,0)*Assumptions!$B$2</f>
        <v>0</v>
      </c>
      <c r="G1336">
        <f>MAX(B1336-C1336,0)*Assumptions!$B$2</f>
        <v>2.4</v>
      </c>
    </row>
    <row r="1337" spans="1:7" x14ac:dyDescent="0.3">
      <c r="A1337" s="5">
        <f>Raw_Load_Data!A1337</f>
        <v>46231.812500003238</v>
      </c>
      <c r="B1337">
        <f>Raw_Load_Data!B1337</f>
        <v>4.5</v>
      </c>
      <c r="C1337">
        <f>MAX(0,IF(AND(HOUR(A1337)&gt;=6,HOUR(A1337)&lt;=18),Assumptions!$B$8*SIN(PI()*(HOUR(A1337)+MINUTE(A1337)/60-6)/12),0))</f>
        <v>0</v>
      </c>
      <c r="D1337">
        <f t="shared" si="20"/>
        <v>4.5</v>
      </c>
      <c r="E1337">
        <f>MIN(B1337,C1337)*Assumptions!$B$2</f>
        <v>0</v>
      </c>
      <c r="F1337">
        <f>MAX(C1337-B1337,0)*Assumptions!$B$2</f>
        <v>0</v>
      </c>
      <c r="G1337">
        <f>MAX(B1337-C1337,0)*Assumptions!$B$2</f>
        <v>2.25</v>
      </c>
    </row>
    <row r="1338" spans="1:7" x14ac:dyDescent="0.3">
      <c r="A1338" s="5">
        <f>Raw_Load_Data!A1338</f>
        <v>46231.833333336574</v>
      </c>
      <c r="B1338">
        <f>Raw_Load_Data!B1338</f>
        <v>5.8</v>
      </c>
      <c r="C1338">
        <f>MAX(0,IF(AND(HOUR(A1338)&gt;=6,HOUR(A1338)&lt;=18),Assumptions!$B$8*SIN(PI()*(HOUR(A1338)+MINUTE(A1338)/60-6)/12),0))</f>
        <v>0</v>
      </c>
      <c r="D1338">
        <f t="shared" si="20"/>
        <v>5.8</v>
      </c>
      <c r="E1338">
        <f>MIN(B1338,C1338)*Assumptions!$B$2</f>
        <v>0</v>
      </c>
      <c r="F1338">
        <f>MAX(C1338-B1338,0)*Assumptions!$B$2</f>
        <v>0</v>
      </c>
      <c r="G1338">
        <f>MAX(B1338-C1338,0)*Assumptions!$B$2</f>
        <v>2.9</v>
      </c>
    </row>
    <row r="1339" spans="1:7" x14ac:dyDescent="0.3">
      <c r="A1339" s="5">
        <f>Raw_Load_Data!A1339</f>
        <v>46231.854166669909</v>
      </c>
      <c r="B1339">
        <f>Raw_Load_Data!B1339</f>
        <v>7.6</v>
      </c>
      <c r="C1339">
        <f>MAX(0,IF(AND(HOUR(A1339)&gt;=6,HOUR(A1339)&lt;=18),Assumptions!$B$8*SIN(PI()*(HOUR(A1339)+MINUTE(A1339)/60-6)/12),0))</f>
        <v>0</v>
      </c>
      <c r="D1339">
        <f t="shared" si="20"/>
        <v>7.6</v>
      </c>
      <c r="E1339">
        <f>MIN(B1339,C1339)*Assumptions!$B$2</f>
        <v>0</v>
      </c>
      <c r="F1339">
        <f>MAX(C1339-B1339,0)*Assumptions!$B$2</f>
        <v>0</v>
      </c>
      <c r="G1339">
        <f>MAX(B1339-C1339,0)*Assumptions!$B$2</f>
        <v>3.8</v>
      </c>
    </row>
    <row r="1340" spans="1:7" x14ac:dyDescent="0.3">
      <c r="A1340" s="5">
        <f>Raw_Load_Data!A1340</f>
        <v>46231.875000003245</v>
      </c>
      <c r="B1340">
        <f>Raw_Load_Data!B1340</f>
        <v>7</v>
      </c>
      <c r="C1340">
        <f>MAX(0,IF(AND(HOUR(A1340)&gt;=6,HOUR(A1340)&lt;=18),Assumptions!$B$8*SIN(PI()*(HOUR(A1340)+MINUTE(A1340)/60-6)/12),0))</f>
        <v>0</v>
      </c>
      <c r="D1340">
        <f t="shared" si="20"/>
        <v>7</v>
      </c>
      <c r="E1340">
        <f>MIN(B1340,C1340)*Assumptions!$B$2</f>
        <v>0</v>
      </c>
      <c r="F1340">
        <f>MAX(C1340-B1340,0)*Assumptions!$B$2</f>
        <v>0</v>
      </c>
      <c r="G1340">
        <f>MAX(B1340-C1340,0)*Assumptions!$B$2</f>
        <v>3.5</v>
      </c>
    </row>
    <row r="1341" spans="1:7" x14ac:dyDescent="0.3">
      <c r="A1341" s="5">
        <f>Raw_Load_Data!A1341</f>
        <v>46231.895833336581</v>
      </c>
      <c r="B1341">
        <f>Raw_Load_Data!B1341</f>
        <v>3.7</v>
      </c>
      <c r="C1341">
        <f>MAX(0,IF(AND(HOUR(A1341)&gt;=6,HOUR(A1341)&lt;=18),Assumptions!$B$8*SIN(PI()*(HOUR(A1341)+MINUTE(A1341)/60-6)/12),0))</f>
        <v>0</v>
      </c>
      <c r="D1341">
        <f t="shared" si="20"/>
        <v>3.7</v>
      </c>
      <c r="E1341">
        <f>MIN(B1341,C1341)*Assumptions!$B$2</f>
        <v>0</v>
      </c>
      <c r="F1341">
        <f>MAX(C1341-B1341,0)*Assumptions!$B$2</f>
        <v>0</v>
      </c>
      <c r="G1341">
        <f>MAX(B1341-C1341,0)*Assumptions!$B$2</f>
        <v>1.85</v>
      </c>
    </row>
    <row r="1342" spans="1:7" x14ac:dyDescent="0.3">
      <c r="A1342" s="5">
        <f>Raw_Load_Data!A1342</f>
        <v>46231.916666669917</v>
      </c>
      <c r="B1342">
        <f>Raw_Load_Data!B1342</f>
        <v>3.2</v>
      </c>
      <c r="C1342">
        <f>MAX(0,IF(AND(HOUR(A1342)&gt;=6,HOUR(A1342)&lt;=18),Assumptions!$B$8*SIN(PI()*(HOUR(A1342)+MINUTE(A1342)/60-6)/12),0))</f>
        <v>0</v>
      </c>
      <c r="D1342">
        <f t="shared" si="20"/>
        <v>3.2</v>
      </c>
      <c r="E1342">
        <f>MIN(B1342,C1342)*Assumptions!$B$2</f>
        <v>0</v>
      </c>
      <c r="F1342">
        <f>MAX(C1342-B1342,0)*Assumptions!$B$2</f>
        <v>0</v>
      </c>
      <c r="G1342">
        <f>MAX(B1342-C1342,0)*Assumptions!$B$2</f>
        <v>1.6</v>
      </c>
    </row>
    <row r="1343" spans="1:7" x14ac:dyDescent="0.3">
      <c r="A1343" s="5">
        <f>Raw_Load_Data!A1343</f>
        <v>46231.937500003252</v>
      </c>
      <c r="B1343">
        <f>Raw_Load_Data!B1343</f>
        <v>4.5999999999999996</v>
      </c>
      <c r="C1343">
        <f>MAX(0,IF(AND(HOUR(A1343)&gt;=6,HOUR(A1343)&lt;=18),Assumptions!$B$8*SIN(PI()*(HOUR(A1343)+MINUTE(A1343)/60-6)/12),0))</f>
        <v>0</v>
      </c>
      <c r="D1343">
        <f t="shared" si="20"/>
        <v>4.5999999999999996</v>
      </c>
      <c r="E1343">
        <f>MIN(B1343,C1343)*Assumptions!$B$2</f>
        <v>0</v>
      </c>
      <c r="F1343">
        <f>MAX(C1343-B1343,0)*Assumptions!$B$2</f>
        <v>0</v>
      </c>
      <c r="G1343">
        <f>MAX(B1343-C1343,0)*Assumptions!$B$2</f>
        <v>2.2999999999999998</v>
      </c>
    </row>
    <row r="1344" spans="1:7" x14ac:dyDescent="0.3">
      <c r="A1344" s="5">
        <f>Raw_Load_Data!A1344</f>
        <v>46231.958333336588</v>
      </c>
      <c r="B1344">
        <f>Raw_Load_Data!B1344</f>
        <v>5.9</v>
      </c>
      <c r="C1344">
        <f>MAX(0,IF(AND(HOUR(A1344)&gt;=6,HOUR(A1344)&lt;=18),Assumptions!$B$8*SIN(PI()*(HOUR(A1344)+MINUTE(A1344)/60-6)/12),0))</f>
        <v>0</v>
      </c>
      <c r="D1344">
        <f t="shared" si="20"/>
        <v>5.9</v>
      </c>
      <c r="E1344">
        <f>MIN(B1344,C1344)*Assumptions!$B$2</f>
        <v>0</v>
      </c>
      <c r="F1344">
        <f>MAX(C1344-B1344,0)*Assumptions!$B$2</f>
        <v>0</v>
      </c>
      <c r="G1344">
        <f>MAX(B1344-C1344,0)*Assumptions!$B$2</f>
        <v>2.95</v>
      </c>
    </row>
    <row r="1345" spans="1:7" x14ac:dyDescent="0.3">
      <c r="A1345" s="5">
        <f>Raw_Load_Data!A1345</f>
        <v>46231.979166669924</v>
      </c>
      <c r="B1345">
        <f>Raw_Load_Data!B1345</f>
        <v>6.2</v>
      </c>
      <c r="C1345">
        <f>MAX(0,IF(AND(HOUR(A1345)&gt;=6,HOUR(A1345)&lt;=18),Assumptions!$B$8*SIN(PI()*(HOUR(A1345)+MINUTE(A1345)/60-6)/12),0))</f>
        <v>0</v>
      </c>
      <c r="D1345">
        <f t="shared" si="20"/>
        <v>6.2</v>
      </c>
      <c r="E1345">
        <f>MIN(B1345,C1345)*Assumptions!$B$2</f>
        <v>0</v>
      </c>
      <c r="F1345">
        <f>MAX(C1345-B1345,0)*Assumptions!$B$2</f>
        <v>0</v>
      </c>
      <c r="G1345">
        <f>MAX(B1345-C1345,0)*Assumptions!$B$2</f>
        <v>3.1</v>
      </c>
    </row>
    <row r="1346" spans="1:7" x14ac:dyDescent="0.3">
      <c r="A1346" s="5">
        <f>Raw_Load_Data!A1346</f>
        <v>46232.00000000326</v>
      </c>
      <c r="B1346">
        <f>Raw_Load_Data!B1346</f>
        <v>1.9</v>
      </c>
      <c r="C1346">
        <f>MAX(0,IF(AND(HOUR(A1346)&gt;=6,HOUR(A1346)&lt;=18),Assumptions!$B$8*SIN(PI()*(HOUR(A1346)+MINUTE(A1346)/60-6)/12),0))</f>
        <v>0</v>
      </c>
      <c r="D1346">
        <f t="shared" si="20"/>
        <v>1.9</v>
      </c>
      <c r="E1346">
        <f>MIN(B1346,C1346)*Assumptions!$B$2</f>
        <v>0</v>
      </c>
      <c r="F1346">
        <f>MAX(C1346-B1346,0)*Assumptions!$B$2</f>
        <v>0</v>
      </c>
      <c r="G1346">
        <f>MAX(B1346-C1346,0)*Assumptions!$B$2</f>
        <v>0.95</v>
      </c>
    </row>
    <row r="1347" spans="1:7" x14ac:dyDescent="0.3">
      <c r="A1347" s="5">
        <f>Raw_Load_Data!A1347</f>
        <v>46232.020833336595</v>
      </c>
      <c r="B1347">
        <f>Raw_Load_Data!B1347</f>
        <v>2.9</v>
      </c>
      <c r="C1347">
        <f>MAX(0,IF(AND(HOUR(A1347)&gt;=6,HOUR(A1347)&lt;=18),Assumptions!$B$8*SIN(PI()*(HOUR(A1347)+MINUTE(A1347)/60-6)/12),0))</f>
        <v>0</v>
      </c>
      <c r="D1347">
        <f t="shared" ref="D1347:D1410" si="21">B1347-C1347</f>
        <v>2.9</v>
      </c>
      <c r="E1347">
        <f>MIN(B1347,C1347)*Assumptions!$B$2</f>
        <v>0</v>
      </c>
      <c r="F1347">
        <f>MAX(C1347-B1347,0)*Assumptions!$B$2</f>
        <v>0</v>
      </c>
      <c r="G1347">
        <f>MAX(B1347-C1347,0)*Assumptions!$B$2</f>
        <v>1.45</v>
      </c>
    </row>
    <row r="1348" spans="1:7" x14ac:dyDescent="0.3">
      <c r="A1348" s="5">
        <f>Raw_Load_Data!A1348</f>
        <v>46232.041666669931</v>
      </c>
      <c r="B1348">
        <f>Raw_Load_Data!B1348</f>
        <v>2.8</v>
      </c>
      <c r="C1348">
        <f>MAX(0,IF(AND(HOUR(A1348)&gt;=6,HOUR(A1348)&lt;=18),Assumptions!$B$8*SIN(PI()*(HOUR(A1348)+MINUTE(A1348)/60-6)/12),0))</f>
        <v>0</v>
      </c>
      <c r="D1348">
        <f t="shared" si="21"/>
        <v>2.8</v>
      </c>
      <c r="E1348">
        <f>MIN(B1348,C1348)*Assumptions!$B$2</f>
        <v>0</v>
      </c>
      <c r="F1348">
        <f>MAX(C1348-B1348,0)*Assumptions!$B$2</f>
        <v>0</v>
      </c>
      <c r="G1348">
        <f>MAX(B1348-C1348,0)*Assumptions!$B$2</f>
        <v>1.4</v>
      </c>
    </row>
    <row r="1349" spans="1:7" x14ac:dyDescent="0.3">
      <c r="A1349" s="5">
        <f>Raw_Load_Data!A1349</f>
        <v>46232.062500003267</v>
      </c>
      <c r="B1349">
        <f>Raw_Load_Data!B1349</f>
        <v>2.6</v>
      </c>
      <c r="C1349">
        <f>MAX(0,IF(AND(HOUR(A1349)&gt;=6,HOUR(A1349)&lt;=18),Assumptions!$B$8*SIN(PI()*(HOUR(A1349)+MINUTE(A1349)/60-6)/12),0))</f>
        <v>0</v>
      </c>
      <c r="D1349">
        <f t="shared" si="21"/>
        <v>2.6</v>
      </c>
      <c r="E1349">
        <f>MIN(B1349,C1349)*Assumptions!$B$2</f>
        <v>0</v>
      </c>
      <c r="F1349">
        <f>MAX(C1349-B1349,0)*Assumptions!$B$2</f>
        <v>0</v>
      </c>
      <c r="G1349">
        <f>MAX(B1349-C1349,0)*Assumptions!$B$2</f>
        <v>1.3</v>
      </c>
    </row>
    <row r="1350" spans="1:7" x14ac:dyDescent="0.3">
      <c r="A1350" s="5">
        <f>Raw_Load_Data!A1350</f>
        <v>46232.083333336603</v>
      </c>
      <c r="B1350">
        <f>Raw_Load_Data!B1350</f>
        <v>2.2999999999999998</v>
      </c>
      <c r="C1350">
        <f>MAX(0,IF(AND(HOUR(A1350)&gt;=6,HOUR(A1350)&lt;=18),Assumptions!$B$8*SIN(PI()*(HOUR(A1350)+MINUTE(A1350)/60-6)/12),0))</f>
        <v>0</v>
      </c>
      <c r="D1350">
        <f t="shared" si="21"/>
        <v>2.2999999999999998</v>
      </c>
      <c r="E1350">
        <f>MIN(B1350,C1350)*Assumptions!$B$2</f>
        <v>0</v>
      </c>
      <c r="F1350">
        <f>MAX(C1350-B1350,0)*Assumptions!$B$2</f>
        <v>0</v>
      </c>
      <c r="G1350">
        <f>MAX(B1350-C1350,0)*Assumptions!$B$2</f>
        <v>1.1499999999999999</v>
      </c>
    </row>
    <row r="1351" spans="1:7" x14ac:dyDescent="0.3">
      <c r="A1351" s="5">
        <f>Raw_Load_Data!A1351</f>
        <v>46232.104166669938</v>
      </c>
      <c r="B1351">
        <f>Raw_Load_Data!B1351</f>
        <v>2.7</v>
      </c>
      <c r="C1351">
        <f>MAX(0,IF(AND(HOUR(A1351)&gt;=6,HOUR(A1351)&lt;=18),Assumptions!$B$8*SIN(PI()*(HOUR(A1351)+MINUTE(A1351)/60-6)/12),0))</f>
        <v>0</v>
      </c>
      <c r="D1351">
        <f t="shared" si="21"/>
        <v>2.7</v>
      </c>
      <c r="E1351">
        <f>MIN(B1351,C1351)*Assumptions!$B$2</f>
        <v>0</v>
      </c>
      <c r="F1351">
        <f>MAX(C1351-B1351,0)*Assumptions!$B$2</f>
        <v>0</v>
      </c>
      <c r="G1351">
        <f>MAX(B1351-C1351,0)*Assumptions!$B$2</f>
        <v>1.35</v>
      </c>
    </row>
    <row r="1352" spans="1:7" x14ac:dyDescent="0.3">
      <c r="A1352" s="5">
        <f>Raw_Load_Data!A1352</f>
        <v>46232.125000003274</v>
      </c>
      <c r="B1352">
        <f>Raw_Load_Data!B1352</f>
        <v>2.4</v>
      </c>
      <c r="C1352">
        <f>MAX(0,IF(AND(HOUR(A1352)&gt;=6,HOUR(A1352)&lt;=18),Assumptions!$B$8*SIN(PI()*(HOUR(A1352)+MINUTE(A1352)/60-6)/12),0))</f>
        <v>0</v>
      </c>
      <c r="D1352">
        <f t="shared" si="21"/>
        <v>2.4</v>
      </c>
      <c r="E1352">
        <f>MIN(B1352,C1352)*Assumptions!$B$2</f>
        <v>0</v>
      </c>
      <c r="F1352">
        <f>MAX(C1352-B1352,0)*Assumptions!$B$2</f>
        <v>0</v>
      </c>
      <c r="G1352">
        <f>MAX(B1352-C1352,0)*Assumptions!$B$2</f>
        <v>1.2</v>
      </c>
    </row>
    <row r="1353" spans="1:7" x14ac:dyDescent="0.3">
      <c r="A1353" s="5">
        <f>Raw_Load_Data!A1353</f>
        <v>46232.14583333661</v>
      </c>
      <c r="B1353">
        <f>Raw_Load_Data!B1353</f>
        <v>2.5</v>
      </c>
      <c r="C1353">
        <f>MAX(0,IF(AND(HOUR(A1353)&gt;=6,HOUR(A1353)&lt;=18),Assumptions!$B$8*SIN(PI()*(HOUR(A1353)+MINUTE(A1353)/60-6)/12),0))</f>
        <v>0</v>
      </c>
      <c r="D1353">
        <f t="shared" si="21"/>
        <v>2.5</v>
      </c>
      <c r="E1353">
        <f>MIN(B1353,C1353)*Assumptions!$B$2</f>
        <v>0</v>
      </c>
      <c r="F1353">
        <f>MAX(C1353-B1353,0)*Assumptions!$B$2</f>
        <v>0</v>
      </c>
      <c r="G1353">
        <f>MAX(B1353-C1353,0)*Assumptions!$B$2</f>
        <v>1.25</v>
      </c>
    </row>
    <row r="1354" spans="1:7" x14ac:dyDescent="0.3">
      <c r="A1354" s="5">
        <f>Raw_Load_Data!A1354</f>
        <v>46232.166666669946</v>
      </c>
      <c r="B1354">
        <f>Raw_Load_Data!B1354</f>
        <v>3</v>
      </c>
      <c r="C1354">
        <f>MAX(0,IF(AND(HOUR(A1354)&gt;=6,HOUR(A1354)&lt;=18),Assumptions!$B$8*SIN(PI()*(HOUR(A1354)+MINUTE(A1354)/60-6)/12),0))</f>
        <v>0</v>
      </c>
      <c r="D1354">
        <f t="shared" si="21"/>
        <v>3</v>
      </c>
      <c r="E1354">
        <f>MIN(B1354,C1354)*Assumptions!$B$2</f>
        <v>0</v>
      </c>
      <c r="F1354">
        <f>MAX(C1354-B1354,0)*Assumptions!$B$2</f>
        <v>0</v>
      </c>
      <c r="G1354">
        <f>MAX(B1354-C1354,0)*Assumptions!$B$2</f>
        <v>1.5</v>
      </c>
    </row>
    <row r="1355" spans="1:7" x14ac:dyDescent="0.3">
      <c r="A1355" s="5">
        <f>Raw_Load_Data!A1355</f>
        <v>46232.187500003281</v>
      </c>
      <c r="B1355">
        <f>Raw_Load_Data!B1355</f>
        <v>2.8</v>
      </c>
      <c r="C1355">
        <f>MAX(0,IF(AND(HOUR(A1355)&gt;=6,HOUR(A1355)&lt;=18),Assumptions!$B$8*SIN(PI()*(HOUR(A1355)+MINUTE(A1355)/60-6)/12),0))</f>
        <v>0</v>
      </c>
      <c r="D1355">
        <f t="shared" si="21"/>
        <v>2.8</v>
      </c>
      <c r="E1355">
        <f>MIN(B1355,C1355)*Assumptions!$B$2</f>
        <v>0</v>
      </c>
      <c r="F1355">
        <f>MAX(C1355-B1355,0)*Assumptions!$B$2</f>
        <v>0</v>
      </c>
      <c r="G1355">
        <f>MAX(B1355-C1355,0)*Assumptions!$B$2</f>
        <v>1.4</v>
      </c>
    </row>
    <row r="1356" spans="1:7" x14ac:dyDescent="0.3">
      <c r="A1356" s="5">
        <f>Raw_Load_Data!A1356</f>
        <v>46232.208333336617</v>
      </c>
      <c r="B1356">
        <f>Raw_Load_Data!B1356</f>
        <v>2</v>
      </c>
      <c r="C1356">
        <f>MAX(0,IF(AND(HOUR(A1356)&gt;=6,HOUR(A1356)&lt;=18),Assumptions!$B$8*SIN(PI()*(HOUR(A1356)+MINUTE(A1356)/60-6)/12),0))</f>
        <v>0</v>
      </c>
      <c r="D1356">
        <f t="shared" si="21"/>
        <v>2</v>
      </c>
      <c r="E1356">
        <f>MIN(B1356,C1356)*Assumptions!$B$2</f>
        <v>0</v>
      </c>
      <c r="F1356">
        <f>MAX(C1356-B1356,0)*Assumptions!$B$2</f>
        <v>0</v>
      </c>
      <c r="G1356">
        <f>MAX(B1356-C1356,0)*Assumptions!$B$2</f>
        <v>1</v>
      </c>
    </row>
    <row r="1357" spans="1:7" x14ac:dyDescent="0.3">
      <c r="A1357" s="5">
        <f>Raw_Load_Data!A1357</f>
        <v>46232.229166669953</v>
      </c>
      <c r="B1357">
        <f>Raw_Load_Data!B1357</f>
        <v>3</v>
      </c>
      <c r="C1357">
        <f>MAX(0,IF(AND(HOUR(A1357)&gt;=6,HOUR(A1357)&lt;=18),Assumptions!$B$8*SIN(PI()*(HOUR(A1357)+MINUTE(A1357)/60-6)/12),0))</f>
        <v>0</v>
      </c>
      <c r="D1357">
        <f t="shared" si="21"/>
        <v>3</v>
      </c>
      <c r="E1357">
        <f>MIN(B1357,C1357)*Assumptions!$B$2</f>
        <v>0</v>
      </c>
      <c r="F1357">
        <f>MAX(C1357-B1357,0)*Assumptions!$B$2</f>
        <v>0</v>
      </c>
      <c r="G1357">
        <f>MAX(B1357-C1357,0)*Assumptions!$B$2</f>
        <v>1.5</v>
      </c>
    </row>
    <row r="1358" spans="1:7" x14ac:dyDescent="0.3">
      <c r="A1358" s="5">
        <f>Raw_Load_Data!A1358</f>
        <v>46232.250000003289</v>
      </c>
      <c r="B1358">
        <f>Raw_Load_Data!B1358</f>
        <v>4.5999999999999996</v>
      </c>
      <c r="C1358">
        <f>MAX(0,IF(AND(HOUR(A1358)&gt;=6,HOUR(A1358)&lt;=18),Assumptions!$B$8*SIN(PI()*(HOUR(A1358)+MINUTE(A1358)/60-6)/12),0))</f>
        <v>0</v>
      </c>
      <c r="D1358">
        <f t="shared" si="21"/>
        <v>4.5999999999999996</v>
      </c>
      <c r="E1358">
        <f>MIN(B1358,C1358)*Assumptions!$B$2</f>
        <v>0</v>
      </c>
      <c r="F1358">
        <f>MAX(C1358-B1358,0)*Assumptions!$B$2</f>
        <v>0</v>
      </c>
      <c r="G1358">
        <f>MAX(B1358-C1358,0)*Assumptions!$B$2</f>
        <v>2.2999999999999998</v>
      </c>
    </row>
    <row r="1359" spans="1:7" x14ac:dyDescent="0.3">
      <c r="A1359" s="5">
        <f>Raw_Load_Data!A1359</f>
        <v>46232.270833336624</v>
      </c>
      <c r="B1359">
        <f>Raw_Load_Data!B1359</f>
        <v>5.6</v>
      </c>
      <c r="C1359">
        <f>MAX(0,IF(AND(HOUR(A1359)&gt;=6,HOUR(A1359)&lt;=18),Assumptions!$B$8*SIN(PI()*(HOUR(A1359)+MINUTE(A1359)/60-6)/12),0))</f>
        <v>3.9157857666015472</v>
      </c>
      <c r="D1359">
        <f t="shared" si="21"/>
        <v>1.6842142333984524</v>
      </c>
      <c r="E1359">
        <f>MIN(B1359,C1359)*Assumptions!$B$2</f>
        <v>1.9578928833007736</v>
      </c>
      <c r="F1359">
        <f>MAX(C1359-B1359,0)*Assumptions!$B$2</f>
        <v>0</v>
      </c>
      <c r="G1359">
        <f>MAX(B1359-C1359,0)*Assumptions!$B$2</f>
        <v>0.84210711669922622</v>
      </c>
    </row>
    <row r="1360" spans="1:7" x14ac:dyDescent="0.3">
      <c r="A1360" s="5">
        <f>Raw_Load_Data!A1360</f>
        <v>46232.29166666996</v>
      </c>
      <c r="B1360">
        <f>Raw_Load_Data!B1360</f>
        <v>5.4</v>
      </c>
      <c r="C1360">
        <f>MAX(0,IF(AND(HOUR(A1360)&gt;=6,HOUR(A1360)&lt;=18),Assumptions!$B$8*SIN(PI()*(HOUR(A1360)+MINUTE(A1360)/60-6)/12),0))</f>
        <v>7.7645713530756222</v>
      </c>
      <c r="D1360">
        <f t="shared" si="21"/>
        <v>-2.3645713530756218</v>
      </c>
      <c r="E1360">
        <f>MIN(B1360,C1360)*Assumptions!$B$2</f>
        <v>2.7</v>
      </c>
      <c r="F1360">
        <f>MAX(C1360-B1360,0)*Assumptions!$B$2</f>
        <v>1.1822856765378109</v>
      </c>
      <c r="G1360">
        <f>MAX(B1360-C1360,0)*Assumptions!$B$2</f>
        <v>0</v>
      </c>
    </row>
    <row r="1361" spans="1:7" x14ac:dyDescent="0.3">
      <c r="A1361" s="5">
        <f>Raw_Load_Data!A1361</f>
        <v>46232.312500003296</v>
      </c>
      <c r="B1361">
        <f>Raw_Load_Data!B1361</f>
        <v>6.1</v>
      </c>
      <c r="C1361">
        <f>MAX(0,IF(AND(HOUR(A1361)&gt;=6,HOUR(A1361)&lt;=18),Assumptions!$B$8*SIN(PI()*(HOUR(A1361)+MINUTE(A1361)/60-6)/12),0))</f>
        <v>11.480502970952694</v>
      </c>
      <c r="D1361">
        <f t="shared" si="21"/>
        <v>-5.3805029709526941</v>
      </c>
      <c r="E1361">
        <f>MIN(B1361,C1361)*Assumptions!$B$2</f>
        <v>3.05</v>
      </c>
      <c r="F1361">
        <f>MAX(C1361-B1361,0)*Assumptions!$B$2</f>
        <v>2.6902514854763471</v>
      </c>
      <c r="G1361">
        <f>MAX(B1361-C1361,0)*Assumptions!$B$2</f>
        <v>0</v>
      </c>
    </row>
    <row r="1362" spans="1:7" x14ac:dyDescent="0.3">
      <c r="A1362" s="5">
        <f>Raw_Load_Data!A1362</f>
        <v>46232.333333336632</v>
      </c>
      <c r="B1362">
        <f>Raw_Load_Data!B1362</f>
        <v>21.7</v>
      </c>
      <c r="C1362">
        <f>MAX(0,IF(AND(HOUR(A1362)&gt;=6,HOUR(A1362)&lt;=18),Assumptions!$B$8*SIN(PI()*(HOUR(A1362)+MINUTE(A1362)/60-6)/12),0))</f>
        <v>14.999999999999998</v>
      </c>
      <c r="D1362">
        <f t="shared" si="21"/>
        <v>6.7000000000000011</v>
      </c>
      <c r="E1362">
        <f>MIN(B1362,C1362)*Assumptions!$B$2</f>
        <v>7.4999999999999991</v>
      </c>
      <c r="F1362">
        <f>MAX(C1362-B1362,0)*Assumptions!$B$2</f>
        <v>0</v>
      </c>
      <c r="G1362">
        <f>MAX(B1362-C1362,0)*Assumptions!$B$2</f>
        <v>3.3500000000000005</v>
      </c>
    </row>
    <row r="1363" spans="1:7" x14ac:dyDescent="0.3">
      <c r="A1363" s="5">
        <f>Raw_Load_Data!A1363</f>
        <v>46232.354166669968</v>
      </c>
      <c r="B1363">
        <f>Raw_Load_Data!B1363</f>
        <v>18.3</v>
      </c>
      <c r="C1363">
        <f>MAX(0,IF(AND(HOUR(A1363)&gt;=6,HOUR(A1363)&lt;=18),Assumptions!$B$8*SIN(PI()*(HOUR(A1363)+MINUTE(A1363)/60-6)/12),0))</f>
        <v>18.262842870261618</v>
      </c>
      <c r="D1363">
        <f t="shared" si="21"/>
        <v>3.7157129738382366E-2</v>
      </c>
      <c r="E1363">
        <f>MIN(B1363,C1363)*Assumptions!$B$2</f>
        <v>9.1314214351308092</v>
      </c>
      <c r="F1363">
        <f>MAX(C1363-B1363,0)*Assumptions!$B$2</f>
        <v>0</v>
      </c>
      <c r="G1363">
        <f>MAX(B1363-C1363,0)*Assumptions!$B$2</f>
        <v>1.8578564869191183E-2</v>
      </c>
    </row>
    <row r="1364" spans="1:7" x14ac:dyDescent="0.3">
      <c r="A1364" s="5">
        <f>Raw_Load_Data!A1364</f>
        <v>46232.375000003303</v>
      </c>
      <c r="B1364">
        <f>Raw_Load_Data!B1364</f>
        <v>13.3</v>
      </c>
      <c r="C1364">
        <f>MAX(0,IF(AND(HOUR(A1364)&gt;=6,HOUR(A1364)&lt;=18),Assumptions!$B$8*SIN(PI()*(HOUR(A1364)+MINUTE(A1364)/60-6)/12),0))</f>
        <v>21.213203435596423</v>
      </c>
      <c r="D1364">
        <f t="shared" si="21"/>
        <v>-7.9132034355964223</v>
      </c>
      <c r="E1364">
        <f>MIN(B1364,C1364)*Assumptions!$B$2</f>
        <v>6.65</v>
      </c>
      <c r="F1364">
        <f>MAX(C1364-B1364,0)*Assumptions!$B$2</f>
        <v>3.9566017177982111</v>
      </c>
      <c r="G1364">
        <f>MAX(B1364-C1364,0)*Assumptions!$B$2</f>
        <v>0</v>
      </c>
    </row>
    <row r="1365" spans="1:7" x14ac:dyDescent="0.3">
      <c r="A1365" s="5">
        <f>Raw_Load_Data!A1365</f>
        <v>46232.395833336639</v>
      </c>
      <c r="B1365">
        <f>Raw_Load_Data!B1365</f>
        <v>20.2</v>
      </c>
      <c r="C1365">
        <f>MAX(0,IF(AND(HOUR(A1365)&gt;=6,HOUR(A1365)&lt;=18),Assumptions!$B$8*SIN(PI()*(HOUR(A1365)+MINUTE(A1365)/60-6)/12),0))</f>
        <v>23.800600208737055</v>
      </c>
      <c r="D1365">
        <f t="shared" si="21"/>
        <v>-3.6006002087370561</v>
      </c>
      <c r="E1365">
        <f>MIN(B1365,C1365)*Assumptions!$B$2</f>
        <v>10.1</v>
      </c>
      <c r="F1365">
        <f>MAX(C1365-B1365,0)*Assumptions!$B$2</f>
        <v>1.8003001043685281</v>
      </c>
      <c r="G1365">
        <f>MAX(B1365-C1365,0)*Assumptions!$B$2</f>
        <v>0</v>
      </c>
    </row>
    <row r="1366" spans="1:7" x14ac:dyDescent="0.3">
      <c r="A1366" s="5">
        <f>Raw_Load_Data!A1366</f>
        <v>46232.416666669975</v>
      </c>
      <c r="B1366">
        <f>Raw_Load_Data!B1366</f>
        <v>14</v>
      </c>
      <c r="C1366">
        <f>MAX(0,IF(AND(HOUR(A1366)&gt;=6,HOUR(A1366)&lt;=18),Assumptions!$B$8*SIN(PI()*(HOUR(A1366)+MINUTE(A1366)/60-6)/12),0))</f>
        <v>25.980762113533157</v>
      </c>
      <c r="D1366">
        <f t="shared" si="21"/>
        <v>-11.980762113533157</v>
      </c>
      <c r="E1366">
        <f>MIN(B1366,C1366)*Assumptions!$B$2</f>
        <v>7</v>
      </c>
      <c r="F1366">
        <f>MAX(C1366-B1366,0)*Assumptions!$B$2</f>
        <v>5.9903810567665783</v>
      </c>
      <c r="G1366">
        <f>MAX(B1366-C1366,0)*Assumptions!$B$2</f>
        <v>0</v>
      </c>
    </row>
    <row r="1367" spans="1:7" x14ac:dyDescent="0.3">
      <c r="A1367" s="5">
        <f>Raw_Load_Data!A1367</f>
        <v>46232.437500003311</v>
      </c>
      <c r="B1367">
        <f>Raw_Load_Data!B1367</f>
        <v>21.4</v>
      </c>
      <c r="C1367">
        <f>MAX(0,IF(AND(HOUR(A1367)&gt;=6,HOUR(A1367)&lt;=18),Assumptions!$B$8*SIN(PI()*(HOUR(A1367)+MINUTE(A1367)/60-6)/12),0))</f>
        <v>27.716385975338603</v>
      </c>
      <c r="D1367">
        <f t="shared" si="21"/>
        <v>-6.3163859753386049</v>
      </c>
      <c r="E1367">
        <f>MIN(B1367,C1367)*Assumptions!$B$2</f>
        <v>10.7</v>
      </c>
      <c r="F1367">
        <f>MAX(C1367-B1367,0)*Assumptions!$B$2</f>
        <v>3.1581929876693025</v>
      </c>
      <c r="G1367">
        <f>MAX(B1367-C1367,0)*Assumptions!$B$2</f>
        <v>0</v>
      </c>
    </row>
    <row r="1368" spans="1:7" x14ac:dyDescent="0.3">
      <c r="A1368" s="5">
        <f>Raw_Load_Data!A1368</f>
        <v>46232.458333336646</v>
      </c>
      <c r="B1368">
        <f>Raw_Load_Data!B1368</f>
        <v>16.8</v>
      </c>
      <c r="C1368">
        <f>MAX(0,IF(AND(HOUR(A1368)&gt;=6,HOUR(A1368)&lt;=18),Assumptions!$B$8*SIN(PI()*(HOUR(A1368)+MINUTE(A1368)/60-6)/12),0))</f>
        <v>28.97777478867205</v>
      </c>
      <c r="D1368">
        <f t="shared" si="21"/>
        <v>-12.17777478867205</v>
      </c>
      <c r="E1368">
        <f>MIN(B1368,C1368)*Assumptions!$B$2</f>
        <v>8.4</v>
      </c>
      <c r="F1368">
        <f>MAX(C1368-B1368,0)*Assumptions!$B$2</f>
        <v>6.0888873943360249</v>
      </c>
      <c r="G1368">
        <f>MAX(B1368-C1368,0)*Assumptions!$B$2</f>
        <v>0</v>
      </c>
    </row>
    <row r="1369" spans="1:7" x14ac:dyDescent="0.3">
      <c r="A1369" s="5">
        <f>Raw_Load_Data!A1369</f>
        <v>46232.479166669982</v>
      </c>
      <c r="B1369">
        <f>Raw_Load_Data!B1369</f>
        <v>21.6</v>
      </c>
      <c r="C1369">
        <f>MAX(0,IF(AND(HOUR(A1369)&gt;=6,HOUR(A1369)&lt;=18),Assumptions!$B$8*SIN(PI()*(HOUR(A1369)+MINUTE(A1369)/60-6)/12),0))</f>
        <v>29.74334584121431</v>
      </c>
      <c r="D1369">
        <f t="shared" si="21"/>
        <v>-8.1433458412143089</v>
      </c>
      <c r="E1369">
        <f>MIN(B1369,C1369)*Assumptions!$B$2</f>
        <v>10.8</v>
      </c>
      <c r="F1369">
        <f>MAX(C1369-B1369,0)*Assumptions!$B$2</f>
        <v>4.0716729206071545</v>
      </c>
      <c r="G1369">
        <f>MAX(B1369-C1369,0)*Assumptions!$B$2</f>
        <v>0</v>
      </c>
    </row>
    <row r="1370" spans="1:7" x14ac:dyDescent="0.3">
      <c r="A1370" s="5">
        <f>Raw_Load_Data!A1370</f>
        <v>46232.500000003318</v>
      </c>
      <c r="B1370">
        <f>Raw_Load_Data!B1370</f>
        <v>20.399999999999999</v>
      </c>
      <c r="C1370">
        <f>MAX(0,IF(AND(HOUR(A1370)&gt;=6,HOUR(A1370)&lt;=18),Assumptions!$B$8*SIN(PI()*(HOUR(A1370)+MINUTE(A1370)/60-6)/12),0))</f>
        <v>30</v>
      </c>
      <c r="D1370">
        <f t="shared" si="21"/>
        <v>-9.6000000000000014</v>
      </c>
      <c r="E1370">
        <f>MIN(B1370,C1370)*Assumptions!$B$2</f>
        <v>10.199999999999999</v>
      </c>
      <c r="F1370">
        <f>MAX(C1370-B1370,0)*Assumptions!$B$2</f>
        <v>4.8000000000000007</v>
      </c>
      <c r="G1370">
        <f>MAX(B1370-C1370,0)*Assumptions!$B$2</f>
        <v>0</v>
      </c>
    </row>
    <row r="1371" spans="1:7" x14ac:dyDescent="0.3">
      <c r="A1371" s="5">
        <f>Raw_Load_Data!A1371</f>
        <v>46232.520833336654</v>
      </c>
      <c r="B1371">
        <f>Raw_Load_Data!B1371</f>
        <v>30.7</v>
      </c>
      <c r="C1371">
        <f>MAX(0,IF(AND(HOUR(A1371)&gt;=6,HOUR(A1371)&lt;=18),Assumptions!$B$8*SIN(PI()*(HOUR(A1371)+MINUTE(A1371)/60-6)/12),0))</f>
        <v>29.74334584121431</v>
      </c>
      <c r="D1371">
        <f t="shared" si="21"/>
        <v>0.95665415878568894</v>
      </c>
      <c r="E1371">
        <f>MIN(B1371,C1371)*Assumptions!$B$2</f>
        <v>14.871672920607155</v>
      </c>
      <c r="F1371">
        <f>MAX(C1371-B1371,0)*Assumptions!$B$2</f>
        <v>0</v>
      </c>
      <c r="G1371">
        <f>MAX(B1371-C1371,0)*Assumptions!$B$2</f>
        <v>0.47832707939284447</v>
      </c>
    </row>
    <row r="1372" spans="1:7" x14ac:dyDescent="0.3">
      <c r="A1372" s="5">
        <f>Raw_Load_Data!A1372</f>
        <v>46232.541666669989</v>
      </c>
      <c r="B1372">
        <f>Raw_Load_Data!B1372</f>
        <v>31</v>
      </c>
      <c r="C1372">
        <f>MAX(0,IF(AND(HOUR(A1372)&gt;=6,HOUR(A1372)&lt;=18),Assumptions!$B$8*SIN(PI()*(HOUR(A1372)+MINUTE(A1372)/60-6)/12),0))</f>
        <v>28.97777478867205</v>
      </c>
      <c r="D1372">
        <f t="shared" si="21"/>
        <v>2.0222252113279495</v>
      </c>
      <c r="E1372">
        <f>MIN(B1372,C1372)*Assumptions!$B$2</f>
        <v>14.488887394336025</v>
      </c>
      <c r="F1372">
        <f>MAX(C1372-B1372,0)*Assumptions!$B$2</f>
        <v>0</v>
      </c>
      <c r="G1372">
        <f>MAX(B1372-C1372,0)*Assumptions!$B$2</f>
        <v>1.0111126056639748</v>
      </c>
    </row>
    <row r="1373" spans="1:7" x14ac:dyDescent="0.3">
      <c r="A1373" s="5">
        <f>Raw_Load_Data!A1373</f>
        <v>46232.562500003325</v>
      </c>
      <c r="B1373">
        <f>Raw_Load_Data!B1373</f>
        <v>33.1</v>
      </c>
      <c r="C1373">
        <f>MAX(0,IF(AND(HOUR(A1373)&gt;=6,HOUR(A1373)&lt;=18),Assumptions!$B$8*SIN(PI()*(HOUR(A1373)+MINUTE(A1373)/60-6)/12),0))</f>
        <v>27.716385975338607</v>
      </c>
      <c r="D1373">
        <f t="shared" si="21"/>
        <v>5.3836140246613944</v>
      </c>
      <c r="E1373">
        <f>MIN(B1373,C1373)*Assumptions!$B$2</f>
        <v>13.858192987669304</v>
      </c>
      <c r="F1373">
        <f>MAX(C1373-B1373,0)*Assumptions!$B$2</f>
        <v>0</v>
      </c>
      <c r="G1373">
        <f>MAX(B1373-C1373,0)*Assumptions!$B$2</f>
        <v>2.6918070123306972</v>
      </c>
    </row>
    <row r="1374" spans="1:7" x14ac:dyDescent="0.3">
      <c r="A1374" s="5">
        <f>Raw_Load_Data!A1374</f>
        <v>46232.583333336661</v>
      </c>
      <c r="B1374">
        <f>Raw_Load_Data!B1374</f>
        <v>19.2</v>
      </c>
      <c r="C1374">
        <f>MAX(0,IF(AND(HOUR(A1374)&gt;=6,HOUR(A1374)&lt;=18),Assumptions!$B$8*SIN(PI()*(HOUR(A1374)+MINUTE(A1374)/60-6)/12),0))</f>
        <v>25.98076211353316</v>
      </c>
      <c r="D1374">
        <f t="shared" si="21"/>
        <v>-6.7807621135331608</v>
      </c>
      <c r="E1374">
        <f>MIN(B1374,C1374)*Assumptions!$B$2</f>
        <v>9.6</v>
      </c>
      <c r="F1374">
        <f>MAX(C1374-B1374,0)*Assumptions!$B$2</f>
        <v>3.3903810567665804</v>
      </c>
      <c r="G1374">
        <f>MAX(B1374-C1374,0)*Assumptions!$B$2</f>
        <v>0</v>
      </c>
    </row>
    <row r="1375" spans="1:7" x14ac:dyDescent="0.3">
      <c r="A1375" s="5">
        <f>Raw_Load_Data!A1375</f>
        <v>46232.604166669997</v>
      </c>
      <c r="B1375">
        <f>Raw_Load_Data!B1375</f>
        <v>18</v>
      </c>
      <c r="C1375">
        <f>MAX(0,IF(AND(HOUR(A1375)&gt;=6,HOUR(A1375)&lt;=18),Assumptions!$B$8*SIN(PI()*(HOUR(A1375)+MINUTE(A1375)/60-6)/12),0))</f>
        <v>23.800600208737055</v>
      </c>
      <c r="D1375">
        <f t="shared" si="21"/>
        <v>-5.8006002087370554</v>
      </c>
      <c r="E1375">
        <f>MIN(B1375,C1375)*Assumptions!$B$2</f>
        <v>9</v>
      </c>
      <c r="F1375">
        <f>MAX(C1375-B1375,0)*Assumptions!$B$2</f>
        <v>2.9003001043685277</v>
      </c>
      <c r="G1375">
        <f>MAX(B1375-C1375,0)*Assumptions!$B$2</f>
        <v>0</v>
      </c>
    </row>
    <row r="1376" spans="1:7" x14ac:dyDescent="0.3">
      <c r="A1376" s="5">
        <f>Raw_Load_Data!A1376</f>
        <v>46232.625000003332</v>
      </c>
      <c r="B1376">
        <f>Raw_Load_Data!B1376</f>
        <v>24.2</v>
      </c>
      <c r="C1376">
        <f>MAX(0,IF(AND(HOUR(A1376)&gt;=6,HOUR(A1376)&lt;=18),Assumptions!$B$8*SIN(PI()*(HOUR(A1376)+MINUTE(A1376)/60-6)/12),0))</f>
        <v>21.213203435596427</v>
      </c>
      <c r="D1376">
        <f t="shared" si="21"/>
        <v>2.9867965644035728</v>
      </c>
      <c r="E1376">
        <f>MIN(B1376,C1376)*Assumptions!$B$2</f>
        <v>10.606601717798213</v>
      </c>
      <c r="F1376">
        <f>MAX(C1376-B1376,0)*Assumptions!$B$2</f>
        <v>0</v>
      </c>
      <c r="G1376">
        <f>MAX(B1376-C1376,0)*Assumptions!$B$2</f>
        <v>1.4933982822017864</v>
      </c>
    </row>
    <row r="1377" spans="1:7" x14ac:dyDescent="0.3">
      <c r="A1377" s="5">
        <f>Raw_Load_Data!A1377</f>
        <v>46232.645833336668</v>
      </c>
      <c r="B1377">
        <f>Raw_Load_Data!B1377</f>
        <v>25.3</v>
      </c>
      <c r="C1377">
        <f>MAX(0,IF(AND(HOUR(A1377)&gt;=6,HOUR(A1377)&lt;=18),Assumptions!$B$8*SIN(PI()*(HOUR(A1377)+MINUTE(A1377)/60-6)/12),0))</f>
        <v>18.262842870261625</v>
      </c>
      <c r="D1377">
        <f t="shared" si="21"/>
        <v>7.0371571297383753</v>
      </c>
      <c r="E1377">
        <f>MIN(B1377,C1377)*Assumptions!$B$2</f>
        <v>9.1314214351308127</v>
      </c>
      <c r="F1377">
        <f>MAX(C1377-B1377,0)*Assumptions!$B$2</f>
        <v>0</v>
      </c>
      <c r="G1377">
        <f>MAX(B1377-C1377,0)*Assumptions!$B$2</f>
        <v>3.5185785648691876</v>
      </c>
    </row>
    <row r="1378" spans="1:7" x14ac:dyDescent="0.3">
      <c r="A1378" s="5">
        <f>Raw_Load_Data!A1378</f>
        <v>46232.666666670004</v>
      </c>
      <c r="B1378">
        <f>Raw_Load_Data!B1378</f>
        <v>19.8</v>
      </c>
      <c r="C1378">
        <f>MAX(0,IF(AND(HOUR(A1378)&gt;=6,HOUR(A1378)&lt;=18),Assumptions!$B$8*SIN(PI()*(HOUR(A1378)+MINUTE(A1378)/60-6)/12),0))</f>
        <v>14.999999999999998</v>
      </c>
      <c r="D1378">
        <f t="shared" si="21"/>
        <v>4.8000000000000025</v>
      </c>
      <c r="E1378">
        <f>MIN(B1378,C1378)*Assumptions!$B$2</f>
        <v>7.4999999999999991</v>
      </c>
      <c r="F1378">
        <f>MAX(C1378-B1378,0)*Assumptions!$B$2</f>
        <v>0</v>
      </c>
      <c r="G1378">
        <f>MAX(B1378-C1378,0)*Assumptions!$B$2</f>
        <v>2.4000000000000012</v>
      </c>
    </row>
    <row r="1379" spans="1:7" x14ac:dyDescent="0.3">
      <c r="A1379" s="5">
        <f>Raw_Load_Data!A1379</f>
        <v>46232.68750000334</v>
      </c>
      <c r="B1379">
        <f>Raw_Load_Data!B1379</f>
        <v>19.600000000000001</v>
      </c>
      <c r="C1379">
        <f>MAX(0,IF(AND(HOUR(A1379)&gt;=6,HOUR(A1379)&lt;=18),Assumptions!$B$8*SIN(PI()*(HOUR(A1379)+MINUTE(A1379)/60-6)/12),0))</f>
        <v>11.480502970952697</v>
      </c>
      <c r="D1379">
        <f t="shared" si="21"/>
        <v>8.1194970290473041</v>
      </c>
      <c r="E1379">
        <f>MIN(B1379,C1379)*Assumptions!$B$2</f>
        <v>5.7402514854763487</v>
      </c>
      <c r="F1379">
        <f>MAX(C1379-B1379,0)*Assumptions!$B$2</f>
        <v>0</v>
      </c>
      <c r="G1379">
        <f>MAX(B1379-C1379,0)*Assumptions!$B$2</f>
        <v>4.059748514523652</v>
      </c>
    </row>
    <row r="1380" spans="1:7" x14ac:dyDescent="0.3">
      <c r="A1380" s="5">
        <f>Raw_Load_Data!A1380</f>
        <v>46232.708333336675</v>
      </c>
      <c r="B1380">
        <f>Raw_Load_Data!B1380</f>
        <v>13.6</v>
      </c>
      <c r="C1380">
        <f>MAX(0,IF(AND(HOUR(A1380)&gt;=6,HOUR(A1380)&lt;=18),Assumptions!$B$8*SIN(PI()*(HOUR(A1380)+MINUTE(A1380)/60-6)/12),0))</f>
        <v>7.7645713530756302</v>
      </c>
      <c r="D1380">
        <f t="shared" si="21"/>
        <v>5.8354286469243695</v>
      </c>
      <c r="E1380">
        <f>MIN(B1380,C1380)*Assumptions!$B$2</f>
        <v>3.8822856765378151</v>
      </c>
      <c r="F1380">
        <f>MAX(C1380-B1380,0)*Assumptions!$B$2</f>
        <v>0</v>
      </c>
      <c r="G1380">
        <f>MAX(B1380-C1380,0)*Assumptions!$B$2</f>
        <v>2.9177143234621847</v>
      </c>
    </row>
    <row r="1381" spans="1:7" x14ac:dyDescent="0.3">
      <c r="A1381" s="5">
        <f>Raw_Load_Data!A1381</f>
        <v>46232.729166670011</v>
      </c>
      <c r="B1381">
        <f>Raw_Load_Data!B1381</f>
        <v>18.100000000000001</v>
      </c>
      <c r="C1381">
        <f>MAX(0,IF(AND(HOUR(A1381)&gt;=6,HOUR(A1381)&lt;=18),Assumptions!$B$8*SIN(PI()*(HOUR(A1381)+MINUTE(A1381)/60-6)/12),0))</f>
        <v>3.9157857666015596</v>
      </c>
      <c r="D1381">
        <f t="shared" si="21"/>
        <v>14.184214233398443</v>
      </c>
      <c r="E1381">
        <f>MIN(B1381,C1381)*Assumptions!$B$2</f>
        <v>1.9578928833007798</v>
      </c>
      <c r="F1381">
        <f>MAX(C1381-B1381,0)*Assumptions!$B$2</f>
        <v>0</v>
      </c>
      <c r="G1381">
        <f>MAX(B1381-C1381,0)*Assumptions!$B$2</f>
        <v>7.0921071166992213</v>
      </c>
    </row>
    <row r="1382" spans="1:7" x14ac:dyDescent="0.3">
      <c r="A1382" s="5">
        <f>Raw_Load_Data!A1382</f>
        <v>46232.750000003347</v>
      </c>
      <c r="B1382">
        <f>Raw_Load_Data!B1382</f>
        <v>17.7</v>
      </c>
      <c r="C1382">
        <f>MAX(0,IF(AND(HOUR(A1382)&gt;=6,HOUR(A1382)&lt;=18),Assumptions!$B$8*SIN(PI()*(HOUR(A1382)+MINUTE(A1382)/60-6)/12),0))</f>
        <v>3.67544536472586E-15</v>
      </c>
      <c r="D1382">
        <f t="shared" si="21"/>
        <v>17.699999999999996</v>
      </c>
      <c r="E1382">
        <f>MIN(B1382,C1382)*Assumptions!$B$2</f>
        <v>1.83772268236293E-15</v>
      </c>
      <c r="F1382">
        <f>MAX(C1382-B1382,0)*Assumptions!$B$2</f>
        <v>0</v>
      </c>
      <c r="G1382">
        <f>MAX(B1382-C1382,0)*Assumptions!$B$2</f>
        <v>8.8499999999999979</v>
      </c>
    </row>
    <row r="1383" spans="1:7" x14ac:dyDescent="0.3">
      <c r="A1383" s="5">
        <f>Raw_Load_Data!A1383</f>
        <v>46232.770833336683</v>
      </c>
      <c r="B1383">
        <f>Raw_Load_Data!B1383</f>
        <v>13.8</v>
      </c>
      <c r="C1383">
        <f>MAX(0,IF(AND(HOUR(A1383)&gt;=6,HOUR(A1383)&lt;=18),Assumptions!$B$8*SIN(PI()*(HOUR(A1383)+MINUTE(A1383)/60-6)/12),0))</f>
        <v>0</v>
      </c>
      <c r="D1383">
        <f t="shared" si="21"/>
        <v>13.8</v>
      </c>
      <c r="E1383">
        <f>MIN(B1383,C1383)*Assumptions!$B$2</f>
        <v>0</v>
      </c>
      <c r="F1383">
        <f>MAX(C1383-B1383,0)*Assumptions!$B$2</f>
        <v>0</v>
      </c>
      <c r="G1383">
        <f>MAX(B1383-C1383,0)*Assumptions!$B$2</f>
        <v>6.9</v>
      </c>
    </row>
    <row r="1384" spans="1:7" x14ac:dyDescent="0.3">
      <c r="A1384" s="5">
        <f>Raw_Load_Data!A1384</f>
        <v>46232.791666670018</v>
      </c>
      <c r="B1384">
        <f>Raw_Load_Data!B1384</f>
        <v>7.8</v>
      </c>
      <c r="C1384">
        <f>MAX(0,IF(AND(HOUR(A1384)&gt;=6,HOUR(A1384)&lt;=18),Assumptions!$B$8*SIN(PI()*(HOUR(A1384)+MINUTE(A1384)/60-6)/12),0))</f>
        <v>0</v>
      </c>
      <c r="D1384">
        <f t="shared" si="21"/>
        <v>7.8</v>
      </c>
      <c r="E1384">
        <f>MIN(B1384,C1384)*Assumptions!$B$2</f>
        <v>0</v>
      </c>
      <c r="F1384">
        <f>MAX(C1384-B1384,0)*Assumptions!$B$2</f>
        <v>0</v>
      </c>
      <c r="G1384">
        <f>MAX(B1384-C1384,0)*Assumptions!$B$2</f>
        <v>3.9</v>
      </c>
    </row>
    <row r="1385" spans="1:7" x14ac:dyDescent="0.3">
      <c r="A1385" s="5">
        <f>Raw_Load_Data!A1385</f>
        <v>46232.812500003354</v>
      </c>
      <c r="B1385">
        <f>Raw_Load_Data!B1385</f>
        <v>3</v>
      </c>
      <c r="C1385">
        <f>MAX(0,IF(AND(HOUR(A1385)&gt;=6,HOUR(A1385)&lt;=18),Assumptions!$B$8*SIN(PI()*(HOUR(A1385)+MINUTE(A1385)/60-6)/12),0))</f>
        <v>0</v>
      </c>
      <c r="D1385">
        <f t="shared" si="21"/>
        <v>3</v>
      </c>
      <c r="E1385">
        <f>MIN(B1385,C1385)*Assumptions!$B$2</f>
        <v>0</v>
      </c>
      <c r="F1385">
        <f>MAX(C1385-B1385,0)*Assumptions!$B$2</f>
        <v>0</v>
      </c>
      <c r="G1385">
        <f>MAX(B1385-C1385,0)*Assumptions!$B$2</f>
        <v>1.5</v>
      </c>
    </row>
    <row r="1386" spans="1:7" x14ac:dyDescent="0.3">
      <c r="A1386" s="5">
        <f>Raw_Load_Data!A1386</f>
        <v>46232.83333333669</v>
      </c>
      <c r="B1386">
        <f>Raw_Load_Data!B1386</f>
        <v>7.5</v>
      </c>
      <c r="C1386">
        <f>MAX(0,IF(AND(HOUR(A1386)&gt;=6,HOUR(A1386)&lt;=18),Assumptions!$B$8*SIN(PI()*(HOUR(A1386)+MINUTE(A1386)/60-6)/12),0))</f>
        <v>0</v>
      </c>
      <c r="D1386">
        <f t="shared" si="21"/>
        <v>7.5</v>
      </c>
      <c r="E1386">
        <f>MIN(B1386,C1386)*Assumptions!$B$2</f>
        <v>0</v>
      </c>
      <c r="F1386">
        <f>MAX(C1386-B1386,0)*Assumptions!$B$2</f>
        <v>0</v>
      </c>
      <c r="G1386">
        <f>MAX(B1386-C1386,0)*Assumptions!$B$2</f>
        <v>3.75</v>
      </c>
    </row>
    <row r="1387" spans="1:7" x14ac:dyDescent="0.3">
      <c r="A1387" s="5">
        <f>Raw_Load_Data!A1387</f>
        <v>46232.854166670026</v>
      </c>
      <c r="B1387">
        <f>Raw_Load_Data!B1387</f>
        <v>3.9</v>
      </c>
      <c r="C1387">
        <f>MAX(0,IF(AND(HOUR(A1387)&gt;=6,HOUR(A1387)&lt;=18),Assumptions!$B$8*SIN(PI()*(HOUR(A1387)+MINUTE(A1387)/60-6)/12),0))</f>
        <v>0</v>
      </c>
      <c r="D1387">
        <f t="shared" si="21"/>
        <v>3.9</v>
      </c>
      <c r="E1387">
        <f>MIN(B1387,C1387)*Assumptions!$B$2</f>
        <v>0</v>
      </c>
      <c r="F1387">
        <f>MAX(C1387-B1387,0)*Assumptions!$B$2</f>
        <v>0</v>
      </c>
      <c r="G1387">
        <f>MAX(B1387-C1387,0)*Assumptions!$B$2</f>
        <v>1.95</v>
      </c>
    </row>
    <row r="1388" spans="1:7" x14ac:dyDescent="0.3">
      <c r="A1388" s="5">
        <f>Raw_Load_Data!A1388</f>
        <v>46232.875000003361</v>
      </c>
      <c r="B1388">
        <f>Raw_Load_Data!B1388</f>
        <v>6.1</v>
      </c>
      <c r="C1388">
        <f>MAX(0,IF(AND(HOUR(A1388)&gt;=6,HOUR(A1388)&lt;=18),Assumptions!$B$8*SIN(PI()*(HOUR(A1388)+MINUTE(A1388)/60-6)/12),0))</f>
        <v>0</v>
      </c>
      <c r="D1388">
        <f t="shared" si="21"/>
        <v>6.1</v>
      </c>
      <c r="E1388">
        <f>MIN(B1388,C1388)*Assumptions!$B$2</f>
        <v>0</v>
      </c>
      <c r="F1388">
        <f>MAX(C1388-B1388,0)*Assumptions!$B$2</f>
        <v>0</v>
      </c>
      <c r="G1388">
        <f>MAX(B1388-C1388,0)*Assumptions!$B$2</f>
        <v>3.05</v>
      </c>
    </row>
    <row r="1389" spans="1:7" x14ac:dyDescent="0.3">
      <c r="A1389" s="5">
        <f>Raw_Load_Data!A1389</f>
        <v>46232.895833336697</v>
      </c>
      <c r="B1389">
        <f>Raw_Load_Data!B1389</f>
        <v>5.4</v>
      </c>
      <c r="C1389">
        <f>MAX(0,IF(AND(HOUR(A1389)&gt;=6,HOUR(A1389)&lt;=18),Assumptions!$B$8*SIN(PI()*(HOUR(A1389)+MINUTE(A1389)/60-6)/12),0))</f>
        <v>0</v>
      </c>
      <c r="D1389">
        <f t="shared" si="21"/>
        <v>5.4</v>
      </c>
      <c r="E1389">
        <f>MIN(B1389,C1389)*Assumptions!$B$2</f>
        <v>0</v>
      </c>
      <c r="F1389">
        <f>MAX(C1389-B1389,0)*Assumptions!$B$2</f>
        <v>0</v>
      </c>
      <c r="G1389">
        <f>MAX(B1389-C1389,0)*Assumptions!$B$2</f>
        <v>2.7</v>
      </c>
    </row>
    <row r="1390" spans="1:7" x14ac:dyDescent="0.3">
      <c r="A1390" s="5">
        <f>Raw_Load_Data!A1390</f>
        <v>46232.916666670033</v>
      </c>
      <c r="B1390">
        <f>Raw_Load_Data!B1390</f>
        <v>4.2</v>
      </c>
      <c r="C1390">
        <f>MAX(0,IF(AND(HOUR(A1390)&gt;=6,HOUR(A1390)&lt;=18),Assumptions!$B$8*SIN(PI()*(HOUR(A1390)+MINUTE(A1390)/60-6)/12),0))</f>
        <v>0</v>
      </c>
      <c r="D1390">
        <f t="shared" si="21"/>
        <v>4.2</v>
      </c>
      <c r="E1390">
        <f>MIN(B1390,C1390)*Assumptions!$B$2</f>
        <v>0</v>
      </c>
      <c r="F1390">
        <f>MAX(C1390-B1390,0)*Assumptions!$B$2</f>
        <v>0</v>
      </c>
      <c r="G1390">
        <f>MAX(B1390-C1390,0)*Assumptions!$B$2</f>
        <v>2.1</v>
      </c>
    </row>
    <row r="1391" spans="1:7" x14ac:dyDescent="0.3">
      <c r="A1391" s="5">
        <f>Raw_Load_Data!A1391</f>
        <v>46232.937500003369</v>
      </c>
      <c r="B1391">
        <f>Raw_Load_Data!B1391</f>
        <v>3.1</v>
      </c>
      <c r="C1391">
        <f>MAX(0,IF(AND(HOUR(A1391)&gt;=6,HOUR(A1391)&lt;=18),Assumptions!$B$8*SIN(PI()*(HOUR(A1391)+MINUTE(A1391)/60-6)/12),0))</f>
        <v>0</v>
      </c>
      <c r="D1391">
        <f t="shared" si="21"/>
        <v>3.1</v>
      </c>
      <c r="E1391">
        <f>MIN(B1391,C1391)*Assumptions!$B$2</f>
        <v>0</v>
      </c>
      <c r="F1391">
        <f>MAX(C1391-B1391,0)*Assumptions!$B$2</f>
        <v>0</v>
      </c>
      <c r="G1391">
        <f>MAX(B1391-C1391,0)*Assumptions!$B$2</f>
        <v>1.55</v>
      </c>
    </row>
    <row r="1392" spans="1:7" x14ac:dyDescent="0.3">
      <c r="A1392" s="5">
        <f>Raw_Load_Data!A1392</f>
        <v>46232.958333336705</v>
      </c>
      <c r="B1392">
        <f>Raw_Load_Data!B1392</f>
        <v>7</v>
      </c>
      <c r="C1392">
        <f>MAX(0,IF(AND(HOUR(A1392)&gt;=6,HOUR(A1392)&lt;=18),Assumptions!$B$8*SIN(PI()*(HOUR(A1392)+MINUTE(A1392)/60-6)/12),0))</f>
        <v>0</v>
      </c>
      <c r="D1392">
        <f t="shared" si="21"/>
        <v>7</v>
      </c>
      <c r="E1392">
        <f>MIN(B1392,C1392)*Assumptions!$B$2</f>
        <v>0</v>
      </c>
      <c r="F1392">
        <f>MAX(C1392-B1392,0)*Assumptions!$B$2</f>
        <v>0</v>
      </c>
      <c r="G1392">
        <f>MAX(B1392-C1392,0)*Assumptions!$B$2</f>
        <v>3.5</v>
      </c>
    </row>
    <row r="1393" spans="1:7" x14ac:dyDescent="0.3">
      <c r="A1393" s="5">
        <f>Raw_Load_Data!A1393</f>
        <v>46232.97916667004</v>
      </c>
      <c r="B1393">
        <f>Raw_Load_Data!B1393</f>
        <v>4</v>
      </c>
      <c r="C1393">
        <f>MAX(0,IF(AND(HOUR(A1393)&gt;=6,HOUR(A1393)&lt;=18),Assumptions!$B$8*SIN(PI()*(HOUR(A1393)+MINUTE(A1393)/60-6)/12),0))</f>
        <v>0</v>
      </c>
      <c r="D1393">
        <f t="shared" si="21"/>
        <v>4</v>
      </c>
      <c r="E1393">
        <f>MIN(B1393,C1393)*Assumptions!$B$2</f>
        <v>0</v>
      </c>
      <c r="F1393">
        <f>MAX(C1393-B1393,0)*Assumptions!$B$2</f>
        <v>0</v>
      </c>
      <c r="G1393">
        <f>MAX(B1393-C1393,0)*Assumptions!$B$2</f>
        <v>2</v>
      </c>
    </row>
    <row r="1394" spans="1:7" x14ac:dyDescent="0.3">
      <c r="A1394" s="5">
        <f>Raw_Load_Data!A1394</f>
        <v>46233.000000003376</v>
      </c>
      <c r="B1394">
        <f>Raw_Load_Data!B1394</f>
        <v>2.5</v>
      </c>
      <c r="C1394">
        <f>MAX(0,IF(AND(HOUR(A1394)&gt;=6,HOUR(A1394)&lt;=18),Assumptions!$B$8*SIN(PI()*(HOUR(A1394)+MINUTE(A1394)/60-6)/12),0))</f>
        <v>0</v>
      </c>
      <c r="D1394">
        <f t="shared" si="21"/>
        <v>2.5</v>
      </c>
      <c r="E1394">
        <f>MIN(B1394,C1394)*Assumptions!$B$2</f>
        <v>0</v>
      </c>
      <c r="F1394">
        <f>MAX(C1394-B1394,0)*Assumptions!$B$2</f>
        <v>0</v>
      </c>
      <c r="G1394">
        <f>MAX(B1394-C1394,0)*Assumptions!$B$2</f>
        <v>1.25</v>
      </c>
    </row>
    <row r="1395" spans="1:7" x14ac:dyDescent="0.3">
      <c r="A1395" s="5">
        <f>Raw_Load_Data!A1395</f>
        <v>46233.020833336712</v>
      </c>
      <c r="B1395">
        <f>Raw_Load_Data!B1395</f>
        <v>1.9</v>
      </c>
      <c r="C1395">
        <f>MAX(0,IF(AND(HOUR(A1395)&gt;=6,HOUR(A1395)&lt;=18),Assumptions!$B$8*SIN(PI()*(HOUR(A1395)+MINUTE(A1395)/60-6)/12),0))</f>
        <v>0</v>
      </c>
      <c r="D1395">
        <f t="shared" si="21"/>
        <v>1.9</v>
      </c>
      <c r="E1395">
        <f>MIN(B1395,C1395)*Assumptions!$B$2</f>
        <v>0</v>
      </c>
      <c r="F1395">
        <f>MAX(C1395-B1395,0)*Assumptions!$B$2</f>
        <v>0</v>
      </c>
      <c r="G1395">
        <f>MAX(B1395-C1395,0)*Assumptions!$B$2</f>
        <v>0.95</v>
      </c>
    </row>
    <row r="1396" spans="1:7" x14ac:dyDescent="0.3">
      <c r="A1396" s="5">
        <f>Raw_Load_Data!A1396</f>
        <v>46233.041666670048</v>
      </c>
      <c r="B1396">
        <f>Raw_Load_Data!B1396</f>
        <v>2</v>
      </c>
      <c r="C1396">
        <f>MAX(0,IF(AND(HOUR(A1396)&gt;=6,HOUR(A1396)&lt;=18),Assumptions!$B$8*SIN(PI()*(HOUR(A1396)+MINUTE(A1396)/60-6)/12),0))</f>
        <v>0</v>
      </c>
      <c r="D1396">
        <f t="shared" si="21"/>
        <v>2</v>
      </c>
      <c r="E1396">
        <f>MIN(B1396,C1396)*Assumptions!$B$2</f>
        <v>0</v>
      </c>
      <c r="F1396">
        <f>MAX(C1396-B1396,0)*Assumptions!$B$2</f>
        <v>0</v>
      </c>
      <c r="G1396">
        <f>MAX(B1396-C1396,0)*Assumptions!$B$2</f>
        <v>1</v>
      </c>
    </row>
    <row r="1397" spans="1:7" x14ac:dyDescent="0.3">
      <c r="A1397" s="5">
        <f>Raw_Load_Data!A1397</f>
        <v>46233.062500003383</v>
      </c>
      <c r="B1397">
        <f>Raw_Load_Data!B1397</f>
        <v>2.5</v>
      </c>
      <c r="C1397">
        <f>MAX(0,IF(AND(HOUR(A1397)&gt;=6,HOUR(A1397)&lt;=18),Assumptions!$B$8*SIN(PI()*(HOUR(A1397)+MINUTE(A1397)/60-6)/12),0))</f>
        <v>0</v>
      </c>
      <c r="D1397">
        <f t="shared" si="21"/>
        <v>2.5</v>
      </c>
      <c r="E1397">
        <f>MIN(B1397,C1397)*Assumptions!$B$2</f>
        <v>0</v>
      </c>
      <c r="F1397">
        <f>MAX(C1397-B1397,0)*Assumptions!$B$2</f>
        <v>0</v>
      </c>
      <c r="G1397">
        <f>MAX(B1397-C1397,0)*Assumptions!$B$2</f>
        <v>1.25</v>
      </c>
    </row>
    <row r="1398" spans="1:7" x14ac:dyDescent="0.3">
      <c r="A1398" s="5">
        <f>Raw_Load_Data!A1398</f>
        <v>46233.083333336719</v>
      </c>
      <c r="B1398">
        <f>Raw_Load_Data!B1398</f>
        <v>3</v>
      </c>
      <c r="C1398">
        <f>MAX(0,IF(AND(HOUR(A1398)&gt;=6,HOUR(A1398)&lt;=18),Assumptions!$B$8*SIN(PI()*(HOUR(A1398)+MINUTE(A1398)/60-6)/12),0))</f>
        <v>0</v>
      </c>
      <c r="D1398">
        <f t="shared" si="21"/>
        <v>3</v>
      </c>
      <c r="E1398">
        <f>MIN(B1398,C1398)*Assumptions!$B$2</f>
        <v>0</v>
      </c>
      <c r="F1398">
        <f>MAX(C1398-B1398,0)*Assumptions!$B$2</f>
        <v>0</v>
      </c>
      <c r="G1398">
        <f>MAX(B1398-C1398,0)*Assumptions!$B$2</f>
        <v>1.5</v>
      </c>
    </row>
    <row r="1399" spans="1:7" x14ac:dyDescent="0.3">
      <c r="A1399" s="5">
        <f>Raw_Load_Data!A1399</f>
        <v>46233.104166670055</v>
      </c>
      <c r="B1399">
        <f>Raw_Load_Data!B1399</f>
        <v>2.2000000000000002</v>
      </c>
      <c r="C1399">
        <f>MAX(0,IF(AND(HOUR(A1399)&gt;=6,HOUR(A1399)&lt;=18),Assumptions!$B$8*SIN(PI()*(HOUR(A1399)+MINUTE(A1399)/60-6)/12),0))</f>
        <v>0</v>
      </c>
      <c r="D1399">
        <f t="shared" si="21"/>
        <v>2.2000000000000002</v>
      </c>
      <c r="E1399">
        <f>MIN(B1399,C1399)*Assumptions!$B$2</f>
        <v>0</v>
      </c>
      <c r="F1399">
        <f>MAX(C1399-B1399,0)*Assumptions!$B$2</f>
        <v>0</v>
      </c>
      <c r="G1399">
        <f>MAX(B1399-C1399,0)*Assumptions!$B$2</f>
        <v>1.1000000000000001</v>
      </c>
    </row>
    <row r="1400" spans="1:7" x14ac:dyDescent="0.3">
      <c r="A1400" s="5">
        <f>Raw_Load_Data!A1400</f>
        <v>46233.125000003391</v>
      </c>
      <c r="B1400">
        <f>Raw_Load_Data!B1400</f>
        <v>1.8</v>
      </c>
      <c r="C1400">
        <f>MAX(0,IF(AND(HOUR(A1400)&gt;=6,HOUR(A1400)&lt;=18),Assumptions!$B$8*SIN(PI()*(HOUR(A1400)+MINUTE(A1400)/60-6)/12),0))</f>
        <v>0</v>
      </c>
      <c r="D1400">
        <f t="shared" si="21"/>
        <v>1.8</v>
      </c>
      <c r="E1400">
        <f>MIN(B1400,C1400)*Assumptions!$B$2</f>
        <v>0</v>
      </c>
      <c r="F1400">
        <f>MAX(C1400-B1400,0)*Assumptions!$B$2</f>
        <v>0</v>
      </c>
      <c r="G1400">
        <f>MAX(B1400-C1400,0)*Assumptions!$B$2</f>
        <v>0.9</v>
      </c>
    </row>
    <row r="1401" spans="1:7" x14ac:dyDescent="0.3">
      <c r="A1401" s="5">
        <f>Raw_Load_Data!A1401</f>
        <v>46233.145833336726</v>
      </c>
      <c r="B1401">
        <f>Raw_Load_Data!B1401</f>
        <v>2.8</v>
      </c>
      <c r="C1401">
        <f>MAX(0,IF(AND(HOUR(A1401)&gt;=6,HOUR(A1401)&lt;=18),Assumptions!$B$8*SIN(PI()*(HOUR(A1401)+MINUTE(A1401)/60-6)/12),0))</f>
        <v>0</v>
      </c>
      <c r="D1401">
        <f t="shared" si="21"/>
        <v>2.8</v>
      </c>
      <c r="E1401">
        <f>MIN(B1401,C1401)*Assumptions!$B$2</f>
        <v>0</v>
      </c>
      <c r="F1401">
        <f>MAX(C1401-B1401,0)*Assumptions!$B$2</f>
        <v>0</v>
      </c>
      <c r="G1401">
        <f>MAX(B1401-C1401,0)*Assumptions!$B$2</f>
        <v>1.4</v>
      </c>
    </row>
    <row r="1402" spans="1:7" x14ac:dyDescent="0.3">
      <c r="A1402" s="5">
        <f>Raw_Load_Data!A1402</f>
        <v>46233.166666670062</v>
      </c>
      <c r="B1402">
        <f>Raw_Load_Data!B1402</f>
        <v>2.1</v>
      </c>
      <c r="C1402">
        <f>MAX(0,IF(AND(HOUR(A1402)&gt;=6,HOUR(A1402)&lt;=18),Assumptions!$B$8*SIN(PI()*(HOUR(A1402)+MINUTE(A1402)/60-6)/12),0))</f>
        <v>0</v>
      </c>
      <c r="D1402">
        <f t="shared" si="21"/>
        <v>2.1</v>
      </c>
      <c r="E1402">
        <f>MIN(B1402,C1402)*Assumptions!$B$2</f>
        <v>0</v>
      </c>
      <c r="F1402">
        <f>MAX(C1402-B1402,0)*Assumptions!$B$2</f>
        <v>0</v>
      </c>
      <c r="G1402">
        <f>MAX(B1402-C1402,0)*Assumptions!$B$2</f>
        <v>1.05</v>
      </c>
    </row>
    <row r="1403" spans="1:7" x14ac:dyDescent="0.3">
      <c r="A1403" s="5">
        <f>Raw_Load_Data!A1403</f>
        <v>46233.187500003398</v>
      </c>
      <c r="B1403">
        <f>Raw_Load_Data!B1403</f>
        <v>2.2000000000000002</v>
      </c>
      <c r="C1403">
        <f>MAX(0,IF(AND(HOUR(A1403)&gt;=6,HOUR(A1403)&lt;=18),Assumptions!$B$8*SIN(PI()*(HOUR(A1403)+MINUTE(A1403)/60-6)/12),0))</f>
        <v>0</v>
      </c>
      <c r="D1403">
        <f t="shared" si="21"/>
        <v>2.2000000000000002</v>
      </c>
      <c r="E1403">
        <f>MIN(B1403,C1403)*Assumptions!$B$2</f>
        <v>0</v>
      </c>
      <c r="F1403">
        <f>MAX(C1403-B1403,0)*Assumptions!$B$2</f>
        <v>0</v>
      </c>
      <c r="G1403">
        <f>MAX(B1403-C1403,0)*Assumptions!$B$2</f>
        <v>1.1000000000000001</v>
      </c>
    </row>
    <row r="1404" spans="1:7" x14ac:dyDescent="0.3">
      <c r="A1404" s="5">
        <f>Raw_Load_Data!A1404</f>
        <v>46233.208333336734</v>
      </c>
      <c r="B1404">
        <f>Raw_Load_Data!B1404</f>
        <v>2.6</v>
      </c>
      <c r="C1404">
        <f>MAX(0,IF(AND(HOUR(A1404)&gt;=6,HOUR(A1404)&lt;=18),Assumptions!$B$8*SIN(PI()*(HOUR(A1404)+MINUTE(A1404)/60-6)/12),0))</f>
        <v>0</v>
      </c>
      <c r="D1404">
        <f t="shared" si="21"/>
        <v>2.6</v>
      </c>
      <c r="E1404">
        <f>MIN(B1404,C1404)*Assumptions!$B$2</f>
        <v>0</v>
      </c>
      <c r="F1404">
        <f>MAX(C1404-B1404,0)*Assumptions!$B$2</f>
        <v>0</v>
      </c>
      <c r="G1404">
        <f>MAX(B1404-C1404,0)*Assumptions!$B$2</f>
        <v>1.3</v>
      </c>
    </row>
    <row r="1405" spans="1:7" x14ac:dyDescent="0.3">
      <c r="A1405" s="5">
        <f>Raw_Load_Data!A1405</f>
        <v>46233.229166670069</v>
      </c>
      <c r="B1405">
        <f>Raw_Load_Data!B1405</f>
        <v>2.7</v>
      </c>
      <c r="C1405">
        <f>MAX(0,IF(AND(HOUR(A1405)&gt;=6,HOUR(A1405)&lt;=18),Assumptions!$B$8*SIN(PI()*(HOUR(A1405)+MINUTE(A1405)/60-6)/12),0))</f>
        <v>0</v>
      </c>
      <c r="D1405">
        <f t="shared" si="21"/>
        <v>2.7</v>
      </c>
      <c r="E1405">
        <f>MIN(B1405,C1405)*Assumptions!$B$2</f>
        <v>0</v>
      </c>
      <c r="F1405">
        <f>MAX(C1405-B1405,0)*Assumptions!$B$2</f>
        <v>0</v>
      </c>
      <c r="G1405">
        <f>MAX(B1405-C1405,0)*Assumptions!$B$2</f>
        <v>1.35</v>
      </c>
    </row>
    <row r="1406" spans="1:7" x14ac:dyDescent="0.3">
      <c r="A1406" s="5">
        <f>Raw_Load_Data!A1406</f>
        <v>46233.250000003405</v>
      </c>
      <c r="B1406">
        <f>Raw_Load_Data!B1406</f>
        <v>6.8</v>
      </c>
      <c r="C1406">
        <f>MAX(0,IF(AND(HOUR(A1406)&gt;=6,HOUR(A1406)&lt;=18),Assumptions!$B$8*SIN(PI()*(HOUR(A1406)+MINUTE(A1406)/60-6)/12),0))</f>
        <v>0</v>
      </c>
      <c r="D1406">
        <f t="shared" si="21"/>
        <v>6.8</v>
      </c>
      <c r="E1406">
        <f>MIN(B1406,C1406)*Assumptions!$B$2</f>
        <v>0</v>
      </c>
      <c r="F1406">
        <f>MAX(C1406-B1406,0)*Assumptions!$B$2</f>
        <v>0</v>
      </c>
      <c r="G1406">
        <f>MAX(B1406-C1406,0)*Assumptions!$B$2</f>
        <v>3.4</v>
      </c>
    </row>
    <row r="1407" spans="1:7" x14ac:dyDescent="0.3">
      <c r="A1407" s="5">
        <f>Raw_Load_Data!A1407</f>
        <v>46233.270833336741</v>
      </c>
      <c r="B1407">
        <f>Raw_Load_Data!B1407</f>
        <v>5.7</v>
      </c>
      <c r="C1407">
        <f>MAX(0,IF(AND(HOUR(A1407)&gt;=6,HOUR(A1407)&lt;=18),Assumptions!$B$8*SIN(PI()*(HOUR(A1407)+MINUTE(A1407)/60-6)/12),0))</f>
        <v>3.9157857666015472</v>
      </c>
      <c r="D1407">
        <f t="shared" si="21"/>
        <v>1.784214233398453</v>
      </c>
      <c r="E1407">
        <f>MIN(B1407,C1407)*Assumptions!$B$2</f>
        <v>1.9578928833007736</v>
      </c>
      <c r="F1407">
        <f>MAX(C1407-B1407,0)*Assumptions!$B$2</f>
        <v>0</v>
      </c>
      <c r="G1407">
        <f>MAX(B1407-C1407,0)*Assumptions!$B$2</f>
        <v>0.89210711669922649</v>
      </c>
    </row>
    <row r="1408" spans="1:7" x14ac:dyDescent="0.3">
      <c r="A1408" s="5">
        <f>Raw_Load_Data!A1408</f>
        <v>46233.291666670077</v>
      </c>
      <c r="B1408">
        <f>Raw_Load_Data!B1408</f>
        <v>7.5</v>
      </c>
      <c r="C1408">
        <f>MAX(0,IF(AND(HOUR(A1408)&gt;=6,HOUR(A1408)&lt;=18),Assumptions!$B$8*SIN(PI()*(HOUR(A1408)+MINUTE(A1408)/60-6)/12),0))</f>
        <v>7.7645713530756222</v>
      </c>
      <c r="D1408">
        <f t="shared" si="21"/>
        <v>-0.26457135307562218</v>
      </c>
      <c r="E1408">
        <f>MIN(B1408,C1408)*Assumptions!$B$2</f>
        <v>3.75</v>
      </c>
      <c r="F1408">
        <f>MAX(C1408-B1408,0)*Assumptions!$B$2</f>
        <v>0.13228567653781109</v>
      </c>
      <c r="G1408">
        <f>MAX(B1408-C1408,0)*Assumptions!$B$2</f>
        <v>0</v>
      </c>
    </row>
    <row r="1409" spans="1:7" x14ac:dyDescent="0.3">
      <c r="A1409" s="5">
        <f>Raw_Load_Data!A1409</f>
        <v>46233.312500003412</v>
      </c>
      <c r="B1409">
        <f>Raw_Load_Data!B1409</f>
        <v>4</v>
      </c>
      <c r="C1409">
        <f>MAX(0,IF(AND(HOUR(A1409)&gt;=6,HOUR(A1409)&lt;=18),Assumptions!$B$8*SIN(PI()*(HOUR(A1409)+MINUTE(A1409)/60-6)/12),0))</f>
        <v>11.480502970952694</v>
      </c>
      <c r="D1409">
        <f t="shared" si="21"/>
        <v>-7.4805029709526938</v>
      </c>
      <c r="E1409">
        <f>MIN(B1409,C1409)*Assumptions!$B$2</f>
        <v>2</v>
      </c>
      <c r="F1409">
        <f>MAX(C1409-B1409,0)*Assumptions!$B$2</f>
        <v>3.7402514854763469</v>
      </c>
      <c r="G1409">
        <f>MAX(B1409-C1409,0)*Assumptions!$B$2</f>
        <v>0</v>
      </c>
    </row>
    <row r="1410" spans="1:7" x14ac:dyDescent="0.3">
      <c r="A1410" s="5">
        <f>Raw_Load_Data!A1410</f>
        <v>46233.333333336748</v>
      </c>
      <c r="B1410">
        <f>Raw_Load_Data!B1410</f>
        <v>19.5</v>
      </c>
      <c r="C1410">
        <f>MAX(0,IF(AND(HOUR(A1410)&gt;=6,HOUR(A1410)&lt;=18),Assumptions!$B$8*SIN(PI()*(HOUR(A1410)+MINUTE(A1410)/60-6)/12),0))</f>
        <v>14.999999999999998</v>
      </c>
      <c r="D1410">
        <f t="shared" si="21"/>
        <v>4.5000000000000018</v>
      </c>
      <c r="E1410">
        <f>MIN(B1410,C1410)*Assumptions!$B$2</f>
        <v>7.4999999999999991</v>
      </c>
      <c r="F1410">
        <f>MAX(C1410-B1410,0)*Assumptions!$B$2</f>
        <v>0</v>
      </c>
      <c r="G1410">
        <f>MAX(B1410-C1410,0)*Assumptions!$B$2</f>
        <v>2.2500000000000009</v>
      </c>
    </row>
    <row r="1411" spans="1:7" x14ac:dyDescent="0.3">
      <c r="A1411" s="5">
        <f>Raw_Load_Data!A1411</f>
        <v>46233.354166670084</v>
      </c>
      <c r="B1411">
        <f>Raw_Load_Data!B1411</f>
        <v>14.1</v>
      </c>
      <c r="C1411">
        <f>MAX(0,IF(AND(HOUR(A1411)&gt;=6,HOUR(A1411)&lt;=18),Assumptions!$B$8*SIN(PI()*(HOUR(A1411)+MINUTE(A1411)/60-6)/12),0))</f>
        <v>18.262842870261618</v>
      </c>
      <c r="D1411">
        <f t="shared" ref="D1411:D1441" si="22">B1411-C1411</f>
        <v>-4.1628428702616187</v>
      </c>
      <c r="E1411">
        <f>MIN(B1411,C1411)*Assumptions!$B$2</f>
        <v>7.05</v>
      </c>
      <c r="F1411">
        <f>MAX(C1411-B1411,0)*Assumptions!$B$2</f>
        <v>2.0814214351308093</v>
      </c>
      <c r="G1411">
        <f>MAX(B1411-C1411,0)*Assumptions!$B$2</f>
        <v>0</v>
      </c>
    </row>
    <row r="1412" spans="1:7" x14ac:dyDescent="0.3">
      <c r="A1412" s="5">
        <f>Raw_Load_Data!A1412</f>
        <v>46233.37500000342</v>
      </c>
      <c r="B1412">
        <f>Raw_Load_Data!B1412</f>
        <v>16.5</v>
      </c>
      <c r="C1412">
        <f>MAX(0,IF(AND(HOUR(A1412)&gt;=6,HOUR(A1412)&lt;=18),Assumptions!$B$8*SIN(PI()*(HOUR(A1412)+MINUTE(A1412)/60-6)/12),0))</f>
        <v>21.213203435596423</v>
      </c>
      <c r="D1412">
        <f t="shared" si="22"/>
        <v>-4.713203435596423</v>
      </c>
      <c r="E1412">
        <f>MIN(B1412,C1412)*Assumptions!$B$2</f>
        <v>8.25</v>
      </c>
      <c r="F1412">
        <f>MAX(C1412-B1412,0)*Assumptions!$B$2</f>
        <v>2.3566017177982115</v>
      </c>
      <c r="G1412">
        <f>MAX(B1412-C1412,0)*Assumptions!$B$2</f>
        <v>0</v>
      </c>
    </row>
    <row r="1413" spans="1:7" x14ac:dyDescent="0.3">
      <c r="A1413" s="5">
        <f>Raw_Load_Data!A1413</f>
        <v>46233.395833336755</v>
      </c>
      <c r="B1413">
        <f>Raw_Load_Data!B1413</f>
        <v>17.100000000000001</v>
      </c>
      <c r="C1413">
        <f>MAX(0,IF(AND(HOUR(A1413)&gt;=6,HOUR(A1413)&lt;=18),Assumptions!$B$8*SIN(PI()*(HOUR(A1413)+MINUTE(A1413)/60-6)/12),0))</f>
        <v>23.800600208737055</v>
      </c>
      <c r="D1413">
        <f t="shared" si="22"/>
        <v>-6.700600208737054</v>
      </c>
      <c r="E1413">
        <f>MIN(B1413,C1413)*Assumptions!$B$2</f>
        <v>8.5500000000000007</v>
      </c>
      <c r="F1413">
        <f>MAX(C1413-B1413,0)*Assumptions!$B$2</f>
        <v>3.350300104368527</v>
      </c>
      <c r="G1413">
        <f>MAX(B1413-C1413,0)*Assumptions!$B$2</f>
        <v>0</v>
      </c>
    </row>
    <row r="1414" spans="1:7" x14ac:dyDescent="0.3">
      <c r="A1414" s="5">
        <f>Raw_Load_Data!A1414</f>
        <v>46233.416666670091</v>
      </c>
      <c r="B1414">
        <f>Raw_Load_Data!B1414</f>
        <v>21.4</v>
      </c>
      <c r="C1414">
        <f>MAX(0,IF(AND(HOUR(A1414)&gt;=6,HOUR(A1414)&lt;=18),Assumptions!$B$8*SIN(PI()*(HOUR(A1414)+MINUTE(A1414)/60-6)/12),0))</f>
        <v>25.980762113533157</v>
      </c>
      <c r="D1414">
        <f t="shared" si="22"/>
        <v>-4.580762113533158</v>
      </c>
      <c r="E1414">
        <f>MIN(B1414,C1414)*Assumptions!$B$2</f>
        <v>10.7</v>
      </c>
      <c r="F1414">
        <f>MAX(C1414-B1414,0)*Assumptions!$B$2</f>
        <v>2.290381056766579</v>
      </c>
      <c r="G1414">
        <f>MAX(B1414-C1414,0)*Assumptions!$B$2</f>
        <v>0</v>
      </c>
    </row>
    <row r="1415" spans="1:7" x14ac:dyDescent="0.3">
      <c r="A1415" s="5">
        <f>Raw_Load_Data!A1415</f>
        <v>46233.437500003427</v>
      </c>
      <c r="B1415">
        <f>Raw_Load_Data!B1415</f>
        <v>16.899999999999999</v>
      </c>
      <c r="C1415">
        <f>MAX(0,IF(AND(HOUR(A1415)&gt;=6,HOUR(A1415)&lt;=18),Assumptions!$B$8*SIN(PI()*(HOUR(A1415)+MINUTE(A1415)/60-6)/12),0))</f>
        <v>27.716385975338603</v>
      </c>
      <c r="D1415">
        <f t="shared" si="22"/>
        <v>-10.816385975338605</v>
      </c>
      <c r="E1415">
        <f>MIN(B1415,C1415)*Assumptions!$B$2</f>
        <v>8.4499999999999993</v>
      </c>
      <c r="F1415">
        <f>MAX(C1415-B1415,0)*Assumptions!$B$2</f>
        <v>5.4081929876693025</v>
      </c>
      <c r="G1415">
        <f>MAX(B1415-C1415,0)*Assumptions!$B$2</f>
        <v>0</v>
      </c>
    </row>
    <row r="1416" spans="1:7" x14ac:dyDescent="0.3">
      <c r="A1416" s="5">
        <f>Raw_Load_Data!A1416</f>
        <v>46233.458333336763</v>
      </c>
      <c r="B1416">
        <f>Raw_Load_Data!B1416</f>
        <v>13.1</v>
      </c>
      <c r="C1416">
        <f>MAX(0,IF(AND(HOUR(A1416)&gt;=6,HOUR(A1416)&lt;=18),Assumptions!$B$8*SIN(PI()*(HOUR(A1416)+MINUTE(A1416)/60-6)/12),0))</f>
        <v>28.97777478867205</v>
      </c>
      <c r="D1416">
        <f t="shared" si="22"/>
        <v>-15.877774788672051</v>
      </c>
      <c r="E1416">
        <f>MIN(B1416,C1416)*Assumptions!$B$2</f>
        <v>6.55</v>
      </c>
      <c r="F1416">
        <f>MAX(C1416-B1416,0)*Assumptions!$B$2</f>
        <v>7.9388873943360254</v>
      </c>
      <c r="G1416">
        <f>MAX(B1416-C1416,0)*Assumptions!$B$2</f>
        <v>0</v>
      </c>
    </row>
    <row r="1417" spans="1:7" x14ac:dyDescent="0.3">
      <c r="A1417" s="5">
        <f>Raw_Load_Data!A1417</f>
        <v>46233.479166670098</v>
      </c>
      <c r="B1417">
        <f>Raw_Load_Data!B1417</f>
        <v>17.2</v>
      </c>
      <c r="C1417">
        <f>MAX(0,IF(AND(HOUR(A1417)&gt;=6,HOUR(A1417)&lt;=18),Assumptions!$B$8*SIN(PI()*(HOUR(A1417)+MINUTE(A1417)/60-6)/12),0))</f>
        <v>29.74334584121431</v>
      </c>
      <c r="D1417">
        <f t="shared" si="22"/>
        <v>-12.543345841214311</v>
      </c>
      <c r="E1417">
        <f>MIN(B1417,C1417)*Assumptions!$B$2</f>
        <v>8.6</v>
      </c>
      <c r="F1417">
        <f>MAX(C1417-B1417,0)*Assumptions!$B$2</f>
        <v>6.2716729206071555</v>
      </c>
      <c r="G1417">
        <f>MAX(B1417-C1417,0)*Assumptions!$B$2</f>
        <v>0</v>
      </c>
    </row>
    <row r="1418" spans="1:7" x14ac:dyDescent="0.3">
      <c r="A1418" s="5">
        <f>Raw_Load_Data!A1418</f>
        <v>46233.500000003434</v>
      </c>
      <c r="B1418">
        <f>Raw_Load_Data!B1418</f>
        <v>19.7</v>
      </c>
      <c r="C1418">
        <f>MAX(0,IF(AND(HOUR(A1418)&gt;=6,HOUR(A1418)&lt;=18),Assumptions!$B$8*SIN(PI()*(HOUR(A1418)+MINUTE(A1418)/60-6)/12),0))</f>
        <v>30</v>
      </c>
      <c r="D1418">
        <f t="shared" si="22"/>
        <v>-10.3</v>
      </c>
      <c r="E1418">
        <f>MIN(B1418,C1418)*Assumptions!$B$2</f>
        <v>9.85</v>
      </c>
      <c r="F1418">
        <f>MAX(C1418-B1418,0)*Assumptions!$B$2</f>
        <v>5.15</v>
      </c>
      <c r="G1418">
        <f>MAX(B1418-C1418,0)*Assumptions!$B$2</f>
        <v>0</v>
      </c>
    </row>
    <row r="1419" spans="1:7" x14ac:dyDescent="0.3">
      <c r="A1419" s="5">
        <f>Raw_Load_Data!A1419</f>
        <v>46233.52083333677</v>
      </c>
      <c r="B1419">
        <f>Raw_Load_Data!B1419</f>
        <v>33.5</v>
      </c>
      <c r="C1419">
        <f>MAX(0,IF(AND(HOUR(A1419)&gt;=6,HOUR(A1419)&lt;=18),Assumptions!$B$8*SIN(PI()*(HOUR(A1419)+MINUTE(A1419)/60-6)/12),0))</f>
        <v>29.74334584121431</v>
      </c>
      <c r="D1419">
        <f t="shared" si="22"/>
        <v>3.7566541587856896</v>
      </c>
      <c r="E1419">
        <f>MIN(B1419,C1419)*Assumptions!$B$2</f>
        <v>14.871672920607155</v>
      </c>
      <c r="F1419">
        <f>MAX(C1419-B1419,0)*Assumptions!$B$2</f>
        <v>0</v>
      </c>
      <c r="G1419">
        <f>MAX(B1419-C1419,0)*Assumptions!$B$2</f>
        <v>1.8783270793928448</v>
      </c>
    </row>
    <row r="1420" spans="1:7" x14ac:dyDescent="0.3">
      <c r="A1420" s="5">
        <f>Raw_Load_Data!A1420</f>
        <v>46233.541666670106</v>
      </c>
      <c r="B1420">
        <f>Raw_Load_Data!B1420</f>
        <v>31.3</v>
      </c>
      <c r="C1420">
        <f>MAX(0,IF(AND(HOUR(A1420)&gt;=6,HOUR(A1420)&lt;=18),Assumptions!$B$8*SIN(PI()*(HOUR(A1420)+MINUTE(A1420)/60-6)/12),0))</f>
        <v>28.97777478867205</v>
      </c>
      <c r="D1420">
        <f t="shared" si="22"/>
        <v>2.3222252113279502</v>
      </c>
      <c r="E1420">
        <f>MIN(B1420,C1420)*Assumptions!$B$2</f>
        <v>14.488887394336025</v>
      </c>
      <c r="F1420">
        <f>MAX(C1420-B1420,0)*Assumptions!$B$2</f>
        <v>0</v>
      </c>
      <c r="G1420">
        <f>MAX(B1420-C1420,0)*Assumptions!$B$2</f>
        <v>1.1611126056639751</v>
      </c>
    </row>
    <row r="1421" spans="1:7" x14ac:dyDescent="0.3">
      <c r="A1421" s="5">
        <f>Raw_Load_Data!A1421</f>
        <v>46233.562500003442</v>
      </c>
      <c r="B1421">
        <f>Raw_Load_Data!B1421</f>
        <v>33.700000000000003</v>
      </c>
      <c r="C1421">
        <f>MAX(0,IF(AND(HOUR(A1421)&gt;=6,HOUR(A1421)&lt;=18),Assumptions!$B$8*SIN(PI()*(HOUR(A1421)+MINUTE(A1421)/60-6)/12),0))</f>
        <v>27.716385975338607</v>
      </c>
      <c r="D1421">
        <f t="shared" si="22"/>
        <v>5.9836140246613958</v>
      </c>
      <c r="E1421">
        <f>MIN(B1421,C1421)*Assumptions!$B$2</f>
        <v>13.858192987669304</v>
      </c>
      <c r="F1421">
        <f>MAX(C1421-B1421,0)*Assumptions!$B$2</f>
        <v>0</v>
      </c>
      <c r="G1421">
        <f>MAX(B1421-C1421,0)*Assumptions!$B$2</f>
        <v>2.9918070123306979</v>
      </c>
    </row>
    <row r="1422" spans="1:7" x14ac:dyDescent="0.3">
      <c r="A1422" s="5">
        <f>Raw_Load_Data!A1422</f>
        <v>46233.583333336777</v>
      </c>
      <c r="B1422">
        <f>Raw_Load_Data!B1422</f>
        <v>19.3</v>
      </c>
      <c r="C1422">
        <f>MAX(0,IF(AND(HOUR(A1422)&gt;=6,HOUR(A1422)&lt;=18),Assumptions!$B$8*SIN(PI()*(HOUR(A1422)+MINUTE(A1422)/60-6)/12),0))</f>
        <v>25.98076211353316</v>
      </c>
      <c r="D1422">
        <f t="shared" si="22"/>
        <v>-6.6807621135331594</v>
      </c>
      <c r="E1422">
        <f>MIN(B1422,C1422)*Assumptions!$B$2</f>
        <v>9.65</v>
      </c>
      <c r="F1422">
        <f>MAX(C1422-B1422,0)*Assumptions!$B$2</f>
        <v>3.3403810567665797</v>
      </c>
      <c r="G1422">
        <f>MAX(B1422-C1422,0)*Assumptions!$B$2</f>
        <v>0</v>
      </c>
    </row>
    <row r="1423" spans="1:7" x14ac:dyDescent="0.3">
      <c r="A1423" s="5">
        <f>Raw_Load_Data!A1423</f>
        <v>46233.604166670113</v>
      </c>
      <c r="B1423">
        <f>Raw_Load_Data!B1423</f>
        <v>26.5</v>
      </c>
      <c r="C1423">
        <f>MAX(0,IF(AND(HOUR(A1423)&gt;=6,HOUR(A1423)&lt;=18),Assumptions!$B$8*SIN(PI()*(HOUR(A1423)+MINUTE(A1423)/60-6)/12),0))</f>
        <v>23.800600208737055</v>
      </c>
      <c r="D1423">
        <f t="shared" si="22"/>
        <v>2.6993997912629446</v>
      </c>
      <c r="E1423">
        <f>MIN(B1423,C1423)*Assumptions!$B$2</f>
        <v>11.900300104368528</v>
      </c>
      <c r="F1423">
        <f>MAX(C1423-B1423,0)*Assumptions!$B$2</f>
        <v>0</v>
      </c>
      <c r="G1423">
        <f>MAX(B1423-C1423,0)*Assumptions!$B$2</f>
        <v>1.3496998956314723</v>
      </c>
    </row>
    <row r="1424" spans="1:7" x14ac:dyDescent="0.3">
      <c r="A1424" s="5">
        <f>Raw_Load_Data!A1424</f>
        <v>46233.625000003449</v>
      </c>
      <c r="B1424">
        <f>Raw_Load_Data!B1424</f>
        <v>19.8</v>
      </c>
      <c r="C1424">
        <f>MAX(0,IF(AND(HOUR(A1424)&gt;=6,HOUR(A1424)&lt;=18),Assumptions!$B$8*SIN(PI()*(HOUR(A1424)+MINUTE(A1424)/60-6)/12),0))</f>
        <v>21.213203435596427</v>
      </c>
      <c r="D1424">
        <f t="shared" si="22"/>
        <v>-1.4132034355964258</v>
      </c>
      <c r="E1424">
        <f>MIN(B1424,C1424)*Assumptions!$B$2</f>
        <v>9.9</v>
      </c>
      <c r="F1424">
        <f>MAX(C1424-B1424,0)*Assumptions!$B$2</f>
        <v>0.7066017177982129</v>
      </c>
      <c r="G1424">
        <f>MAX(B1424-C1424,0)*Assumptions!$B$2</f>
        <v>0</v>
      </c>
    </row>
    <row r="1425" spans="1:7" x14ac:dyDescent="0.3">
      <c r="A1425" s="5">
        <f>Raw_Load_Data!A1425</f>
        <v>46233.645833336785</v>
      </c>
      <c r="B1425">
        <f>Raw_Load_Data!B1425</f>
        <v>28.2</v>
      </c>
      <c r="C1425">
        <f>MAX(0,IF(AND(HOUR(A1425)&gt;=6,HOUR(A1425)&lt;=18),Assumptions!$B$8*SIN(PI()*(HOUR(A1425)+MINUTE(A1425)/60-6)/12),0))</f>
        <v>18.262842870261625</v>
      </c>
      <c r="D1425">
        <f t="shared" si="22"/>
        <v>9.9371571297383738</v>
      </c>
      <c r="E1425">
        <f>MIN(B1425,C1425)*Assumptions!$B$2</f>
        <v>9.1314214351308127</v>
      </c>
      <c r="F1425">
        <f>MAX(C1425-B1425,0)*Assumptions!$B$2</f>
        <v>0</v>
      </c>
      <c r="G1425">
        <f>MAX(B1425-C1425,0)*Assumptions!$B$2</f>
        <v>4.9685785648691869</v>
      </c>
    </row>
    <row r="1426" spans="1:7" x14ac:dyDescent="0.3">
      <c r="A1426" s="5">
        <f>Raw_Load_Data!A1426</f>
        <v>46233.66666667012</v>
      </c>
      <c r="B1426">
        <f>Raw_Load_Data!B1426</f>
        <v>12.4</v>
      </c>
      <c r="C1426">
        <f>MAX(0,IF(AND(HOUR(A1426)&gt;=6,HOUR(A1426)&lt;=18),Assumptions!$B$8*SIN(PI()*(HOUR(A1426)+MINUTE(A1426)/60-6)/12),0))</f>
        <v>14.999999999999998</v>
      </c>
      <c r="D1426">
        <f t="shared" si="22"/>
        <v>-2.5999999999999979</v>
      </c>
      <c r="E1426">
        <f>MIN(B1426,C1426)*Assumptions!$B$2</f>
        <v>6.2</v>
      </c>
      <c r="F1426">
        <f>MAX(C1426-B1426,0)*Assumptions!$B$2</f>
        <v>1.2999999999999989</v>
      </c>
      <c r="G1426">
        <f>MAX(B1426-C1426,0)*Assumptions!$B$2</f>
        <v>0</v>
      </c>
    </row>
    <row r="1427" spans="1:7" x14ac:dyDescent="0.3">
      <c r="A1427" s="5">
        <f>Raw_Load_Data!A1427</f>
        <v>46233.687500003456</v>
      </c>
      <c r="B1427">
        <f>Raw_Load_Data!B1427</f>
        <v>17.600000000000001</v>
      </c>
      <c r="C1427">
        <f>MAX(0,IF(AND(HOUR(A1427)&gt;=6,HOUR(A1427)&lt;=18),Assumptions!$B$8*SIN(PI()*(HOUR(A1427)+MINUTE(A1427)/60-6)/12),0))</f>
        <v>11.480502970952697</v>
      </c>
      <c r="D1427">
        <f t="shared" si="22"/>
        <v>6.1194970290473041</v>
      </c>
      <c r="E1427">
        <f>MIN(B1427,C1427)*Assumptions!$B$2</f>
        <v>5.7402514854763487</v>
      </c>
      <c r="F1427">
        <f>MAX(C1427-B1427,0)*Assumptions!$B$2</f>
        <v>0</v>
      </c>
      <c r="G1427">
        <f>MAX(B1427-C1427,0)*Assumptions!$B$2</f>
        <v>3.059748514523652</v>
      </c>
    </row>
    <row r="1428" spans="1:7" x14ac:dyDescent="0.3">
      <c r="A1428" s="5">
        <f>Raw_Load_Data!A1428</f>
        <v>46233.708333336792</v>
      </c>
      <c r="B1428">
        <f>Raw_Load_Data!B1428</f>
        <v>12.7</v>
      </c>
      <c r="C1428">
        <f>MAX(0,IF(AND(HOUR(A1428)&gt;=6,HOUR(A1428)&lt;=18),Assumptions!$B$8*SIN(PI()*(HOUR(A1428)+MINUTE(A1428)/60-6)/12),0))</f>
        <v>7.7645713530756302</v>
      </c>
      <c r="D1428">
        <f t="shared" si="22"/>
        <v>4.9354286469243691</v>
      </c>
      <c r="E1428">
        <f>MIN(B1428,C1428)*Assumptions!$B$2</f>
        <v>3.8822856765378151</v>
      </c>
      <c r="F1428">
        <f>MAX(C1428-B1428,0)*Assumptions!$B$2</f>
        <v>0</v>
      </c>
      <c r="G1428">
        <f>MAX(B1428-C1428,0)*Assumptions!$B$2</f>
        <v>2.4677143234621846</v>
      </c>
    </row>
    <row r="1429" spans="1:7" x14ac:dyDescent="0.3">
      <c r="A1429" s="5">
        <f>Raw_Load_Data!A1429</f>
        <v>46233.729166670128</v>
      </c>
      <c r="B1429">
        <f>Raw_Load_Data!B1429</f>
        <v>18</v>
      </c>
      <c r="C1429">
        <f>MAX(0,IF(AND(HOUR(A1429)&gt;=6,HOUR(A1429)&lt;=18),Assumptions!$B$8*SIN(PI()*(HOUR(A1429)+MINUTE(A1429)/60-6)/12),0))</f>
        <v>3.9157857666015596</v>
      </c>
      <c r="D1429">
        <f t="shared" si="22"/>
        <v>14.084214233398441</v>
      </c>
      <c r="E1429">
        <f>MIN(B1429,C1429)*Assumptions!$B$2</f>
        <v>1.9578928833007798</v>
      </c>
      <c r="F1429">
        <f>MAX(C1429-B1429,0)*Assumptions!$B$2</f>
        <v>0</v>
      </c>
      <c r="G1429">
        <f>MAX(B1429-C1429,0)*Assumptions!$B$2</f>
        <v>7.0421071166992206</v>
      </c>
    </row>
    <row r="1430" spans="1:7" x14ac:dyDescent="0.3">
      <c r="A1430" s="5">
        <f>Raw_Load_Data!A1430</f>
        <v>46233.750000003463</v>
      </c>
      <c r="B1430">
        <f>Raw_Load_Data!B1430</f>
        <v>10.5</v>
      </c>
      <c r="C1430">
        <f>MAX(0,IF(AND(HOUR(A1430)&gt;=6,HOUR(A1430)&lt;=18),Assumptions!$B$8*SIN(PI()*(HOUR(A1430)+MINUTE(A1430)/60-6)/12),0))</f>
        <v>3.67544536472586E-15</v>
      </c>
      <c r="D1430">
        <f t="shared" si="22"/>
        <v>10.499999999999996</v>
      </c>
      <c r="E1430">
        <f>MIN(B1430,C1430)*Assumptions!$B$2</f>
        <v>1.83772268236293E-15</v>
      </c>
      <c r="F1430">
        <f>MAX(C1430-B1430,0)*Assumptions!$B$2</f>
        <v>0</v>
      </c>
      <c r="G1430">
        <f>MAX(B1430-C1430,0)*Assumptions!$B$2</f>
        <v>5.2499999999999982</v>
      </c>
    </row>
    <row r="1431" spans="1:7" x14ac:dyDescent="0.3">
      <c r="A1431" s="5">
        <f>Raw_Load_Data!A1431</f>
        <v>46233.770833336799</v>
      </c>
      <c r="B1431">
        <f>Raw_Load_Data!B1431</f>
        <v>14.6</v>
      </c>
      <c r="C1431">
        <f>MAX(0,IF(AND(HOUR(A1431)&gt;=6,HOUR(A1431)&lt;=18),Assumptions!$B$8*SIN(PI()*(HOUR(A1431)+MINUTE(A1431)/60-6)/12),0))</f>
        <v>0</v>
      </c>
      <c r="D1431">
        <f t="shared" si="22"/>
        <v>14.6</v>
      </c>
      <c r="E1431">
        <f>MIN(B1431,C1431)*Assumptions!$B$2</f>
        <v>0</v>
      </c>
      <c r="F1431">
        <f>MAX(C1431-B1431,0)*Assumptions!$B$2</f>
        <v>0</v>
      </c>
      <c r="G1431">
        <f>MAX(B1431-C1431,0)*Assumptions!$B$2</f>
        <v>7.3</v>
      </c>
    </row>
    <row r="1432" spans="1:7" x14ac:dyDescent="0.3">
      <c r="A1432" s="5">
        <f>Raw_Load_Data!A1432</f>
        <v>46233.791666670135</v>
      </c>
      <c r="B1432">
        <f>Raw_Load_Data!B1432</f>
        <v>4.2</v>
      </c>
      <c r="C1432">
        <f>MAX(0,IF(AND(HOUR(A1432)&gt;=6,HOUR(A1432)&lt;=18),Assumptions!$B$8*SIN(PI()*(HOUR(A1432)+MINUTE(A1432)/60-6)/12),0))</f>
        <v>0</v>
      </c>
      <c r="D1432">
        <f t="shared" si="22"/>
        <v>4.2</v>
      </c>
      <c r="E1432">
        <f>MIN(B1432,C1432)*Assumptions!$B$2</f>
        <v>0</v>
      </c>
      <c r="F1432">
        <f>MAX(C1432-B1432,0)*Assumptions!$B$2</f>
        <v>0</v>
      </c>
      <c r="G1432">
        <f>MAX(B1432-C1432,0)*Assumptions!$B$2</f>
        <v>2.1</v>
      </c>
    </row>
    <row r="1433" spans="1:7" x14ac:dyDescent="0.3">
      <c r="A1433" s="5">
        <f>Raw_Load_Data!A1433</f>
        <v>46233.812500003471</v>
      </c>
      <c r="B1433">
        <f>Raw_Load_Data!B1433</f>
        <v>3.5</v>
      </c>
      <c r="C1433">
        <f>MAX(0,IF(AND(HOUR(A1433)&gt;=6,HOUR(A1433)&lt;=18),Assumptions!$B$8*SIN(PI()*(HOUR(A1433)+MINUTE(A1433)/60-6)/12),0))</f>
        <v>0</v>
      </c>
      <c r="D1433">
        <f t="shared" si="22"/>
        <v>3.5</v>
      </c>
      <c r="E1433">
        <f>MIN(B1433,C1433)*Assumptions!$B$2</f>
        <v>0</v>
      </c>
      <c r="F1433">
        <f>MAX(C1433-B1433,0)*Assumptions!$B$2</f>
        <v>0</v>
      </c>
      <c r="G1433">
        <f>MAX(B1433-C1433,0)*Assumptions!$B$2</f>
        <v>1.75</v>
      </c>
    </row>
    <row r="1434" spans="1:7" x14ac:dyDescent="0.3">
      <c r="A1434" s="5">
        <f>Raw_Load_Data!A1434</f>
        <v>46233.833333336806</v>
      </c>
      <c r="B1434">
        <f>Raw_Load_Data!B1434</f>
        <v>6.7</v>
      </c>
      <c r="C1434">
        <f>MAX(0,IF(AND(HOUR(A1434)&gt;=6,HOUR(A1434)&lt;=18),Assumptions!$B$8*SIN(PI()*(HOUR(A1434)+MINUTE(A1434)/60-6)/12),0))</f>
        <v>0</v>
      </c>
      <c r="D1434">
        <f t="shared" si="22"/>
        <v>6.7</v>
      </c>
      <c r="E1434">
        <f>MIN(B1434,C1434)*Assumptions!$B$2</f>
        <v>0</v>
      </c>
      <c r="F1434">
        <f>MAX(C1434-B1434,0)*Assumptions!$B$2</f>
        <v>0</v>
      </c>
      <c r="G1434">
        <f>MAX(B1434-C1434,0)*Assumptions!$B$2</f>
        <v>3.35</v>
      </c>
    </row>
    <row r="1435" spans="1:7" x14ac:dyDescent="0.3">
      <c r="A1435" s="5">
        <f>Raw_Load_Data!A1435</f>
        <v>46233.854166670142</v>
      </c>
      <c r="B1435">
        <f>Raw_Load_Data!B1435</f>
        <v>3.2</v>
      </c>
      <c r="C1435">
        <f>MAX(0,IF(AND(HOUR(A1435)&gt;=6,HOUR(A1435)&lt;=18),Assumptions!$B$8*SIN(PI()*(HOUR(A1435)+MINUTE(A1435)/60-6)/12),0))</f>
        <v>0</v>
      </c>
      <c r="D1435">
        <f t="shared" si="22"/>
        <v>3.2</v>
      </c>
      <c r="E1435">
        <f>MIN(B1435,C1435)*Assumptions!$B$2</f>
        <v>0</v>
      </c>
      <c r="F1435">
        <f>MAX(C1435-B1435,0)*Assumptions!$B$2</f>
        <v>0</v>
      </c>
      <c r="G1435">
        <f>MAX(B1435-C1435,0)*Assumptions!$B$2</f>
        <v>1.6</v>
      </c>
    </row>
    <row r="1436" spans="1:7" x14ac:dyDescent="0.3">
      <c r="A1436" s="5">
        <f>Raw_Load_Data!A1436</f>
        <v>46233.875000003478</v>
      </c>
      <c r="B1436">
        <f>Raw_Load_Data!B1436</f>
        <v>3.4</v>
      </c>
      <c r="C1436">
        <f>MAX(0,IF(AND(HOUR(A1436)&gt;=6,HOUR(A1436)&lt;=18),Assumptions!$B$8*SIN(PI()*(HOUR(A1436)+MINUTE(A1436)/60-6)/12),0))</f>
        <v>0</v>
      </c>
      <c r="D1436">
        <f t="shared" si="22"/>
        <v>3.4</v>
      </c>
      <c r="E1436">
        <f>MIN(B1436,C1436)*Assumptions!$B$2</f>
        <v>0</v>
      </c>
      <c r="F1436">
        <f>MAX(C1436-B1436,0)*Assumptions!$B$2</f>
        <v>0</v>
      </c>
      <c r="G1436">
        <f>MAX(B1436-C1436,0)*Assumptions!$B$2</f>
        <v>1.7</v>
      </c>
    </row>
    <row r="1437" spans="1:7" x14ac:dyDescent="0.3">
      <c r="A1437" s="5">
        <f>Raw_Load_Data!A1437</f>
        <v>46233.895833336814</v>
      </c>
      <c r="B1437">
        <f>Raw_Load_Data!B1437</f>
        <v>4.5</v>
      </c>
      <c r="C1437">
        <f>MAX(0,IF(AND(HOUR(A1437)&gt;=6,HOUR(A1437)&lt;=18),Assumptions!$B$8*SIN(PI()*(HOUR(A1437)+MINUTE(A1437)/60-6)/12),0))</f>
        <v>0</v>
      </c>
      <c r="D1437">
        <f t="shared" si="22"/>
        <v>4.5</v>
      </c>
      <c r="E1437">
        <f>MIN(B1437,C1437)*Assumptions!$B$2</f>
        <v>0</v>
      </c>
      <c r="F1437">
        <f>MAX(C1437-B1437,0)*Assumptions!$B$2</f>
        <v>0</v>
      </c>
      <c r="G1437">
        <f>MAX(B1437-C1437,0)*Assumptions!$B$2</f>
        <v>2.25</v>
      </c>
    </row>
    <row r="1438" spans="1:7" x14ac:dyDescent="0.3">
      <c r="A1438" s="5">
        <f>Raw_Load_Data!A1438</f>
        <v>46233.916666670149</v>
      </c>
      <c r="B1438">
        <f>Raw_Load_Data!B1438</f>
        <v>5.6</v>
      </c>
      <c r="C1438">
        <f>MAX(0,IF(AND(HOUR(A1438)&gt;=6,HOUR(A1438)&lt;=18),Assumptions!$B$8*SIN(PI()*(HOUR(A1438)+MINUTE(A1438)/60-6)/12),0))</f>
        <v>0</v>
      </c>
      <c r="D1438">
        <f t="shared" si="22"/>
        <v>5.6</v>
      </c>
      <c r="E1438">
        <f>MIN(B1438,C1438)*Assumptions!$B$2</f>
        <v>0</v>
      </c>
      <c r="F1438">
        <f>MAX(C1438-B1438,0)*Assumptions!$B$2</f>
        <v>0</v>
      </c>
      <c r="G1438">
        <f>MAX(B1438-C1438,0)*Assumptions!$B$2</f>
        <v>2.8</v>
      </c>
    </row>
    <row r="1439" spans="1:7" x14ac:dyDescent="0.3">
      <c r="A1439" s="5">
        <f>Raw_Load_Data!A1439</f>
        <v>46233.937500003485</v>
      </c>
      <c r="B1439">
        <f>Raw_Load_Data!B1439</f>
        <v>3</v>
      </c>
      <c r="C1439">
        <f>MAX(0,IF(AND(HOUR(A1439)&gt;=6,HOUR(A1439)&lt;=18),Assumptions!$B$8*SIN(PI()*(HOUR(A1439)+MINUTE(A1439)/60-6)/12),0))</f>
        <v>0</v>
      </c>
      <c r="D1439">
        <f t="shared" si="22"/>
        <v>3</v>
      </c>
      <c r="E1439">
        <f>MIN(B1439,C1439)*Assumptions!$B$2</f>
        <v>0</v>
      </c>
      <c r="F1439">
        <f>MAX(C1439-B1439,0)*Assumptions!$B$2</f>
        <v>0</v>
      </c>
      <c r="G1439">
        <f>MAX(B1439-C1439,0)*Assumptions!$B$2</f>
        <v>1.5</v>
      </c>
    </row>
    <row r="1440" spans="1:7" x14ac:dyDescent="0.3">
      <c r="A1440" s="5">
        <f>Raw_Load_Data!A1440</f>
        <v>46233.958333336821</v>
      </c>
      <c r="B1440">
        <f>Raw_Load_Data!B1440</f>
        <v>6</v>
      </c>
      <c r="C1440">
        <f>MAX(0,IF(AND(HOUR(A1440)&gt;=6,HOUR(A1440)&lt;=18),Assumptions!$B$8*SIN(PI()*(HOUR(A1440)+MINUTE(A1440)/60-6)/12),0))</f>
        <v>0</v>
      </c>
      <c r="D1440">
        <f t="shared" si="22"/>
        <v>6</v>
      </c>
      <c r="E1440">
        <f>MIN(B1440,C1440)*Assumptions!$B$2</f>
        <v>0</v>
      </c>
      <c r="F1440">
        <f>MAX(C1440-B1440,0)*Assumptions!$B$2</f>
        <v>0</v>
      </c>
      <c r="G1440">
        <f>MAX(B1440-C1440,0)*Assumptions!$B$2</f>
        <v>3</v>
      </c>
    </row>
    <row r="1441" spans="1:7" x14ac:dyDescent="0.3">
      <c r="A1441" s="5">
        <f>Raw_Load_Data!A1441</f>
        <v>46233.979166670157</v>
      </c>
      <c r="B1441">
        <f>Raw_Load_Data!B1441</f>
        <v>3.6</v>
      </c>
      <c r="C1441">
        <f>MAX(0,IF(AND(HOUR(A1441)&gt;=6,HOUR(A1441)&lt;=18),Assumptions!$B$8*SIN(PI()*(HOUR(A1441)+MINUTE(A1441)/60-6)/12),0))</f>
        <v>0</v>
      </c>
      <c r="D1441">
        <f t="shared" si="22"/>
        <v>3.6</v>
      </c>
      <c r="E1441">
        <f>MIN(B1441,C1441)*Assumptions!$B$2</f>
        <v>0</v>
      </c>
      <c r="F1441">
        <f>MAX(C1441-B1441,0)*Assumptions!$B$2</f>
        <v>0</v>
      </c>
      <c r="G1441">
        <f>MAX(B1441-C1441,0)*Assumptions!$B$2</f>
        <v>1.8</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234D-ED74-45BD-94EB-5A26C5AAD802}">
  <sheetPr>
    <pageSetUpPr fitToPage="1"/>
  </sheetPr>
  <dimension ref="A1:T110"/>
  <sheetViews>
    <sheetView showGridLines="0" tabSelected="1" zoomScale="84" zoomScaleNormal="79" zoomScaleSheetLayoutView="70" workbookViewId="0">
      <selection activeCell="M104" sqref="M104"/>
    </sheetView>
  </sheetViews>
  <sheetFormatPr defaultRowHeight="14.4" x14ac:dyDescent="0.3"/>
  <cols>
    <col min="1" max="1" width="60.33203125" customWidth="1"/>
    <col min="2" max="2" width="18.6640625" customWidth="1"/>
    <col min="3" max="3" width="10.5546875" customWidth="1"/>
    <col min="5" max="5" width="21.77734375" bestFit="1" customWidth="1"/>
    <col min="6" max="6" width="7.5546875" bestFit="1" customWidth="1"/>
    <col min="7" max="7" width="5.5546875" bestFit="1" customWidth="1"/>
  </cols>
  <sheetData>
    <row r="1" spans="1:20" ht="36.6" x14ac:dyDescent="0.7">
      <c r="A1" s="6" t="s">
        <v>74</v>
      </c>
    </row>
    <row r="2" spans="1:20" ht="18" x14ac:dyDescent="0.35">
      <c r="A2" s="35" t="s">
        <v>99</v>
      </c>
    </row>
    <row r="3" spans="1:20" ht="21" x14ac:dyDescent="0.4">
      <c r="A3" s="7" t="s">
        <v>112</v>
      </c>
    </row>
    <row r="5" spans="1:20" x14ac:dyDescent="0.3">
      <c r="A5" t="s">
        <v>90</v>
      </c>
    </row>
    <row r="6" spans="1:20" x14ac:dyDescent="0.3">
      <c r="A6" t="s">
        <v>91</v>
      </c>
    </row>
    <row r="7" spans="1:20" x14ac:dyDescent="0.3">
      <c r="A7" t="s">
        <v>92</v>
      </c>
    </row>
    <row r="8" spans="1:20" x14ac:dyDescent="0.3">
      <c r="A8" t="s">
        <v>118</v>
      </c>
    </row>
    <row r="9" spans="1:20" x14ac:dyDescent="0.3">
      <c r="A9" s="34" t="s">
        <v>93</v>
      </c>
    </row>
    <row r="10" spans="1:20" ht="18" x14ac:dyDescent="0.35">
      <c r="A10" t="s">
        <v>95</v>
      </c>
      <c r="J10" s="8"/>
      <c r="M10" s="8"/>
      <c r="P10" s="8"/>
      <c r="R10" s="8"/>
      <c r="T10" s="8"/>
    </row>
    <row r="11" spans="1:20" x14ac:dyDescent="0.3">
      <c r="A11" t="s">
        <v>94</v>
      </c>
      <c r="K11" s="13"/>
      <c r="N11" s="13"/>
      <c r="Q11" s="13"/>
      <c r="S11" s="13"/>
    </row>
    <row r="12" spans="1:20" x14ac:dyDescent="0.3">
      <c r="A12" t="s">
        <v>97</v>
      </c>
      <c r="K12" s="13"/>
      <c r="N12" s="13"/>
      <c r="Q12" s="13"/>
      <c r="S12" s="13"/>
    </row>
    <row r="13" spans="1:20" x14ac:dyDescent="0.3">
      <c r="A13" t="s">
        <v>98</v>
      </c>
      <c r="K13" s="13"/>
      <c r="N13" s="13"/>
      <c r="Q13" s="13"/>
      <c r="S13" s="13"/>
    </row>
    <row r="14" spans="1:20" x14ac:dyDescent="0.3">
      <c r="A14" t="s">
        <v>96</v>
      </c>
      <c r="K14" s="13"/>
      <c r="N14" s="13"/>
      <c r="Q14" s="13"/>
      <c r="S14" s="13"/>
    </row>
    <row r="15" spans="1:20" x14ac:dyDescent="0.3">
      <c r="K15" s="13"/>
      <c r="N15" s="13"/>
      <c r="Q15" s="13"/>
      <c r="S15" s="13"/>
    </row>
    <row r="16" spans="1:20" ht="18" x14ac:dyDescent="0.35">
      <c r="A16" s="14" t="s">
        <v>75</v>
      </c>
      <c r="B16" s="15" t="s">
        <v>32</v>
      </c>
      <c r="C16" s="16" t="s">
        <v>33</v>
      </c>
      <c r="E16" s="24" t="s">
        <v>81</v>
      </c>
      <c r="F16" s="25" t="s">
        <v>32</v>
      </c>
      <c r="G16" s="26" t="s">
        <v>33</v>
      </c>
    </row>
    <row r="17" spans="1:7" x14ac:dyDescent="0.3">
      <c r="A17" s="17" t="s">
        <v>76</v>
      </c>
      <c r="B17" s="18">
        <f>Summary_Calcs!B2</f>
        <v>8130.0000000000009</v>
      </c>
      <c r="C17" s="19" t="s">
        <v>47</v>
      </c>
      <c r="E17" s="27" t="s">
        <v>82</v>
      </c>
      <c r="F17" s="28">
        <f>Assumptions!B8</f>
        <v>30</v>
      </c>
      <c r="G17" s="29" t="s">
        <v>16</v>
      </c>
    </row>
    <row r="18" spans="1:7" x14ac:dyDescent="0.3">
      <c r="A18" s="20" t="s">
        <v>77</v>
      </c>
      <c r="B18" s="21">
        <f>Summary_Calcs!B3</f>
        <v>34.9</v>
      </c>
      <c r="C18" s="22" t="s">
        <v>16</v>
      </c>
      <c r="E18" s="30" t="s">
        <v>83</v>
      </c>
      <c r="F18" s="31">
        <f>Solar_Analysis!J5</f>
        <v>2548.650858315581</v>
      </c>
      <c r="G18" s="32" t="s">
        <v>47</v>
      </c>
    </row>
    <row r="19" spans="1:7" x14ac:dyDescent="0.3">
      <c r="A19" s="17" t="s">
        <v>78</v>
      </c>
      <c r="B19" s="18">
        <f>Summary_Calcs!B11</f>
        <v>2731.2000000000007</v>
      </c>
      <c r="C19" s="19" t="s">
        <v>50</v>
      </c>
      <c r="E19" s="27" t="s">
        <v>84</v>
      </c>
      <c r="F19" s="28">
        <f>Solar_Analysis!J6*100</f>
        <v>81.293544428189861</v>
      </c>
      <c r="G19" s="29" t="s">
        <v>48</v>
      </c>
    </row>
    <row r="20" spans="1:7" x14ac:dyDescent="0.3">
      <c r="A20" s="20" t="s">
        <v>79</v>
      </c>
      <c r="B20" s="21">
        <f>Summary_Calcs!B12</f>
        <v>5691</v>
      </c>
      <c r="C20" s="22" t="s">
        <v>51</v>
      </c>
      <c r="E20" s="30" t="s">
        <v>85</v>
      </c>
      <c r="F20" s="31">
        <f>Solar_Analysis!J10</f>
        <v>1626.9939655733904</v>
      </c>
      <c r="G20" s="32" t="s">
        <v>50</v>
      </c>
    </row>
    <row r="21" spans="1:7" x14ac:dyDescent="0.3">
      <c r="A21" s="9" t="s">
        <v>80</v>
      </c>
      <c r="B21" s="23">
        <f>Summary_Calcs!B13</f>
        <v>2.387222222222221</v>
      </c>
      <c r="C21" s="10" t="s">
        <v>16</v>
      </c>
      <c r="E21" s="11" t="s">
        <v>86</v>
      </c>
      <c r="F21" s="33">
        <f>Solar_Analysis!J12</f>
        <v>1.8438912887686898</v>
      </c>
      <c r="G21" s="12" t="s">
        <v>70</v>
      </c>
    </row>
    <row r="23" spans="1:7" x14ac:dyDescent="0.3">
      <c r="A23" s="36" t="s">
        <v>100</v>
      </c>
      <c r="E23" s="37" t="s">
        <v>101</v>
      </c>
    </row>
    <row r="43" spans="1:5" x14ac:dyDescent="0.3">
      <c r="A43" s="1" t="s">
        <v>102</v>
      </c>
      <c r="E43" t="s">
        <v>104</v>
      </c>
    </row>
    <row r="44" spans="1:5" x14ac:dyDescent="0.3">
      <c r="A44" s="1" t="s">
        <v>103</v>
      </c>
      <c r="E44" t="s">
        <v>105</v>
      </c>
    </row>
    <row r="47" spans="1:5" x14ac:dyDescent="0.3">
      <c r="A47" s="34" t="s">
        <v>106</v>
      </c>
    </row>
    <row r="67" spans="1:8" x14ac:dyDescent="0.3">
      <c r="A67" t="s">
        <v>107</v>
      </c>
    </row>
    <row r="71" spans="1:8" x14ac:dyDescent="0.3">
      <c r="A71" s="34" t="s">
        <v>108</v>
      </c>
      <c r="H71" s="34" t="s">
        <v>109</v>
      </c>
    </row>
    <row r="90" spans="1:8" x14ac:dyDescent="0.3">
      <c r="A90" t="s">
        <v>127</v>
      </c>
      <c r="H90" t="s">
        <v>110</v>
      </c>
    </row>
    <row r="91" spans="1:8" x14ac:dyDescent="0.3">
      <c r="H91" t="s">
        <v>111</v>
      </c>
    </row>
    <row r="94" spans="1:8" ht="23.4" x14ac:dyDescent="0.45">
      <c r="A94" s="38" t="s">
        <v>113</v>
      </c>
    </row>
    <row r="95" spans="1:8" ht="23.4" x14ac:dyDescent="0.45">
      <c r="A95" s="39" t="s">
        <v>114</v>
      </c>
      <c r="B95" s="39"/>
      <c r="C95" s="39"/>
      <c r="D95" s="39"/>
      <c r="E95" s="39"/>
      <c r="F95" s="39"/>
    </row>
    <row r="96" spans="1:8" ht="23.4" x14ac:dyDescent="0.45">
      <c r="A96" s="39" t="s">
        <v>128</v>
      </c>
      <c r="B96" s="39"/>
      <c r="C96" s="39"/>
      <c r="D96" s="39"/>
      <c r="E96" s="39"/>
      <c r="F96" s="39"/>
    </row>
    <row r="97" spans="1:16" ht="23.4" x14ac:dyDescent="0.45">
      <c r="A97" s="39" t="s">
        <v>115</v>
      </c>
      <c r="B97" s="39"/>
      <c r="C97" s="39"/>
      <c r="D97" s="39"/>
      <c r="E97" s="39"/>
      <c r="F97" s="39"/>
    </row>
    <row r="98" spans="1:16" ht="23.4" x14ac:dyDescent="0.45">
      <c r="A98" s="39" t="s">
        <v>116</v>
      </c>
      <c r="B98" s="39"/>
      <c r="C98" s="39"/>
      <c r="D98" s="39"/>
      <c r="E98" s="39"/>
      <c r="F98" s="39"/>
    </row>
    <row r="99" spans="1:16" ht="23.4" x14ac:dyDescent="0.45">
      <c r="A99" s="39" t="s">
        <v>117</v>
      </c>
      <c r="B99" s="39"/>
      <c r="C99" s="39"/>
      <c r="D99" s="39"/>
      <c r="E99" s="39"/>
      <c r="F99" s="39"/>
    </row>
    <row r="103" spans="1:16" ht="19.8" x14ac:dyDescent="0.4">
      <c r="A103" s="40" t="s">
        <v>119</v>
      </c>
      <c r="B103" s="41"/>
      <c r="C103" s="41"/>
      <c r="D103" s="41"/>
      <c r="E103" s="41"/>
      <c r="F103" s="41"/>
      <c r="G103" s="41"/>
      <c r="H103" s="41"/>
      <c r="I103" s="41"/>
      <c r="J103" s="41"/>
      <c r="K103" s="41"/>
      <c r="L103" s="41"/>
      <c r="M103" s="41"/>
      <c r="N103" s="41"/>
      <c r="O103" s="41"/>
      <c r="P103" s="41"/>
    </row>
    <row r="104" spans="1:16" ht="19.8" x14ac:dyDescent="0.4">
      <c r="A104" s="41" t="s">
        <v>120</v>
      </c>
      <c r="B104" s="41"/>
      <c r="C104" s="41"/>
      <c r="D104" s="41"/>
      <c r="E104" s="41"/>
      <c r="F104" s="41"/>
      <c r="G104" s="41"/>
      <c r="H104" s="41"/>
      <c r="I104" s="41"/>
      <c r="J104" s="41"/>
      <c r="K104" s="41"/>
      <c r="L104" s="41"/>
      <c r="M104" s="41"/>
      <c r="N104" s="41"/>
      <c r="O104" s="41"/>
      <c r="P104" s="41"/>
    </row>
    <row r="105" spans="1:16" ht="19.8" x14ac:dyDescent="0.4">
      <c r="A105" s="41" t="s">
        <v>121</v>
      </c>
      <c r="B105" s="41"/>
      <c r="C105" s="41"/>
      <c r="D105" s="41"/>
      <c r="E105" s="41"/>
      <c r="F105" s="41"/>
      <c r="G105" s="41"/>
      <c r="H105" s="41"/>
      <c r="I105" s="41"/>
      <c r="J105" s="41"/>
      <c r="K105" s="41"/>
      <c r="L105" s="41"/>
      <c r="M105" s="41"/>
      <c r="N105" s="41"/>
      <c r="O105" s="41"/>
      <c r="P105" s="41"/>
    </row>
    <row r="106" spans="1:16" ht="19.8" x14ac:dyDescent="0.4">
      <c r="A106" s="41" t="s">
        <v>122</v>
      </c>
      <c r="B106" s="41"/>
      <c r="C106" s="41"/>
      <c r="D106" s="41"/>
      <c r="E106" s="41"/>
      <c r="F106" s="41"/>
      <c r="G106" s="41"/>
      <c r="H106" s="41"/>
      <c r="I106" s="41"/>
      <c r="J106" s="41"/>
      <c r="K106" s="41"/>
      <c r="L106" s="41"/>
      <c r="M106" s="41"/>
      <c r="N106" s="41"/>
      <c r="O106" s="41"/>
      <c r="P106" s="41"/>
    </row>
    <row r="107" spans="1:16" ht="19.8" x14ac:dyDescent="0.4">
      <c r="A107" s="41" t="s">
        <v>123</v>
      </c>
      <c r="B107" s="41"/>
      <c r="C107" s="41"/>
      <c r="D107" s="41"/>
      <c r="E107" s="41"/>
      <c r="F107" s="41"/>
      <c r="G107" s="41"/>
      <c r="H107" s="41"/>
      <c r="I107" s="41"/>
      <c r="J107" s="41"/>
      <c r="K107" s="41"/>
      <c r="L107" s="41"/>
      <c r="M107" s="41"/>
      <c r="N107" s="41"/>
      <c r="O107" s="41"/>
      <c r="P107" s="41"/>
    </row>
    <row r="108" spans="1:16" ht="19.8" x14ac:dyDescent="0.4">
      <c r="A108" s="41" t="s">
        <v>124</v>
      </c>
      <c r="B108" s="41"/>
      <c r="C108" s="41"/>
      <c r="D108" s="41"/>
      <c r="E108" s="41"/>
      <c r="F108" s="41"/>
      <c r="G108" s="41"/>
      <c r="H108" s="41"/>
      <c r="I108" s="41"/>
      <c r="J108" s="41"/>
      <c r="K108" s="41"/>
      <c r="L108" s="41"/>
      <c r="M108" s="41"/>
      <c r="N108" s="41"/>
      <c r="O108" s="41"/>
      <c r="P108" s="41"/>
    </row>
    <row r="109" spans="1:16" ht="19.8" x14ac:dyDescent="0.4">
      <c r="A109" s="41" t="s">
        <v>125</v>
      </c>
      <c r="B109" s="41"/>
      <c r="C109" s="41"/>
      <c r="D109" s="41"/>
      <c r="E109" s="41"/>
      <c r="F109" s="41"/>
      <c r="G109" s="41"/>
      <c r="H109" s="41"/>
      <c r="I109" s="41"/>
      <c r="J109" s="41"/>
      <c r="K109" s="41"/>
      <c r="L109" s="41"/>
      <c r="M109" s="41"/>
      <c r="N109" s="41"/>
      <c r="O109" s="41"/>
      <c r="P109" s="41"/>
    </row>
    <row r="110" spans="1:16" ht="19.8" x14ac:dyDescent="0.4">
      <c r="A110" s="41" t="s">
        <v>126</v>
      </c>
      <c r="B110" s="41"/>
      <c r="C110" s="41"/>
      <c r="D110" s="41"/>
      <c r="E110" s="41"/>
      <c r="F110" s="41"/>
      <c r="G110" s="41"/>
      <c r="H110" s="41"/>
      <c r="I110" s="41"/>
      <c r="J110" s="41"/>
      <c r="K110" s="41"/>
      <c r="L110" s="41"/>
      <c r="M110" s="41"/>
      <c r="N110" s="41"/>
      <c r="O110" s="41"/>
      <c r="P110" s="41"/>
    </row>
  </sheetData>
  <phoneticPr fontId="8" type="noConversion"/>
  <pageMargins left="0.70866141732283472" right="0.70866141732283472" top="0.74803149606299213" bottom="0.74803149606299213" header="0.31496062992125984" footer="0.31496062992125984"/>
  <pageSetup scale="46" fitToHeight="2"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Assumptions</vt:lpstr>
      <vt:lpstr>Raw_Load_Data</vt:lpstr>
      <vt:lpstr>Daily Summary</vt:lpstr>
      <vt:lpstr>Summary_Calcs</vt:lpstr>
      <vt:lpstr>Solar_Analysis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Ramjutton</dc:creator>
  <cp:lastModifiedBy>Rohan Ramjutton</cp:lastModifiedBy>
  <cp:lastPrinted>2026-06-15T12:12:01Z</cp:lastPrinted>
  <dcterms:created xsi:type="dcterms:W3CDTF">2026-06-14T09:06:22Z</dcterms:created>
  <dcterms:modified xsi:type="dcterms:W3CDTF">2026-06-15T12:55:49Z</dcterms:modified>
</cp:coreProperties>
</file>